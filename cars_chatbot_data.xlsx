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ars" sheetId="2" state="visible" r:id="rId4"/>
    <sheet name="Faults" sheetId="3" state="visible" r:id="rId5"/>
    <sheet name="Lists" sheetId="4" state="visible" r:id="rId6"/>
  </sheets>
  <definedNames>
    <definedName function="false" hidden="true" localSheetId="1" name="_xlnm._FilterDatabase" vbProcedure="false">Cars!$A$1:$X$301</definedName>
    <definedName function="false" hidden="true" localSheetId="2" name="_xlnm._FilterDatabase" vbProcedure="false">Faults!$A$1:$P$301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<sst xmlns="http://schemas.openxmlformats.org/spreadsheetml/2006/main" count="8314" uniqueCount="2962">
  <si>
    <t xml:space="preserve">شات بوت العربيات — دليل تعبئة الداتا</t>
  </si>
  <si>
    <t xml:space="preserve">الهدف</t>
  </si>
  <si>
    <t xml:space="preserve">الشيتين Cars و Faults هما مصدر المعلومات الوحيد للبوت. أي معلومة مش موجودة هنا البوت مش هيعرفها.</t>
  </si>
  <si>
    <t xml:space="preserve">قواعد لازم الكل يلتزم بيها</t>
  </si>
  <si>
    <t xml:space="preserve">1. صف واحد = عربية واحدة / عطل واحد</t>
  </si>
  <si>
    <t xml:space="preserve">لو نفس الموديل بسنتين مختلفتين أو سعرين، اكتبهم في صفين.</t>
  </si>
  <si>
    <t xml:space="preserve">2. الأرقام أرقام بس</t>
  </si>
  <si>
    <t xml:space="preserve">السعر 1050000 (بدون فواصل أو 'جنيه')، السنة 2022، السي سي 1600. الفلترة بالسعر بتعتمد على كده.</t>
  </si>
  <si>
    <t xml:space="preserve">3. القوائم المنسدلة</t>
  </si>
  <si>
    <t xml:space="preserve">الأعمدة اللي فيها سهم (الحالة، الناقل، الوقود، نعم/لا، الفئة، الخطورة) اختار من القائمة ومتكتبش بإيدك، عشان البوت يفهم القيم موحدة.</t>
  </si>
  <si>
    <t xml:space="preserve">4. الأعمدة الرمادية تلقائية</t>
  </si>
  <si>
    <t xml:space="preserve">Car_ID / Brand_AR / Data_Check / Search_Text متلمسهاش. Brand_AR بيتكتب لوحده من اسم البراند.</t>
  </si>
  <si>
    <t xml:space="preserve">5. لا تغير أسماء العناوين</t>
  </si>
  <si>
    <t xml:space="preserve">الكود بيقرأ الأعمدة بأسمائها الإنجليزي (صف 1). ممنوع تغيير الاسم أو تدمج خلايا أو تضيف صفوف فاضية فوق الداتا.</t>
  </si>
  <si>
    <t xml:space="preserve">6. ماتمسحش صفوف</t>
  </si>
  <si>
    <t xml:space="preserve">لو عايز تمسح بيانات امسح محتوى الخلايا بس (Delete) من غير ما تمسح الصف نفسه.</t>
  </si>
  <si>
    <t xml:space="preserve">7. عمود Data_Check</t>
  </si>
  <si>
    <t xml:space="preserve">لازم يبقى أخضر OK. أحمر = في خانة مطلوبة ناقصة أو رقم مكتوب غلط.</t>
  </si>
  <si>
    <t xml:space="preserve">8. الداتا الحالية</t>
  </si>
  <si>
    <t xml:space="preserve">300 عربية و300 عطل، وكل الخانات متملية بدون تكرار. أسعار الجديد (44 صف) من قائمة أكتوبر 2026 (banker.news)، وباقي الأسعار والمواصفات والإمكانيات تقديرية من معرفة عامة وتحتاج مراجعة قبل الاعتماد. عمود Notes فيه توضيح ده في كل صف.</t>
  </si>
  <si>
    <t xml:space="preserve">9. عدم التكرار</t>
  </si>
  <si>
    <t xml:space="preserve">كل (Brand + Model) موجود مرة واحدة فقط في Cars، وكل عطل (Component + Symptom_AR) موجود مرة واحدة في Faults. افحصوا قبل ما تضيفوا صف جديد.</t>
  </si>
  <si>
    <t xml:space="preserve">10. إضافة صفوف جديدة</t>
  </si>
  <si>
    <t xml:space="preserve">الشيت فيه 300 صف جاهز. لإضافة صف: انسخ آخر صف بالكامل لتحت (عشان المعادلات والقوائم المنسدلة تتنسخ معاه)، وبعدين عدّل القيم. وفي أي معلومة مش متأكدين منها اكتبوا تقدير وحطوا كلمة 'تقديري' في Notes.</t>
  </si>
  <si>
    <t xml:space="preserve">شيت Cars — الأعمدة</t>
  </si>
  <si>
    <t xml:space="preserve">Brand / Model</t>
  </si>
  <si>
    <t xml:space="preserve">الاسم بالإنجليزي (Toyota / Corolla). Brand بيتختار من قائمة.</t>
  </si>
  <si>
    <t xml:space="preserve">Model_AR</t>
  </si>
  <si>
    <t xml:space="preserve">اسم الموديل بالعربي زي ما الناس بتقوله (كورولا). مهم عشان البوت يفهم السؤال بالعربي.</t>
  </si>
  <si>
    <t xml:space="preserve">Price_EGP</t>
  </si>
  <si>
    <t xml:space="preserve">السعر بالجنيه كرقم. (المستعمل = سعر السوق الحالي).</t>
  </si>
  <si>
    <t xml:space="preserve">Body_Type</t>
  </si>
  <si>
    <t xml:space="preserve">سيدان / هاتشباك / SUV ... (قائمة).</t>
  </si>
  <si>
    <t xml:space="preserve">Sunroof ... Bluetooth_Screen</t>
  </si>
  <si>
    <t xml:space="preserve">نعم/لا لأهم الإمكانيات — بتخلي البحث 'عربية بفتحة سقف' فلترة سريعة ودقيقة.</t>
  </si>
  <si>
    <t xml:space="preserve">Other_Features</t>
  </si>
  <si>
    <t xml:space="preserve">باقي الإمكانيات كنص حر مفصول بفاصلة.</t>
  </si>
  <si>
    <t xml:space="preserve">شيت Faults — الأعمدة</t>
  </si>
  <si>
    <t xml:space="preserve">Symptom_AR</t>
  </si>
  <si>
    <t xml:space="preserve">وصف العطل زي ما المستخدم هيقوله (العربية بتسخن).</t>
  </si>
  <si>
    <t xml:space="preserve">Keywords_AR</t>
  </si>
  <si>
    <t xml:space="preserve">كلمات وتعبيرات مصرية بديلة ومرادفات مفصولة بفاصلة (سخونة، حرارة، بخار). ده أهم عمود لسرعة ودقة البحث.</t>
  </si>
  <si>
    <t xml:space="preserve">Warning_Light</t>
  </si>
  <si>
    <t xml:space="preserve">اسم/وصف لمبة التابلوه لو موجودة (للتحليل بالصور).</t>
  </si>
  <si>
    <t xml:space="preserve">Possible_Cause / Solution</t>
  </si>
  <si>
    <t xml:space="preserve">السبب المحتمل والحل المقترح بجملة واضحة.</t>
  </si>
  <si>
    <t xml:space="preserve">Severity / Safe_To_Drive</t>
  </si>
  <si>
    <t xml:space="preserve">الخطورة وهل آمن يكمل سواقة؟ البوت بيستخدمهم عشان يحذر المستخدم.</t>
  </si>
  <si>
    <t xml:space="preserve">Est_Cost_EGP_Min / Max</t>
  </si>
  <si>
    <t xml:space="preserve">تكلفة تقريبية بالجنيه (اختياري).</t>
  </si>
  <si>
    <t xml:space="preserve">Applies_To</t>
  </si>
  <si>
    <t xml:space="preserve">الكل أو اسم براند/موديل معين لو العطل مرتبط بيه.</t>
  </si>
  <si>
    <t xml:space="preserve">Car_ID</t>
  </si>
  <si>
    <t xml:space="preserve">Brand</t>
  </si>
  <si>
    <t xml:space="preserve">Brand_AR</t>
  </si>
  <si>
    <t xml:space="preserve">Model</t>
  </si>
  <si>
    <t xml:space="preserve">Year</t>
  </si>
  <si>
    <t xml:space="preserve">Condition</t>
  </si>
  <si>
    <t xml:space="preserve">Engine_CC</t>
  </si>
  <si>
    <t xml:space="preserve">Horsepower</t>
  </si>
  <si>
    <t xml:space="preserve">Transmission</t>
  </si>
  <si>
    <t xml:space="preserve">Fuel_Type</t>
  </si>
  <si>
    <t xml:space="preserve">Fuel_Consumption_L100km</t>
  </si>
  <si>
    <t xml:space="preserve">Seats</t>
  </si>
  <si>
    <t xml:space="preserve">Sunroof</t>
  </si>
  <si>
    <t xml:space="preserve">Rear_Camera</t>
  </si>
  <si>
    <t xml:space="preserve">Cruise_Control</t>
  </si>
  <si>
    <t xml:space="preserve">Leather_Seats</t>
  </si>
  <si>
    <t xml:space="preserve">Bluetooth_Screen</t>
  </si>
  <si>
    <t xml:space="preserve">Notes</t>
  </si>
  <si>
    <t xml:space="preserve">Data_Check</t>
  </si>
  <si>
    <t xml:space="preserve">Search_Text</t>
  </si>
  <si>
    <t xml:space="preserve">C001</t>
  </si>
  <si>
    <t xml:space="preserve">Toyota</t>
  </si>
  <si>
    <t xml:space="preserve">Corolla Active</t>
  </si>
  <si>
    <t xml:space="preserve">كورولا أكتيف</t>
  </si>
  <si>
    <t xml:space="preserve">جديد</t>
  </si>
  <si>
    <t xml:space="preserve">سيدان</t>
  </si>
  <si>
    <t xml:space="preserve">أوتوماتيك</t>
  </si>
  <si>
    <t xml:space="preserve">بنزين</t>
  </si>
  <si>
    <t xml:space="preserve">لا</t>
  </si>
  <si>
    <t xml:space="preserve">نعم</t>
  </si>
  <si>
    <t xml:space="preserve">الفئة الأولى، تكييف، ABS</t>
  </si>
  <si>
    <t xml:space="preserve">السعر من خبر أقدم وقد يكون اتغير؛ المواصفات والإمكانيات تقديرية، راجعها</t>
  </si>
  <si>
    <t xml:space="preserve">C002</t>
  </si>
  <si>
    <t xml:space="preserve">Corolla Elegance</t>
  </si>
  <si>
    <t xml:space="preserve">كورولا إليجانس</t>
  </si>
  <si>
    <t xml:space="preserve">شاشة لمس 7 بوصة، تكييف، ABS</t>
  </si>
  <si>
    <t xml:space="preserve">C003</t>
  </si>
  <si>
    <t xml:space="preserve">Corolla Hybrid</t>
  </si>
  <si>
    <t xml:space="preserve">كورولا هايبرد</t>
  </si>
  <si>
    <t xml:space="preserve">هايبرد</t>
  </si>
  <si>
    <t xml:space="preserve">محرك هايبرد، تكييف، ABS</t>
  </si>
  <si>
    <t xml:space="preserve">C004</t>
  </si>
  <si>
    <t xml:space="preserve">Hyundai</t>
  </si>
  <si>
    <t xml:space="preserve">Elantra AD Entry</t>
  </si>
  <si>
    <t xml:space="preserve">إلنترا AD الفئة الأولى</t>
  </si>
  <si>
    <t xml:space="preserve">مجمعة محليًا، تكييف، ABS</t>
  </si>
  <si>
    <t xml:space="preserve">السعر من قائمة أكتوبر 2026 (banker.news)؛ المواصفات والإمكانيات تقديرية، راجعها</t>
  </si>
  <si>
    <t xml:space="preserve">C005</t>
  </si>
  <si>
    <t xml:space="preserve">Elantra AD Top</t>
  </si>
  <si>
    <t xml:space="preserve">إلنترا AD الفئة الأعلى</t>
  </si>
  <si>
    <t xml:space="preserve">C006</t>
  </si>
  <si>
    <t xml:space="preserve">Venue Blaze</t>
  </si>
  <si>
    <t xml:space="preserve">فينيو بليز</t>
  </si>
  <si>
    <t xml:space="preserve">كروس أوفر</t>
  </si>
  <si>
    <t xml:space="preserve">C007</t>
  </si>
  <si>
    <t xml:space="preserve">Venue Redline</t>
  </si>
  <si>
    <t xml:space="preserve">فينيو ريدلاين</t>
  </si>
  <si>
    <t xml:space="preserve">C008</t>
  </si>
  <si>
    <t xml:space="preserve">Kia</t>
  </si>
  <si>
    <t xml:space="preserve">Seltos Entry</t>
  </si>
  <si>
    <t xml:space="preserve">سيلتوس الفئة الأولى</t>
  </si>
  <si>
    <t xml:space="preserve">SUV</t>
  </si>
  <si>
    <t xml:space="preserve">موديل 2027، تكييف، ABS</t>
  </si>
  <si>
    <t xml:space="preserve">C009</t>
  </si>
  <si>
    <t xml:space="preserve">Seltos Top</t>
  </si>
  <si>
    <t xml:space="preserve">سيلتوس الفئة الأعلى</t>
  </si>
  <si>
    <t xml:space="preserve">C010</t>
  </si>
  <si>
    <t xml:space="preserve">Mazda</t>
  </si>
  <si>
    <t xml:space="preserve">CX-3</t>
  </si>
  <si>
    <t xml:space="preserve">سي إكس 3</t>
  </si>
  <si>
    <t xml:space="preserve">C011</t>
  </si>
  <si>
    <t xml:space="preserve">Nissan</t>
  </si>
  <si>
    <t xml:space="preserve">Magnite Visia</t>
  </si>
  <si>
    <t xml:space="preserve">ماجنيت فيزيا</t>
  </si>
  <si>
    <t xml:space="preserve">الفئة الأقل، تكييف، ABS</t>
  </si>
  <si>
    <t xml:space="preserve">C012</t>
  </si>
  <si>
    <t xml:space="preserve">Magnite Tekna+</t>
  </si>
  <si>
    <t xml:space="preserve">ماجنيت تيكنا بلس</t>
  </si>
  <si>
    <t xml:space="preserve">الفئة الأعلى، تكييف، ABS</t>
  </si>
  <si>
    <t xml:space="preserve">C013</t>
  </si>
  <si>
    <t xml:space="preserve">Skoda</t>
  </si>
  <si>
    <t xml:space="preserve">Octavia Loft</t>
  </si>
  <si>
    <t xml:space="preserve">أوكتافيا لوفت</t>
  </si>
  <si>
    <t xml:space="preserve">DCT</t>
  </si>
  <si>
    <t xml:space="preserve">شاشة 10 بوصة وApple CarPlay، ثبات إلكتروني ESC، تكييف، ABS</t>
  </si>
  <si>
    <t xml:space="preserve">C014</t>
  </si>
  <si>
    <t xml:space="preserve">Octavia Suite</t>
  </si>
  <si>
    <t xml:space="preserve">أوكتافيا سويت</t>
  </si>
  <si>
    <t xml:space="preserve">C015</t>
  </si>
  <si>
    <t xml:space="preserve">MG</t>
  </si>
  <si>
    <t xml:space="preserve">MG5 Entry</t>
  </si>
  <si>
    <t xml:space="preserve">إم جي 5 الفئة الأولى</t>
  </si>
  <si>
    <t xml:space="preserve">تكييف، زجاج كهربائي، قفل مركزي، ABS، مرايات كهربائية، حساسات ركن خلفية</t>
  </si>
  <si>
    <t xml:space="preserve">C016</t>
  </si>
  <si>
    <t xml:space="preserve">MG5 Top</t>
  </si>
  <si>
    <t xml:space="preserve">إم جي 5 الفئة الأعلى</t>
  </si>
  <si>
    <t xml:space="preserve">تكييف، زجاج كهربائي، قفل مركزي، ABS، مرايات كهربائية، حساسات ركن خلفية، جنوط ألومنيوم، تحكم في الثبات ESP</t>
  </si>
  <si>
    <t xml:space="preserve">C017</t>
  </si>
  <si>
    <t xml:space="preserve">ZS Plus</t>
  </si>
  <si>
    <t xml:space="preserve">زد إس بلس</t>
  </si>
  <si>
    <t xml:space="preserve">C018</t>
  </si>
  <si>
    <t xml:space="preserve">GT</t>
  </si>
  <si>
    <t xml:space="preserve">جي تي</t>
  </si>
  <si>
    <t xml:space="preserve">الفئة الأعلى المتاحة، تكييف، ABS</t>
  </si>
  <si>
    <t xml:space="preserve">C019</t>
  </si>
  <si>
    <t xml:space="preserve">G50 Plus</t>
  </si>
  <si>
    <t xml:space="preserve">G50 بلس</t>
  </si>
  <si>
    <t xml:space="preserve">ميني فان</t>
  </si>
  <si>
    <t xml:space="preserve">C020</t>
  </si>
  <si>
    <t xml:space="preserve">One</t>
  </si>
  <si>
    <t xml:space="preserve">ون</t>
  </si>
  <si>
    <t xml:space="preserve">C021</t>
  </si>
  <si>
    <t xml:space="preserve">RX5+</t>
  </si>
  <si>
    <t xml:space="preserve">RX5 بلس</t>
  </si>
  <si>
    <t xml:space="preserve">C022</t>
  </si>
  <si>
    <t xml:space="preserve">HS AS33</t>
  </si>
  <si>
    <t xml:space="preserve">HS بنزين</t>
  </si>
  <si>
    <t xml:space="preserve">C023</t>
  </si>
  <si>
    <t xml:space="preserve">HS HEV</t>
  </si>
  <si>
    <t xml:space="preserve">HS هايبرد</t>
  </si>
  <si>
    <t xml:space="preserve">محرك هايبرد، موديل 2027، تكييف، ABS</t>
  </si>
  <si>
    <t xml:space="preserve">C024</t>
  </si>
  <si>
    <t xml:space="preserve">7 Trophy</t>
  </si>
  <si>
    <t xml:space="preserve">إم جي 7 تروفي</t>
  </si>
  <si>
    <t xml:space="preserve">C025</t>
  </si>
  <si>
    <t xml:space="preserve">RX9</t>
  </si>
  <si>
    <t xml:space="preserve">C026</t>
  </si>
  <si>
    <t xml:space="preserve">Deepal</t>
  </si>
  <si>
    <t xml:space="preserve">S05 REEV</t>
  </si>
  <si>
    <t xml:space="preserve">S05 مدى ممتد</t>
  </si>
  <si>
    <t xml:space="preserve">نسخة المدى الممتد REEV، تكييف، ABS</t>
  </si>
  <si>
    <t xml:space="preserve">C027</t>
  </si>
  <si>
    <t xml:space="preserve">S05 BEV</t>
  </si>
  <si>
    <t xml:space="preserve">S05 كهرباء</t>
  </si>
  <si>
    <t xml:space="preserve">كهرباء</t>
  </si>
  <si>
    <t xml:space="preserve">كهربائية بالكامل BEV، تكييف، ABS</t>
  </si>
  <si>
    <t xml:space="preserve">C028</t>
  </si>
  <si>
    <t xml:space="preserve">Changan</t>
  </si>
  <si>
    <t xml:space="preserve">CS75 Plus Premium</t>
  </si>
  <si>
    <t xml:space="preserve">CS75 بلس بريميوم</t>
  </si>
  <si>
    <t xml:space="preserve">C029</t>
  </si>
  <si>
    <t xml:space="preserve">CS75 Plus Flagship</t>
  </si>
  <si>
    <t xml:space="preserve">CS75 بلس فلاج شيب</t>
  </si>
  <si>
    <t xml:space="preserve">C030</t>
  </si>
  <si>
    <t xml:space="preserve">CS55 Plus Elite</t>
  </si>
  <si>
    <t xml:space="preserve">CS55 بلس إيليت</t>
  </si>
  <si>
    <t xml:space="preserve">C031</t>
  </si>
  <si>
    <t xml:space="preserve">CS55 Plus Premium</t>
  </si>
  <si>
    <t xml:space="preserve">CS55 بلس بريميوم</t>
  </si>
  <si>
    <t xml:space="preserve">C032</t>
  </si>
  <si>
    <t xml:space="preserve">UNI-V Flagship</t>
  </si>
  <si>
    <t xml:space="preserve">يوني في فلاج شيب</t>
  </si>
  <si>
    <t xml:space="preserve">فئة وحيدة، تكييف، ABS</t>
  </si>
  <si>
    <t xml:space="preserve">C033</t>
  </si>
  <si>
    <t xml:space="preserve">Haval</t>
  </si>
  <si>
    <t xml:space="preserve">H6 Platinum</t>
  </si>
  <si>
    <t xml:space="preserve">H6 بلاتينيوم</t>
  </si>
  <si>
    <t xml:space="preserve">C034</t>
  </si>
  <si>
    <t xml:space="preserve">H6 Ultra</t>
  </si>
  <si>
    <t xml:space="preserve">H6 ألترا</t>
  </si>
  <si>
    <t xml:space="preserve">C035</t>
  </si>
  <si>
    <t xml:space="preserve">H7 Ultra Black</t>
  </si>
  <si>
    <t xml:space="preserve">H7 ألترا بلاك</t>
  </si>
  <si>
    <t xml:space="preserve">نظام دفع هايبرد، تكييف، ABS</t>
  </si>
  <si>
    <t xml:space="preserve">C036</t>
  </si>
  <si>
    <t xml:space="preserve">Jolion Standard</t>
  </si>
  <si>
    <t xml:space="preserve">جوليان ستاندرد</t>
  </si>
  <si>
    <t xml:space="preserve">C037</t>
  </si>
  <si>
    <t xml:space="preserve">Jolion High Deluxe</t>
  </si>
  <si>
    <t xml:space="preserve">جوليان هاي ديلوكس</t>
  </si>
  <si>
    <t xml:space="preserve">C038</t>
  </si>
  <si>
    <t xml:space="preserve">Chery</t>
  </si>
  <si>
    <t xml:space="preserve">Arrizo 5 Basic</t>
  </si>
  <si>
    <t xml:space="preserve">أريزو 5 بيسك</t>
  </si>
  <si>
    <t xml:space="preserve">أرخص فئة، تكييف، ABS</t>
  </si>
  <si>
    <t xml:space="preserve">C039</t>
  </si>
  <si>
    <t xml:space="preserve">Arrizo 5 CVT Comfort</t>
  </si>
  <si>
    <t xml:space="preserve">أريزو 5 كومفورت</t>
  </si>
  <si>
    <t xml:space="preserve">CVT</t>
  </si>
  <si>
    <t xml:space="preserve">C040</t>
  </si>
  <si>
    <t xml:space="preserve">Tiggo 7 Pro Comfort</t>
  </si>
  <si>
    <t xml:space="preserve">تيجو 7 برو كومفورت</t>
  </si>
  <si>
    <t xml:space="preserve">C041</t>
  </si>
  <si>
    <t xml:space="preserve">Tiggo 7 Pro Luxury</t>
  </si>
  <si>
    <t xml:space="preserve">تيجو 7 برو لاكشري</t>
  </si>
  <si>
    <t xml:space="preserve">C042</t>
  </si>
  <si>
    <t xml:space="preserve">Tiggo 8 Comfort 7 Seats</t>
  </si>
  <si>
    <t xml:space="preserve">تيجو 8 كومفورت 7 مقاعد</t>
  </si>
  <si>
    <t xml:space="preserve">C043</t>
  </si>
  <si>
    <t xml:space="preserve">Tiggo 8 Luxury 5 Seats</t>
  </si>
  <si>
    <t xml:space="preserve">تيجو 8 لاكشري 5 مقاعد</t>
  </si>
  <si>
    <t xml:space="preserve">C044</t>
  </si>
  <si>
    <t xml:space="preserve">Tiggo 8 Luxury 7 Seats</t>
  </si>
  <si>
    <t xml:space="preserve">تيجو 8 لاكشري 7 مقاعد</t>
  </si>
  <si>
    <t xml:space="preserve">C045</t>
  </si>
  <si>
    <t xml:space="preserve">Corolla E120</t>
  </si>
  <si>
    <t xml:space="preserve">كورولا E120</t>
  </si>
  <si>
    <t xml:space="preserve">مستعمل</t>
  </si>
  <si>
    <t xml:space="preserve">مانيوال</t>
  </si>
  <si>
    <t xml:space="preserve">تكييف، زجاج كهربائي، قفل مركزي</t>
  </si>
  <si>
    <t xml:space="preserve">السعر قريب من متوسط ContactCars (يوليو 2026)؛ المواصفات تقديرية، راجعها</t>
  </si>
  <si>
    <t xml:space="preserve">C046</t>
  </si>
  <si>
    <t xml:space="preserve">Corolla E140</t>
  </si>
  <si>
    <t xml:space="preserve">كورولا E140</t>
  </si>
  <si>
    <t xml:space="preserve">تكييف، زجاج كهربائي، قفل مركزي، ABS</t>
  </si>
  <si>
    <t xml:space="preserve">C047</t>
  </si>
  <si>
    <t xml:space="preserve">Corolla E150</t>
  </si>
  <si>
    <t xml:space="preserve">كورولا E150</t>
  </si>
  <si>
    <t xml:space="preserve">C048</t>
  </si>
  <si>
    <t xml:space="preserve">Corolla E170</t>
  </si>
  <si>
    <t xml:space="preserve">كورولا E170</t>
  </si>
  <si>
    <t xml:space="preserve">C049</t>
  </si>
  <si>
    <t xml:space="preserve">Corolla E210</t>
  </si>
  <si>
    <t xml:space="preserve">كورولا E210</t>
  </si>
  <si>
    <t xml:space="preserve">تقدير: سعر المستعمل تقريبي لسوق أكتوبر 2026 والمواصفات من معرفة عامة، راجعهم</t>
  </si>
  <si>
    <t xml:space="preserve">C050</t>
  </si>
  <si>
    <t xml:space="preserve">Yaris XP150</t>
  </si>
  <si>
    <t xml:space="preserve">يارس XP150</t>
  </si>
  <si>
    <t xml:space="preserve">هاتشباك</t>
  </si>
  <si>
    <t xml:space="preserve">C051</t>
  </si>
  <si>
    <t xml:space="preserve">Yaris XP210</t>
  </si>
  <si>
    <t xml:space="preserve">يارس XP210</t>
  </si>
  <si>
    <t xml:space="preserve">C052</t>
  </si>
  <si>
    <t xml:space="preserve">Camry XV50</t>
  </si>
  <si>
    <t xml:space="preserve">كامري XV50</t>
  </si>
  <si>
    <t xml:space="preserve">C053</t>
  </si>
  <si>
    <t xml:space="preserve">Camry XV70</t>
  </si>
  <si>
    <t xml:space="preserve">كامري XV70</t>
  </si>
  <si>
    <t xml:space="preserve">C054</t>
  </si>
  <si>
    <t xml:space="preserve">RAV4 XA30</t>
  </si>
  <si>
    <t xml:space="preserve">راف فور XA30</t>
  </si>
  <si>
    <t xml:space="preserve">C055</t>
  </si>
  <si>
    <t xml:space="preserve">RAV4 XA40</t>
  </si>
  <si>
    <t xml:space="preserve">راف فور XA40</t>
  </si>
  <si>
    <t xml:space="preserve">C056</t>
  </si>
  <si>
    <t xml:space="preserve">RAV4 XA50</t>
  </si>
  <si>
    <t xml:space="preserve">راف فور XA50</t>
  </si>
  <si>
    <t xml:space="preserve">C057</t>
  </si>
  <si>
    <t xml:space="preserve">Fortuner AN160</t>
  </si>
  <si>
    <t xml:space="preserve">فورتشنر AN160</t>
  </si>
  <si>
    <t xml:space="preserve">C058</t>
  </si>
  <si>
    <t xml:space="preserve">Hilux AN120</t>
  </si>
  <si>
    <t xml:space="preserve">هايلكس AN120</t>
  </si>
  <si>
    <t xml:space="preserve">بيك أب</t>
  </si>
  <si>
    <t xml:space="preserve">C059</t>
  </si>
  <si>
    <t xml:space="preserve">Land Cruiser Prado J150</t>
  </si>
  <si>
    <t xml:space="preserve">لاند كروزر برادو J150</t>
  </si>
  <si>
    <t xml:space="preserve">تكييف، زجاج كهربائي، قفل مركزي، ABS، مرايات كهربائية، حساسات ركن خلفية، جنوط ألومنيوم، تحكم في الثبات ESP، مقاعد كهربائية، إضاءة LED</t>
  </si>
  <si>
    <t xml:space="preserve">C060</t>
  </si>
  <si>
    <t xml:space="preserve">Corolla Cross</t>
  </si>
  <si>
    <t xml:space="preserve">كورولا كروس</t>
  </si>
  <si>
    <t xml:space="preserve">C061</t>
  </si>
  <si>
    <t xml:space="preserve">Accent RB</t>
  </si>
  <si>
    <t xml:space="preserve">أكسنت RB</t>
  </si>
  <si>
    <t xml:space="preserve">C062</t>
  </si>
  <si>
    <t xml:space="preserve">Accent RB Facelift</t>
  </si>
  <si>
    <t xml:space="preserve">أكسنت RB فيس ليفت</t>
  </si>
  <si>
    <t xml:space="preserve">C063</t>
  </si>
  <si>
    <t xml:space="preserve">Accent HC</t>
  </si>
  <si>
    <t xml:space="preserve">أكسنت HC</t>
  </si>
  <si>
    <t xml:space="preserve">C064</t>
  </si>
  <si>
    <t xml:space="preserve">Verna MC</t>
  </si>
  <si>
    <t xml:space="preserve">فيرنا MC</t>
  </si>
  <si>
    <t xml:space="preserve">C065</t>
  </si>
  <si>
    <t xml:space="preserve">Verna RB</t>
  </si>
  <si>
    <t xml:space="preserve">فيرنا RB</t>
  </si>
  <si>
    <t xml:space="preserve">C066</t>
  </si>
  <si>
    <t xml:space="preserve">Elantra HD</t>
  </si>
  <si>
    <t xml:space="preserve">إلنترا HD</t>
  </si>
  <si>
    <t xml:space="preserve">C067</t>
  </si>
  <si>
    <t xml:space="preserve">Elantra MD</t>
  </si>
  <si>
    <t xml:space="preserve">إلنترا MD</t>
  </si>
  <si>
    <t xml:space="preserve">C068</t>
  </si>
  <si>
    <t xml:space="preserve">Elantra AD 1.6</t>
  </si>
  <si>
    <t xml:space="preserve">إلنترا AD 1.6</t>
  </si>
  <si>
    <t xml:space="preserve">C069</t>
  </si>
  <si>
    <t xml:space="preserve">Elantra CN7</t>
  </si>
  <si>
    <t xml:space="preserve">إلنترا CN7</t>
  </si>
  <si>
    <t xml:space="preserve">C070</t>
  </si>
  <si>
    <t xml:space="preserve">Tucson JM</t>
  </si>
  <si>
    <t xml:space="preserve">توسان JM</t>
  </si>
  <si>
    <t xml:space="preserve">C071</t>
  </si>
  <si>
    <t xml:space="preserve">Tucson LM</t>
  </si>
  <si>
    <t xml:space="preserve">توسان LM</t>
  </si>
  <si>
    <t xml:space="preserve">C072</t>
  </si>
  <si>
    <t xml:space="preserve">Tucson TL</t>
  </si>
  <si>
    <t xml:space="preserve">توسان TL</t>
  </si>
  <si>
    <t xml:space="preserve">C073</t>
  </si>
  <si>
    <t xml:space="preserve">Tucson NX4</t>
  </si>
  <si>
    <t xml:space="preserve">توسان NX4</t>
  </si>
  <si>
    <t xml:space="preserve">C074</t>
  </si>
  <si>
    <t xml:space="preserve">Creta GS</t>
  </si>
  <si>
    <t xml:space="preserve">كريتا GS</t>
  </si>
  <si>
    <t xml:space="preserve">C075</t>
  </si>
  <si>
    <t xml:space="preserve">Creta SU2</t>
  </si>
  <si>
    <t xml:space="preserve">كريتا SU2</t>
  </si>
  <si>
    <t xml:space="preserve">C076</t>
  </si>
  <si>
    <t xml:space="preserve">Kona OS</t>
  </si>
  <si>
    <t xml:space="preserve">كونا OS</t>
  </si>
  <si>
    <t xml:space="preserve">C077</t>
  </si>
  <si>
    <t xml:space="preserve">Santa Fe CM</t>
  </si>
  <si>
    <t xml:space="preserve">سانتافي CM</t>
  </si>
  <si>
    <t xml:space="preserve">C078</t>
  </si>
  <si>
    <t xml:space="preserve">Santa Fe TM</t>
  </si>
  <si>
    <t xml:space="preserve">سانتافي TM</t>
  </si>
  <si>
    <t xml:space="preserve">C079</t>
  </si>
  <si>
    <t xml:space="preserve">Grand i10</t>
  </si>
  <si>
    <t xml:space="preserve">جراند i10</t>
  </si>
  <si>
    <t xml:space="preserve">C080</t>
  </si>
  <si>
    <t xml:space="preserve">i20 GB</t>
  </si>
  <si>
    <t xml:space="preserve">C081</t>
  </si>
  <si>
    <t xml:space="preserve">Sonata YF</t>
  </si>
  <si>
    <t xml:space="preserve">سوناتا YF</t>
  </si>
  <si>
    <t xml:space="preserve">C082</t>
  </si>
  <si>
    <t xml:space="preserve">Sonata DN8</t>
  </si>
  <si>
    <t xml:space="preserve">سوناتا DN8</t>
  </si>
  <si>
    <t xml:space="preserve">C083</t>
  </si>
  <si>
    <t xml:space="preserve">Cerato TD</t>
  </si>
  <si>
    <t xml:space="preserve">سيراتو TD</t>
  </si>
  <si>
    <t xml:space="preserve">C084</t>
  </si>
  <si>
    <t xml:space="preserve">Cerato YD</t>
  </si>
  <si>
    <t xml:space="preserve">سيراتو YD</t>
  </si>
  <si>
    <t xml:space="preserve">C085</t>
  </si>
  <si>
    <t xml:space="preserve">Cerato BD</t>
  </si>
  <si>
    <t xml:space="preserve">سيراتو BD</t>
  </si>
  <si>
    <t xml:space="preserve">C086</t>
  </si>
  <si>
    <t xml:space="preserve">Rio JB</t>
  </si>
  <si>
    <t xml:space="preserve">ريو JB</t>
  </si>
  <si>
    <t xml:space="preserve">C087</t>
  </si>
  <si>
    <t xml:space="preserve">Rio UB</t>
  </si>
  <si>
    <t xml:space="preserve">ريو UB</t>
  </si>
  <si>
    <t xml:space="preserve">C088</t>
  </si>
  <si>
    <t xml:space="preserve">Picanto TA</t>
  </si>
  <si>
    <t xml:space="preserve">بيكانتو TA</t>
  </si>
  <si>
    <t xml:space="preserve">C089</t>
  </si>
  <si>
    <t xml:space="preserve">Picanto JA</t>
  </si>
  <si>
    <t xml:space="preserve">بيكانتو JA</t>
  </si>
  <si>
    <t xml:space="preserve">C090</t>
  </si>
  <si>
    <t xml:space="preserve">Sportage SL</t>
  </si>
  <si>
    <t xml:space="preserve">سبورتاج SL</t>
  </si>
  <si>
    <t xml:space="preserve">C091</t>
  </si>
  <si>
    <t xml:space="preserve">Sportage QL</t>
  </si>
  <si>
    <t xml:space="preserve">سبورتاج QL</t>
  </si>
  <si>
    <t xml:space="preserve">C092</t>
  </si>
  <si>
    <t xml:space="preserve">Sportage NQ5</t>
  </si>
  <si>
    <t xml:space="preserve">سبورتاج NQ5</t>
  </si>
  <si>
    <t xml:space="preserve">C093</t>
  </si>
  <si>
    <t xml:space="preserve">Sorento XM</t>
  </si>
  <si>
    <t xml:space="preserve">سورينتو XM</t>
  </si>
  <si>
    <t xml:space="preserve">C094</t>
  </si>
  <si>
    <t xml:space="preserve">Sorento UM</t>
  </si>
  <si>
    <t xml:space="preserve">سورينتو UM</t>
  </si>
  <si>
    <t xml:space="preserve">C095</t>
  </si>
  <si>
    <t xml:space="preserve">Soul AM</t>
  </si>
  <si>
    <t xml:space="preserve">سول AM</t>
  </si>
  <si>
    <t xml:space="preserve">C096</t>
  </si>
  <si>
    <t xml:space="preserve">Optima TF</t>
  </si>
  <si>
    <t xml:space="preserve">أوبتيما TF</t>
  </si>
  <si>
    <t xml:space="preserve">C097</t>
  </si>
  <si>
    <t xml:space="preserve">Pegas</t>
  </si>
  <si>
    <t xml:space="preserve">بيجاس</t>
  </si>
  <si>
    <t xml:space="preserve">C098</t>
  </si>
  <si>
    <t xml:space="preserve">Sunny B13</t>
  </si>
  <si>
    <t xml:space="preserve">صني B13</t>
  </si>
  <si>
    <t xml:space="preserve">C099</t>
  </si>
  <si>
    <t xml:space="preserve">Sunny N16</t>
  </si>
  <si>
    <t xml:space="preserve">صني N16</t>
  </si>
  <si>
    <t xml:space="preserve">C100</t>
  </si>
  <si>
    <t xml:space="preserve">Sunny N17</t>
  </si>
  <si>
    <t xml:space="preserve">صني N17</t>
  </si>
  <si>
    <t xml:space="preserve">C101</t>
  </si>
  <si>
    <t xml:space="preserve">Sunny N18</t>
  </si>
  <si>
    <t xml:space="preserve">صني N18</t>
  </si>
  <si>
    <t xml:space="preserve">C102</t>
  </si>
  <si>
    <t xml:space="preserve">Sentra B17</t>
  </si>
  <si>
    <t xml:space="preserve">سنترا B17</t>
  </si>
  <si>
    <t xml:space="preserve">C103</t>
  </si>
  <si>
    <t xml:space="preserve">Sentra B18</t>
  </si>
  <si>
    <t xml:space="preserve">سنترا B18</t>
  </si>
  <si>
    <t xml:space="preserve">C104</t>
  </si>
  <si>
    <t xml:space="preserve">Qashqai J10</t>
  </si>
  <si>
    <t xml:space="preserve">قشقاي J10</t>
  </si>
  <si>
    <t xml:space="preserve">C105</t>
  </si>
  <si>
    <t xml:space="preserve">Qashqai J11</t>
  </si>
  <si>
    <t xml:space="preserve">قشقاي J11</t>
  </si>
  <si>
    <t xml:space="preserve">C106</t>
  </si>
  <si>
    <t xml:space="preserve">Juke F15</t>
  </si>
  <si>
    <t xml:space="preserve">جوك F15</t>
  </si>
  <si>
    <t xml:space="preserve">C107</t>
  </si>
  <si>
    <t xml:space="preserve">X-Trail T31</t>
  </si>
  <si>
    <t xml:space="preserve">إكس تريل T31</t>
  </si>
  <si>
    <t xml:space="preserve">C108</t>
  </si>
  <si>
    <t xml:space="preserve">X-Trail T32</t>
  </si>
  <si>
    <t xml:space="preserve">إكس تريل T32</t>
  </si>
  <si>
    <t xml:space="preserve">C109</t>
  </si>
  <si>
    <t xml:space="preserve">Kicks P15</t>
  </si>
  <si>
    <t xml:space="preserve">كيكس P15</t>
  </si>
  <si>
    <t xml:space="preserve">C110</t>
  </si>
  <si>
    <t xml:space="preserve">Micra K13</t>
  </si>
  <si>
    <t xml:space="preserve">ميكرا K13</t>
  </si>
  <si>
    <t xml:space="preserve">C111</t>
  </si>
  <si>
    <t xml:space="preserve">Micra K14</t>
  </si>
  <si>
    <t xml:space="preserve">ميكرا K14</t>
  </si>
  <si>
    <t xml:space="preserve">C112</t>
  </si>
  <si>
    <t xml:space="preserve">Altima L33</t>
  </si>
  <si>
    <t xml:space="preserve">ألتيما L33</t>
  </si>
  <si>
    <t xml:space="preserve">C113</t>
  </si>
  <si>
    <t xml:space="preserve">Patrol Y61</t>
  </si>
  <si>
    <t xml:space="preserve">باترول Y61</t>
  </si>
  <si>
    <t xml:space="preserve">C114</t>
  </si>
  <si>
    <t xml:space="preserve">Navara D40</t>
  </si>
  <si>
    <t xml:space="preserve">نافارا D40</t>
  </si>
  <si>
    <t xml:space="preserve">ديزل</t>
  </si>
  <si>
    <t xml:space="preserve">C115</t>
  </si>
  <si>
    <t xml:space="preserve">Chevrolet</t>
  </si>
  <si>
    <t xml:space="preserve">Optra 1.6</t>
  </si>
  <si>
    <t xml:space="preserve">أوبترا 1.6</t>
  </si>
  <si>
    <t xml:space="preserve">C116</t>
  </si>
  <si>
    <t xml:space="preserve">Optra 1.8 Design</t>
  </si>
  <si>
    <t xml:space="preserve">أوبترا 1.8 ديزاين</t>
  </si>
  <si>
    <t xml:space="preserve">C117</t>
  </si>
  <si>
    <t xml:space="preserve">Cruze J300</t>
  </si>
  <si>
    <t xml:space="preserve">كروز J300</t>
  </si>
  <si>
    <t xml:space="preserve">C118</t>
  </si>
  <si>
    <t xml:space="preserve">Cruze J400</t>
  </si>
  <si>
    <t xml:space="preserve">كروز J400</t>
  </si>
  <si>
    <t xml:space="preserve">C119</t>
  </si>
  <si>
    <t xml:space="preserve">Aveo T300</t>
  </si>
  <si>
    <t xml:space="preserve">أفيو T300</t>
  </si>
  <si>
    <t xml:space="preserve">C120</t>
  </si>
  <si>
    <t xml:space="preserve">Captiva C100</t>
  </si>
  <si>
    <t xml:space="preserve">كابتيفا C100</t>
  </si>
  <si>
    <t xml:space="preserve">C121</t>
  </si>
  <si>
    <t xml:space="preserve">Captiva C140</t>
  </si>
  <si>
    <t xml:space="preserve">كابتيفا C140</t>
  </si>
  <si>
    <t xml:space="preserve">C122</t>
  </si>
  <si>
    <t xml:space="preserve">Spark M300</t>
  </si>
  <si>
    <t xml:space="preserve">سبارك M300</t>
  </si>
  <si>
    <t xml:space="preserve">C123</t>
  </si>
  <si>
    <t xml:space="preserve">Spark M400</t>
  </si>
  <si>
    <t xml:space="preserve">سبارك M400</t>
  </si>
  <si>
    <t xml:space="preserve">C124</t>
  </si>
  <si>
    <t xml:space="preserve">Malibu V300</t>
  </si>
  <si>
    <t xml:space="preserve">ماليبو V300</t>
  </si>
  <si>
    <t xml:space="preserve">C125</t>
  </si>
  <si>
    <t xml:space="preserve">Trax U200</t>
  </si>
  <si>
    <t xml:space="preserve">تراكس U200</t>
  </si>
  <si>
    <t xml:space="preserve">C126</t>
  </si>
  <si>
    <t xml:space="preserve">Daewoo</t>
  </si>
  <si>
    <t xml:space="preserve">Lanos</t>
  </si>
  <si>
    <t xml:space="preserve">لانوس</t>
  </si>
  <si>
    <t xml:space="preserve">C127</t>
  </si>
  <si>
    <t xml:space="preserve">Matiz M100</t>
  </si>
  <si>
    <t xml:space="preserve">ماتيز M100</t>
  </si>
  <si>
    <t xml:space="preserve">C128</t>
  </si>
  <si>
    <t xml:space="preserve">Suzuki</t>
  </si>
  <si>
    <t xml:space="preserve">Swift ZC</t>
  </si>
  <si>
    <t xml:space="preserve">سويفت ZC</t>
  </si>
  <si>
    <t xml:space="preserve">C129</t>
  </si>
  <si>
    <t xml:space="preserve">Swift ZC72</t>
  </si>
  <si>
    <t xml:space="preserve">سويفت ZC72</t>
  </si>
  <si>
    <t xml:space="preserve">C130</t>
  </si>
  <si>
    <t xml:space="preserve">Swift AZ</t>
  </si>
  <si>
    <t xml:space="preserve">سويفت AZ</t>
  </si>
  <si>
    <t xml:space="preserve">C131</t>
  </si>
  <si>
    <t xml:space="preserve">Dzire</t>
  </si>
  <si>
    <t xml:space="preserve">ديزاير</t>
  </si>
  <si>
    <t xml:space="preserve">C132</t>
  </si>
  <si>
    <t xml:space="preserve">Ertiga</t>
  </si>
  <si>
    <t xml:space="preserve">إرتيجا</t>
  </si>
  <si>
    <t xml:space="preserve">C133</t>
  </si>
  <si>
    <t xml:space="preserve">Vitara LY</t>
  </si>
  <si>
    <t xml:space="preserve">فيتارا LY</t>
  </si>
  <si>
    <t xml:space="preserve">C134</t>
  </si>
  <si>
    <t xml:space="preserve">Jimny JB43</t>
  </si>
  <si>
    <t xml:space="preserve">جيمني JB43</t>
  </si>
  <si>
    <t xml:space="preserve">C135</t>
  </si>
  <si>
    <t xml:space="preserve">Grand Vitara</t>
  </si>
  <si>
    <t xml:space="preserve">جراند فيتارا</t>
  </si>
  <si>
    <t xml:space="preserve">C136</t>
  </si>
  <si>
    <t xml:space="preserve">Baleno</t>
  </si>
  <si>
    <t xml:space="preserve">بالينو</t>
  </si>
  <si>
    <t xml:space="preserve">C137</t>
  </si>
  <si>
    <t xml:space="preserve">Mitsubishi</t>
  </si>
  <si>
    <t xml:space="preserve">Lancer CS3</t>
  </si>
  <si>
    <t xml:space="preserve">لانسر CS3</t>
  </si>
  <si>
    <t xml:space="preserve">C138</t>
  </si>
  <si>
    <t xml:space="preserve">Lancer EX</t>
  </si>
  <si>
    <t xml:space="preserve">لانسر EX</t>
  </si>
  <si>
    <t xml:space="preserve">C139</t>
  </si>
  <si>
    <t xml:space="preserve">Mirage</t>
  </si>
  <si>
    <t xml:space="preserve">ميراج</t>
  </si>
  <si>
    <t xml:space="preserve">C140</t>
  </si>
  <si>
    <t xml:space="preserve">ASX</t>
  </si>
  <si>
    <t xml:space="preserve">إيه إس إكس</t>
  </si>
  <si>
    <t xml:space="preserve">C141</t>
  </si>
  <si>
    <t xml:space="preserve">Outlander CW</t>
  </si>
  <si>
    <t xml:space="preserve">أوتلاندر CW</t>
  </si>
  <si>
    <t xml:space="preserve">C142</t>
  </si>
  <si>
    <t xml:space="preserve">Outlander GF</t>
  </si>
  <si>
    <t xml:space="preserve">أوتلاندر GF</t>
  </si>
  <si>
    <t xml:space="preserve">C143</t>
  </si>
  <si>
    <t xml:space="preserve">Pajero V73</t>
  </si>
  <si>
    <t xml:space="preserve">باجيرو V73</t>
  </si>
  <si>
    <t xml:space="preserve">C144</t>
  </si>
  <si>
    <t xml:space="preserve">L200</t>
  </si>
  <si>
    <t xml:space="preserve">إل 200</t>
  </si>
  <si>
    <t xml:space="preserve">C145</t>
  </si>
  <si>
    <t xml:space="preserve">Honda</t>
  </si>
  <si>
    <t xml:space="preserve">Civic FD</t>
  </si>
  <si>
    <t xml:space="preserve">سيفيك FD</t>
  </si>
  <si>
    <t xml:space="preserve">C146</t>
  </si>
  <si>
    <t xml:space="preserve">Civic FB</t>
  </si>
  <si>
    <t xml:space="preserve">سيفيك FB</t>
  </si>
  <si>
    <t xml:space="preserve">C147</t>
  </si>
  <si>
    <t xml:space="preserve">Civic FC</t>
  </si>
  <si>
    <t xml:space="preserve">سيفيك FC</t>
  </si>
  <si>
    <t xml:space="preserve">C148</t>
  </si>
  <si>
    <t xml:space="preserve">Accord CU</t>
  </si>
  <si>
    <t xml:space="preserve">أكورد CU</t>
  </si>
  <si>
    <t xml:space="preserve">C149</t>
  </si>
  <si>
    <t xml:space="preserve">City GM</t>
  </si>
  <si>
    <t xml:space="preserve">سيتي GM</t>
  </si>
  <si>
    <t xml:space="preserve">C150</t>
  </si>
  <si>
    <t xml:space="preserve">CR-V RE</t>
  </si>
  <si>
    <t xml:space="preserve">سي آر في RE</t>
  </si>
  <si>
    <t xml:space="preserve">C151</t>
  </si>
  <si>
    <t xml:space="preserve">CR-V RM</t>
  </si>
  <si>
    <t xml:space="preserve">سي آر في RM</t>
  </si>
  <si>
    <t xml:space="preserve">C152</t>
  </si>
  <si>
    <t xml:space="preserve">HR-V RU</t>
  </si>
  <si>
    <t xml:space="preserve">إتش آر في RU</t>
  </si>
  <si>
    <t xml:space="preserve">C153</t>
  </si>
  <si>
    <t xml:space="preserve">Mazda3 BK</t>
  </si>
  <si>
    <t xml:space="preserve">مازدا 3 BK</t>
  </si>
  <si>
    <t xml:space="preserve">C154</t>
  </si>
  <si>
    <t xml:space="preserve">Mazda3 BL</t>
  </si>
  <si>
    <t xml:space="preserve">مازدا 3 BL</t>
  </si>
  <si>
    <t xml:space="preserve">C155</t>
  </si>
  <si>
    <t xml:space="preserve">Mazda3 BM</t>
  </si>
  <si>
    <t xml:space="preserve">مازدا 3 BM</t>
  </si>
  <si>
    <t xml:space="preserve">C156</t>
  </si>
  <si>
    <t xml:space="preserve">Mazda6 GG</t>
  </si>
  <si>
    <t xml:space="preserve">مازدا 6 GG</t>
  </si>
  <si>
    <t xml:space="preserve">C157</t>
  </si>
  <si>
    <t xml:space="preserve">Mazda6 GJ</t>
  </si>
  <si>
    <t xml:space="preserve">مازدا 6 GJ</t>
  </si>
  <si>
    <t xml:space="preserve">C158</t>
  </si>
  <si>
    <t xml:space="preserve">CX-5 KE</t>
  </si>
  <si>
    <t xml:space="preserve">سي إكس 5 KE</t>
  </si>
  <si>
    <t xml:space="preserve">C159</t>
  </si>
  <si>
    <t xml:space="preserve">CX-5 KF</t>
  </si>
  <si>
    <t xml:space="preserve">سي إكس 5 KF</t>
  </si>
  <si>
    <t xml:space="preserve">C160</t>
  </si>
  <si>
    <t xml:space="preserve">Mazda2 DE</t>
  </si>
  <si>
    <t xml:space="preserve">مازدا 2 DE</t>
  </si>
  <si>
    <t xml:space="preserve">C161</t>
  </si>
  <si>
    <t xml:space="preserve">Renault</t>
  </si>
  <si>
    <t xml:space="preserve">Logan I</t>
  </si>
  <si>
    <t xml:space="preserve">لوجان الجيل الأول</t>
  </si>
  <si>
    <t xml:space="preserve">C162</t>
  </si>
  <si>
    <t xml:space="preserve">Logan II</t>
  </si>
  <si>
    <t xml:space="preserve">لوجان الجيل الثاني</t>
  </si>
  <si>
    <t xml:space="preserve">C163</t>
  </si>
  <si>
    <t xml:space="preserve">Symbol</t>
  </si>
  <si>
    <t xml:space="preserve">سيمبول</t>
  </si>
  <si>
    <t xml:space="preserve">C164</t>
  </si>
  <si>
    <t xml:space="preserve">Sandero</t>
  </si>
  <si>
    <t xml:space="preserve">ساندرو</t>
  </si>
  <si>
    <t xml:space="preserve">C165</t>
  </si>
  <si>
    <t xml:space="preserve">Sandero Stepway</t>
  </si>
  <si>
    <t xml:space="preserve">ساندرو ستيب واي</t>
  </si>
  <si>
    <t xml:space="preserve">C166</t>
  </si>
  <si>
    <t xml:space="preserve">Duster</t>
  </si>
  <si>
    <t xml:space="preserve">داستر</t>
  </si>
  <si>
    <t xml:space="preserve">C167</t>
  </si>
  <si>
    <t xml:space="preserve">Megane II</t>
  </si>
  <si>
    <t xml:space="preserve">ميجان II</t>
  </si>
  <si>
    <t xml:space="preserve">C168</t>
  </si>
  <si>
    <t xml:space="preserve">Megane III</t>
  </si>
  <si>
    <t xml:space="preserve">ميجان III</t>
  </si>
  <si>
    <t xml:space="preserve">C169</t>
  </si>
  <si>
    <t xml:space="preserve">Fluence</t>
  </si>
  <si>
    <t xml:space="preserve">فلوانس</t>
  </si>
  <si>
    <t xml:space="preserve">C170</t>
  </si>
  <si>
    <t xml:space="preserve">Kadjar</t>
  </si>
  <si>
    <t xml:space="preserve">كادجار</t>
  </si>
  <si>
    <t xml:space="preserve">C171</t>
  </si>
  <si>
    <t xml:space="preserve">Kwid</t>
  </si>
  <si>
    <t xml:space="preserve">كويد</t>
  </si>
  <si>
    <t xml:space="preserve">C172</t>
  </si>
  <si>
    <t xml:space="preserve">Peugeot</t>
  </si>
  <si>
    <t xml:space="preserve">206</t>
  </si>
  <si>
    <t xml:space="preserve">بيجو 206</t>
  </si>
  <si>
    <t xml:space="preserve">C173</t>
  </si>
  <si>
    <t xml:space="preserve">307</t>
  </si>
  <si>
    <t xml:space="preserve">بيجو 307</t>
  </si>
  <si>
    <t xml:space="preserve">C174</t>
  </si>
  <si>
    <t xml:space="preserve">405</t>
  </si>
  <si>
    <t xml:space="preserve">بيجو 405</t>
  </si>
  <si>
    <t xml:space="preserve">C175</t>
  </si>
  <si>
    <t xml:space="preserve">301</t>
  </si>
  <si>
    <t xml:space="preserve">بيجو 301</t>
  </si>
  <si>
    <t xml:space="preserve">C176</t>
  </si>
  <si>
    <t xml:space="preserve">308 T7</t>
  </si>
  <si>
    <t xml:space="preserve">بيجو 308 T7</t>
  </si>
  <si>
    <t xml:space="preserve">C177</t>
  </si>
  <si>
    <t xml:space="preserve">308 T9</t>
  </si>
  <si>
    <t xml:space="preserve">بيجو 308 T9</t>
  </si>
  <si>
    <t xml:space="preserve">C178</t>
  </si>
  <si>
    <t xml:space="preserve">3008 T8</t>
  </si>
  <si>
    <t xml:space="preserve">بيجو 3008 T8</t>
  </si>
  <si>
    <t xml:space="preserve">C179</t>
  </si>
  <si>
    <t xml:space="preserve">3008 P84</t>
  </si>
  <si>
    <t xml:space="preserve">بيجو 3008 P84</t>
  </si>
  <si>
    <t xml:space="preserve">C180</t>
  </si>
  <si>
    <t xml:space="preserve">208</t>
  </si>
  <si>
    <t xml:space="preserve">بيجو 208</t>
  </si>
  <si>
    <t xml:space="preserve">C181</t>
  </si>
  <si>
    <t xml:space="preserve">2008</t>
  </si>
  <si>
    <t xml:space="preserve">بيجو 2008</t>
  </si>
  <si>
    <t xml:space="preserve">C182</t>
  </si>
  <si>
    <t xml:space="preserve">Citroen</t>
  </si>
  <si>
    <t xml:space="preserve">C3</t>
  </si>
  <si>
    <t xml:space="preserve">ستروين C3</t>
  </si>
  <si>
    <t xml:space="preserve">C183</t>
  </si>
  <si>
    <t xml:space="preserve">C-Elysee</t>
  </si>
  <si>
    <t xml:space="preserve">ستروين سي إليزيه</t>
  </si>
  <si>
    <t xml:space="preserve">C184</t>
  </si>
  <si>
    <t xml:space="preserve">C4</t>
  </si>
  <si>
    <t xml:space="preserve">ستروين C4</t>
  </si>
  <si>
    <t xml:space="preserve">C185</t>
  </si>
  <si>
    <t xml:space="preserve">C5 Aircross</t>
  </si>
  <si>
    <t xml:space="preserve">ستروين سي 5 إيركروس</t>
  </si>
  <si>
    <t xml:space="preserve">C186</t>
  </si>
  <si>
    <t xml:space="preserve">Fiat</t>
  </si>
  <si>
    <t xml:space="preserve">128</t>
  </si>
  <si>
    <t xml:space="preserve">فيات 128</t>
  </si>
  <si>
    <t xml:space="preserve">C187</t>
  </si>
  <si>
    <t xml:space="preserve">Shahin</t>
  </si>
  <si>
    <t xml:space="preserve">فيات شاهين</t>
  </si>
  <si>
    <t xml:space="preserve">C188</t>
  </si>
  <si>
    <t xml:space="preserve">Tipo</t>
  </si>
  <si>
    <t xml:space="preserve">فيات تيبو</t>
  </si>
  <si>
    <t xml:space="preserve">C189</t>
  </si>
  <si>
    <t xml:space="preserve">Punto</t>
  </si>
  <si>
    <t xml:space="preserve">فيات بونتو</t>
  </si>
  <si>
    <t xml:space="preserve">C190</t>
  </si>
  <si>
    <t xml:space="preserve">Linea</t>
  </si>
  <si>
    <t xml:space="preserve">فيات لينيا</t>
  </si>
  <si>
    <t xml:space="preserve">C191</t>
  </si>
  <si>
    <t xml:space="preserve">Uno</t>
  </si>
  <si>
    <t xml:space="preserve">فيات أونو</t>
  </si>
  <si>
    <t xml:space="preserve">C192</t>
  </si>
  <si>
    <t xml:space="preserve">Palio</t>
  </si>
  <si>
    <t xml:space="preserve">فيات باليو</t>
  </si>
  <si>
    <t xml:space="preserve">C193</t>
  </si>
  <si>
    <t xml:space="preserve">Doblo</t>
  </si>
  <si>
    <t xml:space="preserve">فيات دوبلو</t>
  </si>
  <si>
    <t xml:space="preserve">C194</t>
  </si>
  <si>
    <t xml:space="preserve">500</t>
  </si>
  <si>
    <t xml:space="preserve">فيات 500</t>
  </si>
  <si>
    <t xml:space="preserve">C195</t>
  </si>
  <si>
    <t xml:space="preserve">Albea</t>
  </si>
  <si>
    <t xml:space="preserve">فيات ألبيا</t>
  </si>
  <si>
    <t xml:space="preserve">C196</t>
  </si>
  <si>
    <t xml:space="preserve">Octavia A4</t>
  </si>
  <si>
    <t xml:space="preserve">أوكتافيا A4</t>
  </si>
  <si>
    <t xml:space="preserve">C197</t>
  </si>
  <si>
    <t xml:space="preserve">Octavia A5</t>
  </si>
  <si>
    <t xml:space="preserve">أوكتافيا A5</t>
  </si>
  <si>
    <t xml:space="preserve">C198</t>
  </si>
  <si>
    <t xml:space="preserve">Octavia A7</t>
  </si>
  <si>
    <t xml:space="preserve">أوكتافيا A7</t>
  </si>
  <si>
    <t xml:space="preserve">C199</t>
  </si>
  <si>
    <t xml:space="preserve">Octavia A8</t>
  </si>
  <si>
    <t xml:space="preserve">أوكتافيا A8</t>
  </si>
  <si>
    <t xml:space="preserve">C200</t>
  </si>
  <si>
    <t xml:space="preserve">Fabia 6Y</t>
  </si>
  <si>
    <t xml:space="preserve">فابيا 6Y</t>
  </si>
  <si>
    <t xml:space="preserve">C201</t>
  </si>
  <si>
    <t xml:space="preserve">Fabia NJ</t>
  </si>
  <si>
    <t xml:space="preserve">فابيا NJ</t>
  </si>
  <si>
    <t xml:space="preserve">C202</t>
  </si>
  <si>
    <t xml:space="preserve">Rapid NH</t>
  </si>
  <si>
    <t xml:space="preserve">رابيد NH</t>
  </si>
  <si>
    <t xml:space="preserve">C203</t>
  </si>
  <si>
    <t xml:space="preserve">Kodiaq</t>
  </si>
  <si>
    <t xml:space="preserve">كودياك</t>
  </si>
  <si>
    <t xml:space="preserve">C204</t>
  </si>
  <si>
    <t xml:space="preserve">Karoq</t>
  </si>
  <si>
    <t xml:space="preserve">كاروك</t>
  </si>
  <si>
    <t xml:space="preserve">C205</t>
  </si>
  <si>
    <t xml:space="preserve">Superb B6</t>
  </si>
  <si>
    <t xml:space="preserve">سوبيرب B6</t>
  </si>
  <si>
    <t xml:space="preserve">C206</t>
  </si>
  <si>
    <t xml:space="preserve">Superb B8</t>
  </si>
  <si>
    <t xml:space="preserve">سوبيرب B8</t>
  </si>
  <si>
    <t xml:space="preserve">C207</t>
  </si>
  <si>
    <t xml:space="preserve">Volkswagen</t>
  </si>
  <si>
    <t xml:space="preserve">Golf Mk5</t>
  </si>
  <si>
    <t xml:space="preserve">جولف Mk5</t>
  </si>
  <si>
    <t xml:space="preserve">C208</t>
  </si>
  <si>
    <t xml:space="preserve">Golf Mk6</t>
  </si>
  <si>
    <t xml:space="preserve">جولف Mk6</t>
  </si>
  <si>
    <t xml:space="preserve">C209</t>
  </si>
  <si>
    <t xml:space="preserve">Golf Mk7</t>
  </si>
  <si>
    <t xml:space="preserve">جولف Mk7</t>
  </si>
  <si>
    <t xml:space="preserve">C210</t>
  </si>
  <si>
    <t xml:space="preserve">Jetta Mk6</t>
  </si>
  <si>
    <t xml:space="preserve">جيتا Mk6</t>
  </si>
  <si>
    <t xml:space="preserve">C211</t>
  </si>
  <si>
    <t xml:space="preserve">Jetta Mk7</t>
  </si>
  <si>
    <t xml:space="preserve">جيتا Mk7</t>
  </si>
  <si>
    <t xml:space="preserve">C212</t>
  </si>
  <si>
    <t xml:space="preserve">Passat B6</t>
  </si>
  <si>
    <t xml:space="preserve">باسات B6</t>
  </si>
  <si>
    <t xml:space="preserve">C213</t>
  </si>
  <si>
    <t xml:space="preserve">Passat B8</t>
  </si>
  <si>
    <t xml:space="preserve">باسات B8</t>
  </si>
  <si>
    <t xml:space="preserve">C214</t>
  </si>
  <si>
    <t xml:space="preserve">Tiguan 5N</t>
  </si>
  <si>
    <t xml:space="preserve">تيجوان 5N</t>
  </si>
  <si>
    <t xml:space="preserve">C215</t>
  </si>
  <si>
    <t xml:space="preserve">Tiguan AD1</t>
  </si>
  <si>
    <t xml:space="preserve">تيجوان AD1</t>
  </si>
  <si>
    <t xml:space="preserve">C216</t>
  </si>
  <si>
    <t xml:space="preserve">Seat</t>
  </si>
  <si>
    <t xml:space="preserve">Leon 1P</t>
  </si>
  <si>
    <t xml:space="preserve">سيات ليون 1P</t>
  </si>
  <si>
    <t xml:space="preserve">C217</t>
  </si>
  <si>
    <t xml:space="preserve">Leon 5F</t>
  </si>
  <si>
    <t xml:space="preserve">سيات ليون 5F</t>
  </si>
  <si>
    <t xml:space="preserve">C218</t>
  </si>
  <si>
    <t xml:space="preserve">Ibiza 6J</t>
  </si>
  <si>
    <t xml:space="preserve">سيات إيبيزا 6J</t>
  </si>
  <si>
    <t xml:space="preserve">C219</t>
  </si>
  <si>
    <t xml:space="preserve">Toledo</t>
  </si>
  <si>
    <t xml:space="preserve">سيات توليدو</t>
  </si>
  <si>
    <t xml:space="preserve">C220</t>
  </si>
  <si>
    <t xml:space="preserve">BMW</t>
  </si>
  <si>
    <t xml:space="preserve">316i E46</t>
  </si>
  <si>
    <t xml:space="preserve">بي إم دبليو 316i E46</t>
  </si>
  <si>
    <t xml:space="preserve">C221</t>
  </si>
  <si>
    <t xml:space="preserve">320i E90</t>
  </si>
  <si>
    <t xml:space="preserve">بي إم دبليو 320i E90</t>
  </si>
  <si>
    <t xml:space="preserve">C222</t>
  </si>
  <si>
    <t xml:space="preserve">320i F30</t>
  </si>
  <si>
    <t xml:space="preserve">بي إم دبليو 320i F30</t>
  </si>
  <si>
    <t xml:space="preserve">C223</t>
  </si>
  <si>
    <t xml:space="preserve">320i G20</t>
  </si>
  <si>
    <t xml:space="preserve">بي إم دبليو 320i G20</t>
  </si>
  <si>
    <t xml:space="preserve">C224</t>
  </si>
  <si>
    <t xml:space="preserve">520i E60</t>
  </si>
  <si>
    <t xml:space="preserve">بي إم دبليو 520i E60</t>
  </si>
  <si>
    <t xml:space="preserve">تكييف، زجاج كهربائي، قفل مركزي، مقاعد كهربائية، إضاءة LED</t>
  </si>
  <si>
    <t xml:space="preserve">C225</t>
  </si>
  <si>
    <t xml:space="preserve">520i F10</t>
  </si>
  <si>
    <t xml:space="preserve">بي إم دبليو 520i F10</t>
  </si>
  <si>
    <t xml:space="preserve">C226</t>
  </si>
  <si>
    <t xml:space="preserve">X1 E84</t>
  </si>
  <si>
    <t xml:space="preserve">بي إم دبليو X1 E84</t>
  </si>
  <si>
    <t xml:space="preserve">C227</t>
  </si>
  <si>
    <t xml:space="preserve">X3 F25</t>
  </si>
  <si>
    <t xml:space="preserve">بي إم دبليو X3 F25</t>
  </si>
  <si>
    <t xml:space="preserve">C228</t>
  </si>
  <si>
    <t xml:space="preserve">X5 E70</t>
  </si>
  <si>
    <t xml:space="preserve">بي إم دبليو X5 E70</t>
  </si>
  <si>
    <t xml:space="preserve">تكييف، زجاج كهربائي، قفل مركزي، ABS، مقاعد كهربائية، إضاءة LED</t>
  </si>
  <si>
    <t xml:space="preserve">C229</t>
  </si>
  <si>
    <t xml:space="preserve">Mercedes-Benz</t>
  </si>
  <si>
    <t xml:space="preserve">C180 W203</t>
  </si>
  <si>
    <t xml:space="preserve">مرسيدس C180 W203</t>
  </si>
  <si>
    <t xml:space="preserve">C230</t>
  </si>
  <si>
    <t xml:space="preserve">C180 W204</t>
  </si>
  <si>
    <t xml:space="preserve">مرسيدس C180 W204</t>
  </si>
  <si>
    <t xml:space="preserve">C231</t>
  </si>
  <si>
    <t xml:space="preserve">C200 W205</t>
  </si>
  <si>
    <t xml:space="preserve">مرسيدس C200 W205</t>
  </si>
  <si>
    <t xml:space="preserve">C232</t>
  </si>
  <si>
    <t xml:space="preserve">C200 W206</t>
  </si>
  <si>
    <t xml:space="preserve">مرسيدس C200 W206</t>
  </si>
  <si>
    <t xml:space="preserve">C233</t>
  </si>
  <si>
    <t xml:space="preserve">E200 W211</t>
  </si>
  <si>
    <t xml:space="preserve">مرسيدس E200 W211</t>
  </si>
  <si>
    <t xml:space="preserve">C234</t>
  </si>
  <si>
    <t xml:space="preserve">E200 W212</t>
  </si>
  <si>
    <t xml:space="preserve">مرسيدس E200 W212</t>
  </si>
  <si>
    <t xml:space="preserve">تكييف، زجاج كهربائي، قفل مركزي، ABS، مرايات كهربائية، حساسات ركن خلفية، مقاعد كهربائية، إضاءة LED</t>
  </si>
  <si>
    <t xml:space="preserve">C235</t>
  </si>
  <si>
    <t xml:space="preserve">E200 W213</t>
  </si>
  <si>
    <t xml:space="preserve">مرسيدس E200 W213</t>
  </si>
  <si>
    <t xml:space="preserve">C236</t>
  </si>
  <si>
    <t xml:space="preserve">A180 W176</t>
  </si>
  <si>
    <t xml:space="preserve">مرسيدس A180 W176</t>
  </si>
  <si>
    <t xml:space="preserve">C237</t>
  </si>
  <si>
    <t xml:space="preserve">GLA 200</t>
  </si>
  <si>
    <t xml:space="preserve">مرسيدس GLA 200</t>
  </si>
  <si>
    <t xml:space="preserve">C238</t>
  </si>
  <si>
    <t xml:space="preserve">GLC 200</t>
  </si>
  <si>
    <t xml:space="preserve">مرسيدس GLC 200</t>
  </si>
  <si>
    <t xml:space="preserve">C239</t>
  </si>
  <si>
    <t xml:space="preserve">190E W201</t>
  </si>
  <si>
    <t xml:space="preserve">مرسيدس 190E W201</t>
  </si>
  <si>
    <t xml:space="preserve">C240</t>
  </si>
  <si>
    <t xml:space="preserve">Audi</t>
  </si>
  <si>
    <t xml:space="preserve">A3 8P</t>
  </si>
  <si>
    <t xml:space="preserve">أودي A3 8P</t>
  </si>
  <si>
    <t xml:space="preserve">C241</t>
  </si>
  <si>
    <t xml:space="preserve">A3 8V</t>
  </si>
  <si>
    <t xml:space="preserve">أودي A3 8V</t>
  </si>
  <si>
    <t xml:space="preserve">C242</t>
  </si>
  <si>
    <t xml:space="preserve">A4 B8</t>
  </si>
  <si>
    <t xml:space="preserve">أودي A4 B8</t>
  </si>
  <si>
    <t xml:space="preserve">C243</t>
  </si>
  <si>
    <t xml:space="preserve">A4 B9</t>
  </si>
  <si>
    <t xml:space="preserve">أودي A4 B9</t>
  </si>
  <si>
    <t xml:space="preserve">C244</t>
  </si>
  <si>
    <t xml:space="preserve">A6 C7</t>
  </si>
  <si>
    <t xml:space="preserve">أودي A6 C7</t>
  </si>
  <si>
    <t xml:space="preserve">C245</t>
  </si>
  <si>
    <t xml:space="preserve">Ford</t>
  </si>
  <si>
    <t xml:space="preserve">Focus Mk2</t>
  </si>
  <si>
    <t xml:space="preserve">فورد فوكس Mk2</t>
  </si>
  <si>
    <t xml:space="preserve">C246</t>
  </si>
  <si>
    <t xml:space="preserve">Focus Mk3</t>
  </si>
  <si>
    <t xml:space="preserve">فورد فوكس Mk3</t>
  </si>
  <si>
    <t xml:space="preserve">C247</t>
  </si>
  <si>
    <t xml:space="preserve">Fiesta Mk6</t>
  </si>
  <si>
    <t xml:space="preserve">فورد فييستا Mk6</t>
  </si>
  <si>
    <t xml:space="preserve">C248</t>
  </si>
  <si>
    <t xml:space="preserve">EcoSport</t>
  </si>
  <si>
    <t xml:space="preserve">فورد إيكو سبورت</t>
  </si>
  <si>
    <t xml:space="preserve">C249</t>
  </si>
  <si>
    <t xml:space="preserve">Kuga Mk2</t>
  </si>
  <si>
    <t xml:space="preserve">فورد كوجا Mk2</t>
  </si>
  <si>
    <t xml:space="preserve">C250</t>
  </si>
  <si>
    <t xml:space="preserve">Escape</t>
  </si>
  <si>
    <t xml:space="preserve">فورد إسكيب</t>
  </si>
  <si>
    <t xml:space="preserve">C251</t>
  </si>
  <si>
    <t xml:space="preserve">Opel</t>
  </si>
  <si>
    <t xml:space="preserve">Astra H</t>
  </si>
  <si>
    <t xml:space="preserve">أوبل أسترا H</t>
  </si>
  <si>
    <t xml:space="preserve">C252</t>
  </si>
  <si>
    <t xml:space="preserve">Astra J</t>
  </si>
  <si>
    <t xml:space="preserve">أوبل أسترا J</t>
  </si>
  <si>
    <t xml:space="preserve">C253</t>
  </si>
  <si>
    <t xml:space="preserve">Astra K</t>
  </si>
  <si>
    <t xml:space="preserve">أوبل أسترا K</t>
  </si>
  <si>
    <t xml:space="preserve">C254</t>
  </si>
  <si>
    <t xml:space="preserve">Corsa D</t>
  </si>
  <si>
    <t xml:space="preserve">أوبل كورسا D</t>
  </si>
  <si>
    <t xml:space="preserve">C255</t>
  </si>
  <si>
    <t xml:space="preserve">Insignia</t>
  </si>
  <si>
    <t xml:space="preserve">أوبل إنسيجنيا</t>
  </si>
  <si>
    <t xml:space="preserve">C256</t>
  </si>
  <si>
    <t xml:space="preserve">Mokka</t>
  </si>
  <si>
    <t xml:space="preserve">أوبل موكا</t>
  </si>
  <si>
    <t xml:space="preserve">C257</t>
  </si>
  <si>
    <t xml:space="preserve">Lada</t>
  </si>
  <si>
    <t xml:space="preserve">2107</t>
  </si>
  <si>
    <t xml:space="preserve">لادا 2107</t>
  </si>
  <si>
    <t xml:space="preserve">C258</t>
  </si>
  <si>
    <t xml:space="preserve">Niva</t>
  </si>
  <si>
    <t xml:space="preserve">لادا نيفا</t>
  </si>
  <si>
    <t xml:space="preserve">C259</t>
  </si>
  <si>
    <t xml:space="preserve">Samara</t>
  </si>
  <si>
    <t xml:space="preserve">لادا ساماره</t>
  </si>
  <si>
    <t xml:space="preserve">C260</t>
  </si>
  <si>
    <t xml:space="preserve">Granta</t>
  </si>
  <si>
    <t xml:space="preserve">لادا جرانتا</t>
  </si>
  <si>
    <t xml:space="preserve">C261</t>
  </si>
  <si>
    <t xml:space="preserve">Vesta</t>
  </si>
  <si>
    <t xml:space="preserve">لادا فيستا</t>
  </si>
  <si>
    <t xml:space="preserve">C262</t>
  </si>
  <si>
    <t xml:space="preserve">Kalina</t>
  </si>
  <si>
    <t xml:space="preserve">لادا كالينا</t>
  </si>
  <si>
    <t xml:space="preserve">C263</t>
  </si>
  <si>
    <t xml:space="preserve">Jeep</t>
  </si>
  <si>
    <t xml:space="preserve">Wrangler JK</t>
  </si>
  <si>
    <t xml:space="preserve">جيب رانجلر JK</t>
  </si>
  <si>
    <t xml:space="preserve">C264</t>
  </si>
  <si>
    <t xml:space="preserve">Grand Cherokee WK2</t>
  </si>
  <si>
    <t xml:space="preserve">جيب جراند شيروكي WK2</t>
  </si>
  <si>
    <t xml:space="preserve">C265</t>
  </si>
  <si>
    <t xml:space="preserve">Compass MP</t>
  </si>
  <si>
    <t xml:space="preserve">جيب كومباس MP</t>
  </si>
  <si>
    <t xml:space="preserve">C266</t>
  </si>
  <si>
    <t xml:space="preserve">Renegade</t>
  </si>
  <si>
    <t xml:space="preserve">جيب رينيجيد</t>
  </si>
  <si>
    <t xml:space="preserve">C267</t>
  </si>
  <si>
    <t xml:space="preserve">Tiggo 3</t>
  </si>
  <si>
    <t xml:space="preserve">شيري تيجو 3</t>
  </si>
  <si>
    <t xml:space="preserve">C268</t>
  </si>
  <si>
    <t xml:space="preserve">Tiggo 5</t>
  </si>
  <si>
    <t xml:space="preserve">شيري تيجو 5</t>
  </si>
  <si>
    <t xml:space="preserve">C269</t>
  </si>
  <si>
    <t xml:space="preserve">Tiggo 7</t>
  </si>
  <si>
    <t xml:space="preserve">شيري تيجو 7</t>
  </si>
  <si>
    <t xml:space="preserve">C270</t>
  </si>
  <si>
    <t xml:space="preserve">Tiggo 4 Pro</t>
  </si>
  <si>
    <t xml:space="preserve">شيري تيجو 4 برو</t>
  </si>
  <si>
    <t xml:space="preserve">C271</t>
  </si>
  <si>
    <t xml:space="preserve">Arrizo 3</t>
  </si>
  <si>
    <t xml:space="preserve">شيري أريزو 3</t>
  </si>
  <si>
    <t xml:space="preserve">C272</t>
  </si>
  <si>
    <t xml:space="preserve">Arrizo 6</t>
  </si>
  <si>
    <t xml:space="preserve">شيري أريزو 6</t>
  </si>
  <si>
    <t xml:space="preserve">C273</t>
  </si>
  <si>
    <t xml:space="preserve">QQ</t>
  </si>
  <si>
    <t xml:space="preserve">شيري كيو كيو</t>
  </si>
  <si>
    <t xml:space="preserve">C274</t>
  </si>
  <si>
    <t xml:space="preserve">MG3</t>
  </si>
  <si>
    <t xml:space="preserve">إم جي 3</t>
  </si>
  <si>
    <t xml:space="preserve">C275</t>
  </si>
  <si>
    <t xml:space="preserve">5 Gen1</t>
  </si>
  <si>
    <t xml:space="preserve">إم جي 5 (الجيل الأول)</t>
  </si>
  <si>
    <t xml:space="preserve">C276</t>
  </si>
  <si>
    <t xml:space="preserve">MG6</t>
  </si>
  <si>
    <t xml:space="preserve">إم جي 6</t>
  </si>
  <si>
    <t xml:space="preserve">C277</t>
  </si>
  <si>
    <t xml:space="preserve">ZS</t>
  </si>
  <si>
    <t xml:space="preserve">إم جي زد إس</t>
  </si>
  <si>
    <t xml:space="preserve">C278</t>
  </si>
  <si>
    <t xml:space="preserve">HS 2020</t>
  </si>
  <si>
    <t xml:space="preserve">إم جي HS 2020</t>
  </si>
  <si>
    <t xml:space="preserve">C279</t>
  </si>
  <si>
    <t xml:space="preserve">RX5 2019</t>
  </si>
  <si>
    <t xml:space="preserve">إم جي RX5 2019</t>
  </si>
  <si>
    <t xml:space="preserve">C280</t>
  </si>
  <si>
    <t xml:space="preserve">MG350</t>
  </si>
  <si>
    <t xml:space="preserve">إم جي 350</t>
  </si>
  <si>
    <t xml:space="preserve">C281</t>
  </si>
  <si>
    <t xml:space="preserve">MG4 EV</t>
  </si>
  <si>
    <t xml:space="preserve">إم جي 4 كهرباء</t>
  </si>
  <si>
    <t xml:space="preserve">C282</t>
  </si>
  <si>
    <t xml:space="preserve">Geely</t>
  </si>
  <si>
    <t xml:space="preserve">Emgrand 7</t>
  </si>
  <si>
    <t xml:space="preserve">جيلي إمجراند 7</t>
  </si>
  <si>
    <t xml:space="preserve">C283</t>
  </si>
  <si>
    <t xml:space="preserve">Emgrand X7</t>
  </si>
  <si>
    <t xml:space="preserve">جيلي إمجراند X7</t>
  </si>
  <si>
    <t xml:space="preserve">C284</t>
  </si>
  <si>
    <t xml:space="preserve">Emgrand GS</t>
  </si>
  <si>
    <t xml:space="preserve">جيلي إمجراند GS</t>
  </si>
  <si>
    <t xml:space="preserve">C285</t>
  </si>
  <si>
    <t xml:space="preserve">Coolray</t>
  </si>
  <si>
    <t xml:space="preserve">جيلي كولراي</t>
  </si>
  <si>
    <t xml:space="preserve">C286</t>
  </si>
  <si>
    <t xml:space="preserve">Azkarra</t>
  </si>
  <si>
    <t xml:space="preserve">جيلي أزكارا</t>
  </si>
  <si>
    <t xml:space="preserve">C287</t>
  </si>
  <si>
    <t xml:space="preserve">CK</t>
  </si>
  <si>
    <t xml:space="preserve">جيلي سي كي</t>
  </si>
  <si>
    <t xml:space="preserve">C288</t>
  </si>
  <si>
    <t xml:space="preserve">BYD</t>
  </si>
  <si>
    <t xml:space="preserve">F3</t>
  </si>
  <si>
    <t xml:space="preserve">بي واي دي F3</t>
  </si>
  <si>
    <t xml:space="preserve">C289</t>
  </si>
  <si>
    <t xml:space="preserve">S6</t>
  </si>
  <si>
    <t xml:space="preserve">بي واي دي S6</t>
  </si>
  <si>
    <t xml:space="preserve">C290</t>
  </si>
  <si>
    <t xml:space="preserve">Song Plus Champion</t>
  </si>
  <si>
    <t xml:space="preserve">بي واي دي سونج بلس</t>
  </si>
  <si>
    <t xml:space="preserve">C291</t>
  </si>
  <si>
    <t xml:space="preserve">Yuan Plus</t>
  </si>
  <si>
    <t xml:space="preserve">بي واي دي يوان بلس</t>
  </si>
  <si>
    <t xml:space="preserve">C292</t>
  </si>
  <si>
    <t xml:space="preserve">H2</t>
  </si>
  <si>
    <t xml:space="preserve">هافال H2</t>
  </si>
  <si>
    <t xml:space="preserve">C293</t>
  </si>
  <si>
    <t xml:space="preserve">H6 2019</t>
  </si>
  <si>
    <t xml:space="preserve">هافال H6 2019</t>
  </si>
  <si>
    <t xml:space="preserve">C294</t>
  </si>
  <si>
    <t xml:space="preserve">Lexus</t>
  </si>
  <si>
    <t xml:space="preserve">ES 350</t>
  </si>
  <si>
    <t xml:space="preserve">لكزس ES 350</t>
  </si>
  <si>
    <t xml:space="preserve">C295</t>
  </si>
  <si>
    <t xml:space="preserve">RX 350</t>
  </si>
  <si>
    <t xml:space="preserve">لكزس RX 350</t>
  </si>
  <si>
    <t xml:space="preserve">C296</t>
  </si>
  <si>
    <t xml:space="preserve">Volvo</t>
  </si>
  <si>
    <t xml:space="preserve">S60</t>
  </si>
  <si>
    <t xml:space="preserve">فولفو S60</t>
  </si>
  <si>
    <t xml:space="preserve">C297</t>
  </si>
  <si>
    <t xml:space="preserve">XC60</t>
  </si>
  <si>
    <t xml:space="preserve">فولفو XC60</t>
  </si>
  <si>
    <t xml:space="preserve">C298</t>
  </si>
  <si>
    <t xml:space="preserve">Land Rover</t>
  </si>
  <si>
    <t xml:space="preserve">Range Rover Evoque</t>
  </si>
  <si>
    <t xml:space="preserve">لاند روفر رنج روفر إيفوك</t>
  </si>
  <si>
    <t xml:space="preserve">C299</t>
  </si>
  <si>
    <t xml:space="preserve">Discovery Sport</t>
  </si>
  <si>
    <t xml:space="preserve">لاند روفر ديسكفري سبورت</t>
  </si>
  <si>
    <t xml:space="preserve">C300</t>
  </si>
  <si>
    <t xml:space="preserve">Subaru</t>
  </si>
  <si>
    <t xml:space="preserve">Forester</t>
  </si>
  <si>
    <t xml:space="preserve">سوبارو فورستر</t>
  </si>
  <si>
    <t xml:space="preserve">Fault_ID</t>
  </si>
  <si>
    <t xml:space="preserve">Category</t>
  </si>
  <si>
    <t xml:space="preserve">Component</t>
  </si>
  <si>
    <t xml:space="preserve">Possible_Cause</t>
  </si>
  <si>
    <t xml:space="preserve">Solution</t>
  </si>
  <si>
    <t xml:space="preserve">Severity</t>
  </si>
  <si>
    <t xml:space="preserve">Safe_To_Drive</t>
  </si>
  <si>
    <t xml:space="preserve">Est_Cost_EGP_Min</t>
  </si>
  <si>
    <t xml:space="preserve">Est_Cost_EGP_Max</t>
  </si>
  <si>
    <t xml:space="preserve">F001</t>
  </si>
  <si>
    <t xml:space="preserve">محرك</t>
  </si>
  <si>
    <t xml:space="preserve">البوجيهات / الكويلات</t>
  </si>
  <si>
    <t xml:space="preserve">المحرك بيرتعش وهو واقف</t>
  </si>
  <si>
    <t xml:space="preserve">رعشة، هزة، المحرك بيهز، بيرتعش، عدم انتظام، ملل</t>
  </si>
  <si>
    <t xml:space="preserve">لمبة المحرك</t>
  </si>
  <si>
    <t xml:space="preserve">بوجيهات أو كويلات تالفة أو تسريب هواء أو حساس</t>
  </si>
  <si>
    <t xml:space="preserve">تغيير البوجيهات وفحص الكويلات والتروتل</t>
  </si>
  <si>
    <t xml:space="preserve">متوسط</t>
  </si>
  <si>
    <t xml:space="preserve">بحذر</t>
  </si>
  <si>
    <t xml:space="preserve">الكل</t>
  </si>
  <si>
    <t xml:space="preserve">يُفضل الفحص خلال أيام؛ التكلفة تقديرية</t>
  </si>
  <si>
    <t xml:space="preserve">F002</t>
  </si>
  <si>
    <t xml:space="preserve">الشنابر / جوانات الصمامات</t>
  </si>
  <si>
    <t xml:space="preserve">العربية بتاكل زيت ودخان أزرق من الشكمان</t>
  </si>
  <si>
    <t xml:space="preserve">دخان أزرق، بتاكل زيت، زيت بيقل، شنابر، استهلاك زيت</t>
  </si>
  <si>
    <t xml:space="preserve">لا توجد لمبة</t>
  </si>
  <si>
    <t xml:space="preserve">تآكل شنابر أو جوانات صمامات أو تسريب</t>
  </si>
  <si>
    <t xml:space="preserve">فحص الكمبريشن وإصلاح التسريب أو تغيير الجوانات</t>
  </si>
  <si>
    <t xml:space="preserve">F003</t>
  </si>
  <si>
    <t xml:space="preserve">الرافعات / الزيت</t>
  </si>
  <si>
    <t xml:space="preserve">صوت طقطقة (تكتكة) من المحرك</t>
  </si>
  <si>
    <t xml:space="preserve">تكتكة، طقطقة، تاكتك، رافعات، صوت المحرك</t>
  </si>
  <si>
    <t xml:space="preserve">زيت قليل أو لزج أو رافعات صمامات متآكلة</t>
  </si>
  <si>
    <t xml:space="preserve">فحص مستوى الزيت وتغييره بالنوع الصحيح وبعدها فحص الرافعات</t>
  </si>
  <si>
    <t xml:space="preserve">F004</t>
  </si>
  <si>
    <t xml:space="preserve">فلتر الهواء / الحساسات</t>
  </si>
  <si>
    <t xml:space="preserve">العربية تقيلة ومفيهاش سحب</t>
  </si>
  <si>
    <t xml:space="preserve">تقيلة، ضعف سحب، مفيش سحب، مبتجيبش سرعة، بطيئة</t>
  </si>
  <si>
    <t xml:space="preserve">فلتر بنزين أو هواء مسدود أو كتالايزر مسدود أو حساس تالف</t>
  </si>
  <si>
    <t xml:space="preserve">تغيير الفلاتر وفحص الحساسات والكتالايزر بجهاز الكمبيوتر</t>
  </si>
  <si>
    <t xml:space="preserve">F005</t>
  </si>
  <si>
    <t xml:space="preserve">البوجيهات / البطارية</t>
  </si>
  <si>
    <t xml:space="preserve">صعوبة في التشغيل الصبح</t>
  </si>
  <si>
    <t xml:space="preserve">صعب تدور الصبح، لازم أحاول كذا مرة، تشغيل على البارد</t>
  </si>
  <si>
    <t xml:space="preserve">بوجيهات ضعيفة أو بطارية ضعيفة أو حساس حرارة</t>
  </si>
  <si>
    <t xml:space="preserve">تغيير البوجيهات وفحص البطارية وحساس الحرارة</t>
  </si>
  <si>
    <t xml:space="preserve">بسيط</t>
  </si>
  <si>
    <t xml:space="preserve">يمكن تأجيله لأقرب صيانة دورية؛ التكلفة تقديرية</t>
  </si>
  <si>
    <t xml:space="preserve">F006</t>
  </si>
  <si>
    <t xml:space="preserve">جوان غطاء الصمامات / الكارتير</t>
  </si>
  <si>
    <t xml:space="preserve">بقع زيت تحت العربية</t>
  </si>
  <si>
    <t xml:space="preserve">بقع زيت، بتنقط زيت، تسريب زيت</t>
  </si>
  <si>
    <t xml:space="preserve">لمبة الزيت</t>
  </si>
  <si>
    <t xml:space="preserve">تلف جوان غطاء الصمامات أو الكارتير</t>
  </si>
  <si>
    <t xml:space="preserve">تحديد مكان التسريب وتغيير الجوان وتعبئة الزيت</t>
  </si>
  <si>
    <t xml:space="preserve">F007</t>
  </si>
  <si>
    <t xml:space="preserve">سير التايمنج</t>
  </si>
  <si>
    <t xml:space="preserve">صوت احتكاك أو تكتكة من جنب المحرك وعداد العربية عدى 100 ألف من غير تغيير التايمنج</t>
  </si>
  <si>
    <t xml:space="preserve">تايمنج، سير التايمنج، صوت من الجنب، عدى 100 ألف، تكتكة</t>
  </si>
  <si>
    <t xml:space="preserve">سير التايمنج متهالك أو الشداد ضعيف</t>
  </si>
  <si>
    <t xml:space="preserve">فحص السير والشداد وتغييرهم مع طلمبة المياه</t>
  </si>
  <si>
    <t xml:space="preserve">F008</t>
  </si>
  <si>
    <t xml:space="preserve">سير التايمنج المقطوع</t>
  </si>
  <si>
    <t xml:space="preserve">المحرك وقف فجأة وبعدها مش بيدور</t>
  </si>
  <si>
    <t xml:space="preserve">وقف فجأة، مش بيدور، السير اتقطع، فرقعة</t>
  </si>
  <si>
    <t xml:space="preserve">قطع سير التايمنج وقد يتلف الصمامات</t>
  </si>
  <si>
    <t xml:space="preserve">ونش للورشة وعدم محاولة التدوير، وفحص الصمامات وتغيير السير</t>
  </si>
  <si>
    <t xml:space="preserve">خطير</t>
  </si>
  <si>
    <t xml:space="preserve">توقف عن القيادة واتصل بونش أو ورشة؛ التكلفة تقديرية</t>
  </si>
  <si>
    <t xml:space="preserve">F009</t>
  </si>
  <si>
    <t xml:space="preserve">جنزير التايمنج</t>
  </si>
  <si>
    <t xml:space="preserve">خشخشة معدنية عند تشغيل المحرك الصبح</t>
  </si>
  <si>
    <t xml:space="preserve">خشخشة، جنزير، صوت معدني، الصبح، تشغيل بارد</t>
  </si>
  <si>
    <t xml:space="preserve">تمدد جنزير التايمنج أو ضعف الشداد</t>
  </si>
  <si>
    <t xml:space="preserve">تغيير الجنزير والشداد والجيدز</t>
  </si>
  <si>
    <t xml:space="preserve">F010</t>
  </si>
  <si>
    <t xml:space="preserve">سيل الكرنك الأمامي</t>
  </si>
  <si>
    <t xml:space="preserve">بقعة زيت أمام المحرك مع ريحة زيت محروق</t>
  </si>
  <si>
    <t xml:space="preserve">زيت قدام، سيل الكرنك، بقعة زيت، ريحة زيت</t>
  </si>
  <si>
    <t xml:space="preserve">تلف سيل الكرنك الأمامي</t>
  </si>
  <si>
    <t xml:space="preserve">تغيير السيل وتنظيف المنطقة</t>
  </si>
  <si>
    <t xml:space="preserve">F011</t>
  </si>
  <si>
    <t xml:space="preserve">سيل الكرنك الخلفي</t>
  </si>
  <si>
    <t xml:space="preserve">زيت بيتسرب بين المحرك والجير</t>
  </si>
  <si>
    <t xml:space="preserve">زيت بين المحرك والجير، تسريب خلفي، دبرياج متزيت</t>
  </si>
  <si>
    <t xml:space="preserve">تلف سيل الكرنك الخلفي</t>
  </si>
  <si>
    <t xml:space="preserve">فك الجير وتغيير السيل وفحص الدبرياج</t>
  </si>
  <si>
    <t xml:space="preserve">عملية مكلفة لأنها تحتاج فك الجير؛ التكلفة تقديرية</t>
  </si>
  <si>
    <t xml:space="preserve">F012</t>
  </si>
  <si>
    <t xml:space="preserve">ضغط الزيت</t>
  </si>
  <si>
    <t xml:space="preserve">لمبة الزيت تنور على الرمرمة وتنطفي مع السرعة</t>
  </si>
  <si>
    <t xml:space="preserve">لمبة الزيت بتنور وتنطفي، ضغط زيت، الرمرمة</t>
  </si>
  <si>
    <t xml:space="preserve">لمبة ضغط الزيت</t>
  </si>
  <si>
    <t xml:space="preserve">تآكل بيل المحرك أو زيت خفيف جدًا أو طلمبة ضعيفة</t>
  </si>
  <si>
    <t xml:space="preserve">قياس ضغط الزيت وتغيير الزيت بالمواصفة وفحص الطلمبة</t>
  </si>
  <si>
    <t xml:space="preserve">F013</t>
  </si>
  <si>
    <t xml:space="preserve">الزيت اللزج</t>
  </si>
  <si>
    <t xml:space="preserve">الزيت أسود وكثيف ولزج بسرعة</t>
  </si>
  <si>
    <t xml:space="preserve">زيت أسود، زيت تخين، سلاج، لزوجة</t>
  </si>
  <si>
    <t xml:space="preserve">تأخر تغيير الزيت أو جودة سيئة أو احتراق غير سليم</t>
  </si>
  <si>
    <t xml:space="preserve">تنظيف المحرك وتغيير الزيت والفلتر بانتظام</t>
  </si>
  <si>
    <t xml:space="preserve">F014</t>
  </si>
  <si>
    <t xml:space="preserve">الأذرع والكرنك</t>
  </si>
  <si>
    <t xml:space="preserve">صوت خبط ثقيل من أسفل المحرك يزيد مع السرعة</t>
  </si>
  <si>
    <t xml:space="preserve">خبط تقيل، طرق، من تحت المحرك، بيل، خبطة</t>
  </si>
  <si>
    <t xml:space="preserve">تآكل بيل الأذرع أو الكرنك</t>
  </si>
  <si>
    <t xml:space="preserve">وقف المحرك فورًا ونقله لورشة، وغالبًا إعادة بناء</t>
  </si>
  <si>
    <t xml:space="preserve">F015</t>
  </si>
  <si>
    <t xml:space="preserve">قاعدة المحرك</t>
  </si>
  <si>
    <t xml:space="preserve">اهتزاز شديد في الكرسي والدركسيون عند التسارع أو التعشيق</t>
  </si>
  <si>
    <t xml:space="preserve">قاعدة المحرك، رعشة، خبطة عند التعشيق، قواعد</t>
  </si>
  <si>
    <t xml:space="preserve">تلف قواعد المحرك المطاطية</t>
  </si>
  <si>
    <t xml:space="preserve">تغيير القاعدة التالفة</t>
  </si>
  <si>
    <t xml:space="preserve">F016</t>
  </si>
  <si>
    <t xml:space="preserve">الكمبريشن</t>
  </si>
  <si>
    <t xml:space="preserve">المحرك ضعيف وبيتقطع حتى بعد البوجيهات الجديدة</t>
  </si>
  <si>
    <t xml:space="preserve">ضعف الكمبريشن، ضغط السلندر، تقطيع، ضعف مستمر</t>
  </si>
  <si>
    <t xml:space="preserve">تآكل الشنابر أو الصمامات أو جوان الراس</t>
  </si>
  <si>
    <t xml:space="preserve">قياس الكمبريشن وتحديد السلندر المعطوب وإصلاح الراس أو الشنابر</t>
  </si>
  <si>
    <t xml:space="preserve">F017</t>
  </si>
  <si>
    <t xml:space="preserve">صمام EGR</t>
  </si>
  <si>
    <t xml:space="preserve">رعشة خفيفة وتقطيع عند السرعات المنخفضة</t>
  </si>
  <si>
    <t xml:space="preserve">EGR، تقطيع، رعشة خفيفة، سرعات بطيئة</t>
  </si>
  <si>
    <t xml:space="preserve">انسداد صمام EGR بالكربون</t>
  </si>
  <si>
    <t xml:space="preserve">تنظيف أو تغيير صمام EGR</t>
  </si>
  <si>
    <t xml:space="preserve">F018</t>
  </si>
  <si>
    <t xml:space="preserve">حساس تدفق الهواء MAF</t>
  </si>
  <si>
    <t xml:space="preserve">استهلاك بنزين عالي وسحب ضعيف ورمرمة غير ثابتة</t>
  </si>
  <si>
    <t xml:space="preserve">MAF، حساس الهواء، رمرمة، سحب، بنزين</t>
  </si>
  <si>
    <t xml:space="preserve">اتساخ أو عطل حساس MAF</t>
  </si>
  <si>
    <t xml:space="preserve">تنظيف الحساس بسبراي مخصص أو تغييره</t>
  </si>
  <si>
    <t xml:space="preserve">F019</t>
  </si>
  <si>
    <t xml:space="preserve">حساس MAP</t>
  </si>
  <si>
    <t xml:space="preserve">المحرك بيتقطع عند الصعود ولمبة المحرك منورة</t>
  </si>
  <si>
    <t xml:space="preserve">MAP، حساس الضغط، تقطيع، طلوع</t>
  </si>
  <si>
    <t xml:space="preserve">عطل حساس MAP أو خرطومه</t>
  </si>
  <si>
    <t xml:space="preserve">فحص الخرطوم وتغيير الحساس</t>
  </si>
  <si>
    <t xml:space="preserve">F020</t>
  </si>
  <si>
    <t xml:space="preserve">الثروتل</t>
  </si>
  <si>
    <t xml:space="preserve">الرمرمة بتتأرجح والعربية بتموت عند التوقف المفاجئ</t>
  </si>
  <si>
    <t xml:space="preserve">ترجرج الرمرمة، تروتل، بتموت عند التوقف، رمرمة غير ثابتة</t>
  </si>
  <si>
    <t xml:space="preserve">تراكم كربون على الثروتل أو عطل المحرك الكهربائي له</t>
  </si>
  <si>
    <t xml:space="preserve">تنظيف الثروتل وإعادة ضبطه أو تغييره</t>
  </si>
  <si>
    <t xml:space="preserve">F021</t>
  </si>
  <si>
    <t xml:space="preserve">حساس حرارة المحرك</t>
  </si>
  <si>
    <t xml:space="preserve">المروحة تشتغل طول الوقت والتشغيل على البارد صعب</t>
  </si>
  <si>
    <t xml:space="preserve">مروحة شغالة طول الوقت، حساس الحرارة، تشغيل بارد، إبرة الحرارة</t>
  </si>
  <si>
    <t xml:space="preserve">عطل حساس حرارة المياه</t>
  </si>
  <si>
    <t xml:space="preserve">تغيير حساس الحرارة</t>
  </si>
  <si>
    <t xml:space="preserve">F022</t>
  </si>
  <si>
    <t xml:space="preserve">حساس الكامة</t>
  </si>
  <si>
    <t xml:space="preserve">المحرك بيشتغل بصعوبة وبيفقد قوته ولمبة المحرك منورة</t>
  </si>
  <si>
    <t xml:space="preserve">حساس الكامة، تشغيل صعب، ضعف</t>
  </si>
  <si>
    <t xml:space="preserve">عطل حساس عمود الكامة</t>
  </si>
  <si>
    <t xml:space="preserve">قراءة الكود وتغيير الحساس</t>
  </si>
  <si>
    <t xml:space="preserve">F023</t>
  </si>
  <si>
    <t xml:space="preserve">كويل الإشعال</t>
  </si>
  <si>
    <t xml:space="preserve">المحرك بيرتعش مع ريحة بنزين خام وسلندر واحد ميت</t>
  </si>
  <si>
    <t xml:space="preserve">كويل، سلندر واحد ميت، بنزين خام، رعشة</t>
  </si>
  <si>
    <t xml:space="preserve">كويل إشعال تالف</t>
  </si>
  <si>
    <t xml:space="preserve">تغيير الكويل بعد فحصه بالتبديل بين السلندرات</t>
  </si>
  <si>
    <t xml:space="preserve">F024</t>
  </si>
  <si>
    <t xml:space="preserve">البخاخ المسدود</t>
  </si>
  <si>
    <t xml:space="preserve">تقطيع عند التسارع وسحب ضعيف في سلندر واحد</t>
  </si>
  <si>
    <t xml:space="preserve">بخاخ مسدود، تقطيع عند التسارع، تنضيف بخاخات</t>
  </si>
  <si>
    <t xml:space="preserve">انسداد أحد البخاخات</t>
  </si>
  <si>
    <t xml:space="preserve">تنظيف البخاخات بالموجات فوق الصوتية</t>
  </si>
  <si>
    <t xml:space="preserve">F025</t>
  </si>
  <si>
    <t xml:space="preserve">البخاخ المسرب</t>
  </si>
  <si>
    <t xml:space="preserve">ريحة بنزين واستهلاك زيادة وصعوبة تشغيل على الساخن</t>
  </si>
  <si>
    <t xml:space="preserve">بخاخ بيسرب، ريحة بنزين، صعوبة تشغيل ساخن</t>
  </si>
  <si>
    <t xml:space="preserve">تسريب أحد البخاخات</t>
  </si>
  <si>
    <t xml:space="preserve">تغيير البخاخ التالف وجوانته</t>
  </si>
  <si>
    <t xml:space="preserve">F026</t>
  </si>
  <si>
    <t xml:space="preserve">جوان غطاء الصمامات</t>
  </si>
  <si>
    <t xml:space="preserve">زيت في بئر البوجيهات مع تقطيع</t>
  </si>
  <si>
    <t xml:space="preserve">زيت في البوجي، جوان غطاء الصمامات، بوجي مبلول</t>
  </si>
  <si>
    <t xml:space="preserve">تسريب جوان غطاء الصمامات</t>
  </si>
  <si>
    <t xml:space="preserve">تغيير الجوان وتنظيف بئر البوجيهات وتغيير الكويلات المتضررة</t>
  </si>
  <si>
    <t xml:space="preserve">F027</t>
  </si>
  <si>
    <t xml:space="preserve">فلتر الزيت</t>
  </si>
  <si>
    <t xml:space="preserve">تسريب زيت بعد تغيير الزيت مباشرة</t>
  </si>
  <si>
    <t xml:space="preserve">تسريب بعد الصيانة، فلتر الزيت، زيت بيقطر</t>
  </si>
  <si>
    <t xml:space="preserve">فلتر زيت غير محكم أو جوان مفقود</t>
  </si>
  <si>
    <t xml:space="preserve">إحكام الفلتر أو تغييره</t>
  </si>
  <si>
    <t xml:space="preserve">F028</t>
  </si>
  <si>
    <t xml:space="preserve">بكرة الكرنك</t>
  </si>
  <si>
    <t xml:space="preserve">اهتزاز وصوت طقطقة من مقدمة المحرك</t>
  </si>
  <si>
    <t xml:space="preserve">بكرة الكرنك، الهارمونيك، اهتزاز مقدمة</t>
  </si>
  <si>
    <t xml:space="preserve">لمبة البطارية</t>
  </si>
  <si>
    <t xml:space="preserve">انفصال الجزء المطاطي في بكرة الكرنك</t>
  </si>
  <si>
    <t xml:space="preserve">تغيير بكرة الكرنك</t>
  </si>
  <si>
    <t xml:space="preserve">F029</t>
  </si>
  <si>
    <t xml:space="preserve">الشداد</t>
  </si>
  <si>
    <t xml:space="preserve">صوت صفير أو طقطقة متقطعة من السيور</t>
  </si>
  <si>
    <t xml:space="preserve">شداد، صفير متقطع، طقطقة، بكرة السير</t>
  </si>
  <si>
    <t xml:space="preserve">تآكل رولمان الشداد أو البكرة الايدلر</t>
  </si>
  <si>
    <t xml:space="preserve">تغيير الشداد والبكرة</t>
  </si>
  <si>
    <t xml:space="preserve">F030</t>
  </si>
  <si>
    <t xml:space="preserve">التيربو</t>
  </si>
  <si>
    <t xml:space="preserve">صفير عالٍ وفقدان واضح في القوة</t>
  </si>
  <si>
    <t xml:space="preserve">صفير التيربو، ضعف سحب، شفاط، تيربو</t>
  </si>
  <si>
    <t xml:space="preserve">تلف التيربو أو تسريب زيت منه</t>
  </si>
  <si>
    <t xml:space="preserve">فحص الشفط والهواء وتغيير أو إصلاح التيربو</t>
  </si>
  <si>
    <t xml:space="preserve">عربيات تيربو</t>
  </si>
  <si>
    <t xml:space="preserve">F031</t>
  </si>
  <si>
    <t xml:space="preserve">خراطيم الانتركولر</t>
  </si>
  <si>
    <t xml:space="preserve">فقدان قوة مفاجئ وصوت تسريب هواء</t>
  </si>
  <si>
    <t xml:space="preserve">انتركولر، خرطوم هوا، صوت هوا، فقدان قوة</t>
  </si>
  <si>
    <t xml:space="preserve">خرطوم أو وصلة هواء مفكوكة</t>
  </si>
  <si>
    <t xml:space="preserve">ربط أو تغيير الخرطوم</t>
  </si>
  <si>
    <t xml:space="preserve">F032</t>
  </si>
  <si>
    <t xml:space="preserve">صمام PCV</t>
  </si>
  <si>
    <t xml:space="preserve">تسريب زيت من عدة جوانات وضغط عند غطاء الزيت</t>
  </si>
  <si>
    <t xml:space="preserve">PCV، تهوية، دخان من غطاء الزيت، ضغط الكارتير</t>
  </si>
  <si>
    <t xml:space="preserve">انسداد صمام PCV</t>
  </si>
  <si>
    <t xml:space="preserve">تغيير صمام PCV وتنظيف الخراطيم</t>
  </si>
  <si>
    <t xml:space="preserve">F033</t>
  </si>
  <si>
    <t xml:space="preserve">صمام VVT</t>
  </si>
  <si>
    <t xml:space="preserve">خبط وضعف قوة عند السرعات المتوسطة</t>
  </si>
  <si>
    <t xml:space="preserve">VVT، تغيير زمن الصمامات، خبط، ضعف قوة</t>
  </si>
  <si>
    <t xml:space="preserve">عطل صمام VVT أو زيت متسخ</t>
  </si>
  <si>
    <t xml:space="preserve">تغيير الزيت وفحص صمام VVT وتغييره</t>
  </si>
  <si>
    <t xml:space="preserve">F034</t>
  </si>
  <si>
    <t xml:space="preserve">رطوبة الكويلات</t>
  </si>
  <si>
    <t xml:space="preserve">المحرك يرتعش بعد غسيل المحرك أو في الجو الرطب</t>
  </si>
  <si>
    <t xml:space="preserve">بعد الغسيل، رعشة، رطوبة، كويلات، شتاء</t>
  </si>
  <si>
    <t xml:space="preserve">تسرب مياه إلى الكويلات أو أسلاك البوجيهات</t>
  </si>
  <si>
    <t xml:space="preserve">تجفيف الكويلات وعزلها وتغيير التالف</t>
  </si>
  <si>
    <t xml:space="preserve">F035</t>
  </si>
  <si>
    <t xml:space="preserve">الرمرمة العالية</t>
  </si>
  <si>
    <t xml:space="preserve">سرعة المحرك على الرمرمة عالية فوق الطبيعي</t>
  </si>
  <si>
    <t xml:space="preserve">رمرمة عالية، عدد لفات عالي، تسريب هواء، التروتل</t>
  </si>
  <si>
    <t xml:space="preserve">تسريب هواء بعد الحساس أو عطل الثروتل</t>
  </si>
  <si>
    <t xml:space="preserve">فحص تسريب الفاكيوم وتنظيف الثروتل</t>
  </si>
  <si>
    <t xml:space="preserve">F036</t>
  </si>
  <si>
    <t xml:space="preserve">صمام الرمرمة</t>
  </si>
  <si>
    <t xml:space="preserve">المحرك بيموت عند الوقوف عند الإشارة</t>
  </si>
  <si>
    <t xml:space="preserve">بيموت عند الإشارة، رمرمة واطية، يطفي لما أقف</t>
  </si>
  <si>
    <t xml:space="preserve">عطل صمام الرمرمة أو اتساخ الحساسات</t>
  </si>
  <si>
    <t xml:space="preserve">تنظيف أو تغيير صمام الرمرمة</t>
  </si>
  <si>
    <t xml:space="preserve">F037</t>
  </si>
  <si>
    <t xml:space="preserve">تسريب الفاكيوم</t>
  </si>
  <si>
    <t xml:space="preserve">صفير من تحت الكبوت وتقطيع وسحب ضعيف</t>
  </si>
  <si>
    <t xml:space="preserve">صفير، تسريب فاكيوم، صوت هوا، رمرمة</t>
  </si>
  <si>
    <t xml:space="preserve">خرطوم فاكيوم مكسور أو جوان مجمع الهواء</t>
  </si>
  <si>
    <t xml:space="preserve">فحص الخراطيم بالدخان وتغيير التالف</t>
  </si>
  <si>
    <t xml:space="preserve">F038</t>
  </si>
  <si>
    <t xml:space="preserve">حساس مستوى الزيت</t>
  </si>
  <si>
    <t xml:space="preserve">لمبة مستوى الزيت بتنور ومستوى الزيت طبيعي</t>
  </si>
  <si>
    <t xml:space="preserve">لمبة مستوى الزيت، حساس الزيت، تنبيه غلط</t>
  </si>
  <si>
    <t xml:space="preserve">لمبة مستوى الزيت</t>
  </si>
  <si>
    <t xml:space="preserve">عطل حساس مستوى الزيت</t>
  </si>
  <si>
    <t xml:space="preserve">فحص المستوى بالمسطرة وتغيير الحساس</t>
  </si>
  <si>
    <t xml:space="preserve">F039</t>
  </si>
  <si>
    <t xml:space="preserve">شمعات التسخين</t>
  </si>
  <si>
    <t xml:space="preserve">عربية الديزل بتدور بصعوبة في الشتاء ودخان أبيض عند التشغيل</t>
  </si>
  <si>
    <t xml:space="preserve">شمعات التسخين، ديزل، شتاء، دخان أبيض</t>
  </si>
  <si>
    <t xml:space="preserve">لمبة شمعات التسخين</t>
  </si>
  <si>
    <t xml:space="preserve">تلف شمعات التسخين</t>
  </si>
  <si>
    <t xml:space="preserve">تغيير الشمعات والتأكد من الريليه</t>
  </si>
  <si>
    <t xml:space="preserve">F040</t>
  </si>
  <si>
    <t xml:space="preserve">بخاخات الديزل</t>
  </si>
  <si>
    <t xml:space="preserve">طرق عالي في الديزل مع دخان رمادي</t>
  </si>
  <si>
    <t xml:space="preserve">طرق ديزل، تكتكة، دخان رمادي، بخاخ ديزل</t>
  </si>
  <si>
    <t xml:space="preserve">بخاخات ديزل ضعيفة أو توقيت حقن خاطئ</t>
  </si>
  <si>
    <t xml:space="preserve">فحص وضبط البخاخات في مركز حقن</t>
  </si>
  <si>
    <t xml:space="preserve">F041</t>
  </si>
  <si>
    <t xml:space="preserve">بطارية الهايبرد</t>
  </si>
  <si>
    <t xml:space="preserve">لمبة النظام الهايبرد منورة وقلة التوفير في البنزين</t>
  </si>
  <si>
    <t xml:space="preserve">بطارية الهايبرد، توفير البنزين قل، لمبة الهايبرد</t>
  </si>
  <si>
    <t xml:space="preserve">لمبة النظام الهايبرد</t>
  </si>
  <si>
    <t xml:space="preserve">ضعف بطارية الجهد العالي</t>
  </si>
  <si>
    <t xml:space="preserve">فحص البطارية في مركز متخصص وتغيير خلية أو الباكيدج</t>
  </si>
  <si>
    <t xml:space="preserve">F042</t>
  </si>
  <si>
    <t xml:space="preserve">تبريد</t>
  </si>
  <si>
    <t xml:space="preserve">جوان راس السلندر</t>
  </si>
  <si>
    <t xml:space="preserve">دخان أبيض كثيف من الشكمان ومياه الردياتير بتقل</t>
  </si>
  <si>
    <t xml:space="preserve">دخان أبيض، بخار كتير، مياه الردياتير بتقل، جوان راس</t>
  </si>
  <si>
    <t xml:space="preserve">لمبة حرارة المحرك</t>
  </si>
  <si>
    <t xml:space="preserve">تسريب مياه التبريد للسلندرات بسبب جوان راس السلندر</t>
  </si>
  <si>
    <t xml:space="preserve">وقف المحرك وفحص الكمبريشن وتغيير الجوان وتسوية الراس</t>
  </si>
  <si>
    <t xml:space="preserve">F043</t>
  </si>
  <si>
    <t xml:space="preserve">الردياتير / الثرموستات / المروحة</t>
  </si>
  <si>
    <t xml:space="preserve">العربية بتسخن وإبرة الحرارة بتعلى</t>
  </si>
  <si>
    <t xml:space="preserve">سخونة، حرارة عالية، بخار من الكبوت، مروحة، مياه الردياتير، العربية بتسخن</t>
  </si>
  <si>
    <t xml:space="preserve">لمبة حرارة المحرك حمرا</t>
  </si>
  <si>
    <t xml:space="preserve">نقص مياه الردياتير أو عطل الثرموستات أو مروحة التبريد مش شغالة</t>
  </si>
  <si>
    <t xml:space="preserve">وقف العربية فورًا وافصل المحرك، استنى يبرد، افحص مستوى المياه، وغير الثرموستات أو المروحة حسب العطل</t>
  </si>
  <si>
    <t xml:space="preserve">F044</t>
  </si>
  <si>
    <t xml:space="preserve">الردياتير / الخراطيم</t>
  </si>
  <si>
    <t xml:space="preserve">تسريب مياه (أخضر أو وردي) تحت العربية</t>
  </si>
  <si>
    <t xml:space="preserve">بتنقط مياه، تسريب ردياتير، سائل أخضر، مياه تبريد، بقعة تحت العربية</t>
  </si>
  <si>
    <t xml:space="preserve">لمبة مستوى المياه</t>
  </si>
  <si>
    <t xml:space="preserve">تسريب من خرطوم أو الردياتير أو طلمبة المياه</t>
  </si>
  <si>
    <t xml:space="preserve">تحديد مكان التسريب وتغيير الخرطوم أو الردياتير أو الطلمبة وتعبئة مياه تبريد</t>
  </si>
  <si>
    <t xml:space="preserve">F045</t>
  </si>
  <si>
    <t xml:space="preserve">مروحة الردياتير</t>
  </si>
  <si>
    <t xml:space="preserve">المروحة مش شغالة والعربية بتسخن في الزحمة</t>
  </si>
  <si>
    <t xml:space="preserve">مروحة، الفان، سخونة في الزحمة، فان الردياتير</t>
  </si>
  <si>
    <t xml:space="preserve">عطل ريليه المروحة أو موتورها أو حساس الحرارة</t>
  </si>
  <si>
    <t xml:space="preserve">فحص الريليه والموتور والحساس وتغيير التالف</t>
  </si>
  <si>
    <t xml:space="preserve">F046</t>
  </si>
  <si>
    <t xml:space="preserve">الردياتير</t>
  </si>
  <si>
    <t xml:space="preserve">الردياتير مسدود من الداخل والحرارة تعلى على الطريق</t>
  </si>
  <si>
    <t xml:space="preserve">ردياتير مسدود، حرارة على الطريق، طيحان مياه</t>
  </si>
  <si>
    <t xml:space="preserve">ترسبات وصدأ في خلايا الردياتير</t>
  </si>
  <si>
    <t xml:space="preserve">غسيل الردياتير أو تغييره</t>
  </si>
  <si>
    <t xml:space="preserve">F047</t>
  </si>
  <si>
    <t xml:space="preserve">غطاء الردياتير</t>
  </si>
  <si>
    <t xml:space="preserve">ضغط مياه عالي وخراطيم منتفخة وطيحان المياه</t>
  </si>
  <si>
    <t xml:space="preserve">غطاء الردياتير، خراطيم منتفخة، بخار، مياه بتطلع</t>
  </si>
  <si>
    <t xml:space="preserve">غطاء الردياتير ضعيف ولا يحافظ على الضغط</t>
  </si>
  <si>
    <t xml:space="preserve">تغيير الغطاء وفحص الخراطيم</t>
  </si>
  <si>
    <t xml:space="preserve">الغطاء رخيص ويستحق التغيير الدوري؛ التكلفة تقديرية</t>
  </si>
  <si>
    <t xml:space="preserve">F048</t>
  </si>
  <si>
    <t xml:space="preserve">طلمبة المياه</t>
  </si>
  <si>
    <t xml:space="preserve">صوت صرير أو تسريب مياه من الطلمبة والمحرك بيسخن</t>
  </si>
  <si>
    <t xml:space="preserve">طلمبة المياه، تسريب من الأمام، صرير</t>
  </si>
  <si>
    <t xml:space="preserve">تآكل رولمان الطلمبة أو تسريب السيل</t>
  </si>
  <si>
    <t xml:space="preserve">تغيير طلمبة المياه ويفضل مع سير التايمنج</t>
  </si>
  <si>
    <t xml:space="preserve">F049</t>
  </si>
  <si>
    <t xml:space="preserve">الثرموستات المفتوح</t>
  </si>
  <si>
    <t xml:space="preserve">المحرك بياخد وقت طويل يسخن والتدفئة ضعيفة</t>
  </si>
  <si>
    <t xml:space="preserve">الثرموستات، تدفئة ضعيفة، المحرك بيسخن بطيء</t>
  </si>
  <si>
    <t xml:space="preserve">ثرموستات عالق على الوضع المفتوح</t>
  </si>
  <si>
    <t xml:space="preserve">تغيير الثرموستات</t>
  </si>
  <si>
    <t xml:space="preserve">F050</t>
  </si>
  <si>
    <t xml:space="preserve">الثرموستات المقفول</t>
  </si>
  <si>
    <t xml:space="preserve">الحرارة بتعلى بسرعة والخرطوم العلوي ساخن والسفلي بارد</t>
  </si>
  <si>
    <t xml:space="preserve">ثرموستات مقفول، خرطوم ساخن، سخونة سريعة</t>
  </si>
  <si>
    <t xml:space="preserve">ثرموستات عالق مقفول</t>
  </si>
  <si>
    <t xml:space="preserve">وقف العربية وتبريدها وتغيير الثرموستات</t>
  </si>
  <si>
    <t xml:space="preserve">F051</t>
  </si>
  <si>
    <t xml:space="preserve">خزان التمدد</t>
  </si>
  <si>
    <t xml:space="preserve">شرخ في خزان مياه التمدد ونقص المياه تدريجيًا</t>
  </si>
  <si>
    <t xml:space="preserve">خزان مياه، شرخ، ماء بيقل، التمدد</t>
  </si>
  <si>
    <t xml:space="preserve">تشقق الخزان البلاستيك مع الزمن</t>
  </si>
  <si>
    <t xml:space="preserve">تغيير خزان التمدد</t>
  </si>
  <si>
    <t xml:space="preserve">F052</t>
  </si>
  <si>
    <t xml:space="preserve">رادياتير التدفئة</t>
  </si>
  <si>
    <t xml:space="preserve">ريحة حلوة وضباب على الزجاج وبلل تحت الراكب</t>
  </si>
  <si>
    <t xml:space="preserve">ريحة حلوة، ضباب على الزجاج، بلل تحت الكراسي، رادياتير التدفئة</t>
  </si>
  <si>
    <t xml:space="preserve">تسريب رادياتير التدفئة</t>
  </si>
  <si>
    <t xml:space="preserve">تغيير رادياتير التدفئة</t>
  </si>
  <si>
    <t xml:space="preserve">F053</t>
  </si>
  <si>
    <t xml:space="preserve">مياه التبريد</t>
  </si>
  <si>
    <t xml:space="preserve">لون المياه بني ومتسخ وبتسخن بسرعة</t>
  </si>
  <si>
    <t xml:space="preserve">مياه بنية، كولانت، صدأ، لون مياه</t>
  </si>
  <si>
    <t xml:space="preserve">كولانت قديم أو خلط مياه عادية</t>
  </si>
  <si>
    <t xml:space="preserve">تفريغ النظام وغسيله وتعبئة كولانت بالمواصفة</t>
  </si>
  <si>
    <t xml:space="preserve">F054</t>
  </si>
  <si>
    <t xml:space="preserve">ريليه المروحة</t>
  </si>
  <si>
    <t xml:space="preserve">المروحة بتشتغل دايمًا حتى بعد إطفاء المحرك</t>
  </si>
  <si>
    <t xml:space="preserve">المروحة شغالة، بعد الإطفاء، ريليه المروحة، بطارية بتخلص</t>
  </si>
  <si>
    <t xml:space="preserve">ريليه المروحة لاصق</t>
  </si>
  <si>
    <t xml:space="preserve">تغيير الريليه</t>
  </si>
  <si>
    <t xml:space="preserve">F055</t>
  </si>
  <si>
    <t xml:space="preserve">حساس مستوى الكولانت</t>
  </si>
  <si>
    <t xml:space="preserve">لمبة المياه بتنور ومستوى المياه طبيعي</t>
  </si>
  <si>
    <t xml:space="preserve">حساس مستوى المياه، لمبة غلط</t>
  </si>
  <si>
    <t xml:space="preserve">عطل الحساس أو أسلاكه</t>
  </si>
  <si>
    <t xml:space="preserve">فحص المستوى وتغيير الحساس</t>
  </si>
  <si>
    <t xml:space="preserve">F056</t>
  </si>
  <si>
    <t xml:space="preserve">مبرد الزيت</t>
  </si>
  <si>
    <t xml:space="preserve">خلط الزيت والمياه وقوام الزيت كالحليب</t>
  </si>
  <si>
    <t xml:space="preserve">زيت زي اللبن، خلط زيت ومياه، مبرد الزيت</t>
  </si>
  <si>
    <t xml:space="preserve">تلف جوان مبرد الزيت</t>
  </si>
  <si>
    <t xml:space="preserve">وقف المحرك وفحص مبرد الزيت وتغييره وتغيير الزيت</t>
  </si>
  <si>
    <t xml:space="preserve">F057</t>
  </si>
  <si>
    <t xml:space="preserve">هواء في نظام التبريد</t>
  </si>
  <si>
    <t xml:space="preserve">فقاعات هواء في خزان الردياتير والحرارة بتتذبذب</t>
  </si>
  <si>
    <t xml:space="preserve">فقاعات، هواء في النظام، حرارة بتتأرجح</t>
  </si>
  <si>
    <t xml:space="preserve">هواء محبوس في نظام التبريد أو تسريب جوان</t>
  </si>
  <si>
    <t xml:space="preserve">تفريغ الهواء وفحص تسريب الجوان</t>
  </si>
  <si>
    <t xml:space="preserve">F058</t>
  </si>
  <si>
    <t xml:space="preserve">موتور المروحة</t>
  </si>
  <si>
    <t xml:space="preserve">صوت عالي من المروحة وبتدور ببطء</t>
  </si>
  <si>
    <t xml:space="preserve">مروحة بطيئة، صوت المروحة، موتور المروحة</t>
  </si>
  <si>
    <t xml:space="preserve">تآكل رولمان موتور المروحة</t>
  </si>
  <si>
    <t xml:space="preserve">تغيير موتور المروحة</t>
  </si>
  <si>
    <t xml:space="preserve">F059</t>
  </si>
  <si>
    <t xml:space="preserve">خراطيم التبريد</t>
  </si>
  <si>
    <t xml:space="preserve">خرطوم مياه منتفخ أو متشقق من الخارج</t>
  </si>
  <si>
    <t xml:space="preserve">خرطوم منتفخ، شرخ الخرطوم، خرطوم ردياتير</t>
  </si>
  <si>
    <t xml:space="preserve">تآكل المطاط مع الحرارة</t>
  </si>
  <si>
    <t xml:space="preserve">تغيير الخرطوم مع الكلامبس</t>
  </si>
  <si>
    <t xml:space="preserve">F060</t>
  </si>
  <si>
    <t xml:space="preserve">راس السلندر المشقوق</t>
  </si>
  <si>
    <t xml:space="preserve">المحرك بيسخن ويخلط المياه بالزيت بعد سخونة شديدة سابقة</t>
  </si>
  <si>
    <t xml:space="preserve">سخن مرة، رأس مشقوق، خلط مياه وزيت، تاريخ سخونة</t>
  </si>
  <si>
    <t xml:space="preserve">تشقق راس السلندر بعد ارتفاع حرارة شديد</t>
  </si>
  <si>
    <t xml:space="preserve">فحص الراس بالضغط وتغييره أو لحامه</t>
  </si>
  <si>
    <t xml:space="preserve">F061</t>
  </si>
  <si>
    <t xml:space="preserve">وقود</t>
  </si>
  <si>
    <t xml:space="preserve">طلمبة البنزين / الفلتر</t>
  </si>
  <si>
    <t xml:space="preserve">المحرك بيدور بس مش بيولع</t>
  </si>
  <si>
    <t xml:space="preserve">بيدور ومبيولعش، مش بتولع، طلمبة بنزين، فلتر بنزين، مفيش بنزين</t>
  </si>
  <si>
    <t xml:space="preserve">عطل طلمبة البنزين أو فلتر مسدود أو حساس الكرنك أو الكويلات</t>
  </si>
  <si>
    <t xml:space="preserve">فحص ضغط البنزين والشرارة وقراءة الأعطال بجهاز الكمبيوتر</t>
  </si>
  <si>
    <t xml:space="preserve">F062</t>
  </si>
  <si>
    <t xml:space="preserve">حساس الكرنك / الطلمبة</t>
  </si>
  <si>
    <t xml:space="preserve">العربية بتموت فجأة وأنا ماشي</t>
  </si>
  <si>
    <t xml:space="preserve">بتموت، بتفصل، بتطفي فجأة، بتقف لوحدها</t>
  </si>
  <si>
    <t xml:space="preserve">عطل حساس الكرنك أو طلمبة البنزين أو دينامو أو بطارية</t>
  </si>
  <si>
    <t xml:space="preserve">وقف العربية على جنب بأمان وقراءة الأعطال وفحص الطلمبة والدينامو</t>
  </si>
  <si>
    <t xml:space="preserve">F063</t>
  </si>
  <si>
    <t xml:space="preserve">فلتر الهواء / البوجيهات</t>
  </si>
  <si>
    <t xml:space="preserve">استهلاك بنزين عالي</t>
  </si>
  <si>
    <t xml:space="preserve">بتشرب بنزين، استهلاك عالي، بنزين كتير</t>
  </si>
  <si>
    <t xml:space="preserve">فلتر هواء أو بوجيهات أو ضغط كاوتش أو حساس أكسجين</t>
  </si>
  <si>
    <t xml:space="preserve">صيانة دورية وتغيير الفلاتر والبوجيهات وضبط ضغط الكاوتش</t>
  </si>
  <si>
    <t xml:space="preserve">F064</t>
  </si>
  <si>
    <t xml:space="preserve">الخراطيم / البخاخات</t>
  </si>
  <si>
    <t xml:space="preserve">ريحة بنزين داخل أو حوالين العربية</t>
  </si>
  <si>
    <t xml:space="preserve">ريحة بنزين، تسريب بنزين، بنزين بينقط</t>
  </si>
  <si>
    <t xml:space="preserve">تسريب وقود من خرطوم أو بخاخ أو الخزان</t>
  </si>
  <si>
    <t xml:space="preserve">وقف العربية وعدم تشغيلها وفحص التسريب وإصلاحه فورًا (خطر حريق)</t>
  </si>
  <si>
    <t xml:space="preserve">F065</t>
  </si>
  <si>
    <t xml:space="preserve">فلتر البنزين</t>
  </si>
  <si>
    <t xml:space="preserve">ضعف سحب عند السرعة والصعود وتقطيع</t>
  </si>
  <si>
    <t xml:space="preserve">فلتر البنزين، ضعف سحب، تقطيع، صعود</t>
  </si>
  <si>
    <t xml:space="preserve">فلتر مسدود</t>
  </si>
  <si>
    <t xml:space="preserve">تغيير الفلتر</t>
  </si>
  <si>
    <t xml:space="preserve">F066</t>
  </si>
  <si>
    <t xml:space="preserve">طلمبة البنزين الضعيفة</t>
  </si>
  <si>
    <t xml:space="preserve">العربية بتتقطع على السرعات العالية وبترجع بعد الوقوف</t>
  </si>
  <si>
    <t xml:space="preserve">طلمبة بنزين ضعيفة، تقطيع على السرعة، تفصل</t>
  </si>
  <si>
    <t xml:space="preserve">ضعف ضغط الطلمبة</t>
  </si>
  <si>
    <t xml:space="preserve">قياس ضغط البنزين وتغيير الطلمبة</t>
  </si>
  <si>
    <t xml:space="preserve">F067</t>
  </si>
  <si>
    <t xml:space="preserve">عائم الخزان</t>
  </si>
  <si>
    <t xml:space="preserve">عداد البنزين غلط أو بيتحرك لوحده</t>
  </si>
  <si>
    <t xml:space="preserve">عداد البنزين غلط، عائم الخزان، إبرة البنزين، بتنط</t>
  </si>
  <si>
    <t xml:space="preserve">تلف عائم الخزان أو الحساس</t>
  </si>
  <si>
    <t xml:space="preserve">تغيير العائم</t>
  </si>
  <si>
    <t xml:space="preserve">F068</t>
  </si>
  <si>
    <t xml:space="preserve">غطاء الخزان المفكوك</t>
  </si>
  <si>
    <t xml:space="preserve">لمبة المحرك منورة بعد التموين</t>
  </si>
  <si>
    <t xml:space="preserve">غطاء الخزان، بعد البنزين، لمبة المحرك، غطاء مش مقفول</t>
  </si>
  <si>
    <t xml:space="preserve">غطاء الخزان غير محكم</t>
  </si>
  <si>
    <t xml:space="preserve">إحكام الغطاء أو تغييره ومسح الكود</t>
  </si>
  <si>
    <t xml:space="preserve">F069</t>
  </si>
  <si>
    <t xml:space="preserve">منظم ضغط البنزين</t>
  </si>
  <si>
    <t xml:space="preserve">ريحة بنزين في فتحة الشفط وصعوبة تشغيل</t>
  </si>
  <si>
    <t xml:space="preserve">منظم ضغط البنزين، ريحة بنزين، صعوبة تشغيل ساخن</t>
  </si>
  <si>
    <t xml:space="preserve">تسريب ديافرام المنظم</t>
  </si>
  <si>
    <t xml:space="preserve">تغيير المنظم</t>
  </si>
  <si>
    <t xml:space="preserve">F070</t>
  </si>
  <si>
    <t xml:space="preserve">بنزين مغشوش</t>
  </si>
  <si>
    <t xml:space="preserve">تقطيع ورعشة بعد التموين من محطة معينة</t>
  </si>
  <si>
    <t xml:space="preserve">بنزين مغشوش، تقطيع بعد التموين، محطة، بنزين وحش</t>
  </si>
  <si>
    <t xml:space="preserve">بنزين رديء أو به ماء</t>
  </si>
  <si>
    <t xml:space="preserve">تفريغ الخزان وتغيير الفلتر والتموين من محطة موثوقة</t>
  </si>
  <si>
    <t xml:space="preserve">F071</t>
  </si>
  <si>
    <t xml:space="preserve">ماء في البنزين</t>
  </si>
  <si>
    <t xml:space="preserve">العربية تقف عقب سيول أو غسيل وتتقطع</t>
  </si>
  <si>
    <t xml:space="preserve">ماء في البنزين، بعد المطر، تقف، مياه في الخزان</t>
  </si>
  <si>
    <t xml:space="preserve">دخول ماء للخزان</t>
  </si>
  <si>
    <t xml:space="preserve">تفريغ الخزان وتغيير الفلتر</t>
  </si>
  <si>
    <t xml:space="preserve">F072</t>
  </si>
  <si>
    <t xml:space="preserve">خط البنزين</t>
  </si>
  <si>
    <t xml:space="preserve">بقعة بنزين وريحة قوية من تحت العربية</t>
  </si>
  <si>
    <t xml:space="preserve">خط البنزين، تسريب، ماسورة بنزين، بقعة بنزين</t>
  </si>
  <si>
    <t xml:space="preserve">تلف خرطوم أو ماسورة البنزين</t>
  </si>
  <si>
    <t xml:space="preserve">وقف العربية وتغيير الخط فورًا</t>
  </si>
  <si>
    <t xml:space="preserve">F073</t>
  </si>
  <si>
    <t xml:space="preserve">خزان البنزين الصدئ</t>
  </si>
  <si>
    <t xml:space="preserve">رواسب وصدأ في الفلتر وتقطيع متكرر</t>
  </si>
  <si>
    <t xml:space="preserve">خزان صدئ، رواسب، فلتر بنزين يتسد بسرعة</t>
  </si>
  <si>
    <t xml:space="preserve">تآكل الخزان من الداخل</t>
  </si>
  <si>
    <t xml:space="preserve">تنظيف أو تغيير الخزان</t>
  </si>
  <si>
    <t xml:space="preserve">F074</t>
  </si>
  <si>
    <t xml:space="preserve">صمام الكانيستر (EVAP)</t>
  </si>
  <si>
    <t xml:space="preserve">ريحة بنزين بعد التموين ولمبة المحرك</t>
  </si>
  <si>
    <t xml:space="preserve">الكانيستر، EVAP، ريحة بنزين، بعد التموين</t>
  </si>
  <si>
    <t xml:space="preserve">عطل صمام تنقية أبخرة الوقود</t>
  </si>
  <si>
    <t xml:space="preserve">تغيير الصمام أو الكانيستر</t>
  </si>
  <si>
    <t xml:space="preserve">F075</t>
  </si>
  <si>
    <t xml:space="preserve">فلتر الديزل</t>
  </si>
  <si>
    <t xml:space="preserve">ضعف سحب في الديزل وبطء استجابة</t>
  </si>
  <si>
    <t xml:space="preserve">فلتر الديزل، ضعف سحب، ماء في الديزل، ديزل</t>
  </si>
  <si>
    <t xml:space="preserve">لمبة المياه في الفلتر</t>
  </si>
  <si>
    <t xml:space="preserve">فلتر ديزل مسدود أو به ماء</t>
  </si>
  <si>
    <t xml:space="preserve">تغيير فلتر الديزل وتفريغ الماء</t>
  </si>
  <si>
    <t xml:space="preserve">F076</t>
  </si>
  <si>
    <t xml:space="preserve">طلمبة حقن الديزل</t>
  </si>
  <si>
    <t xml:space="preserve">العربية الديزل بتتقطع أو بتقف بعد التشغيل</t>
  </si>
  <si>
    <t xml:space="preserve">طلمبة الحقن، ديزل، بتقف، تقطيع</t>
  </si>
  <si>
    <t xml:space="preserve">ضعف طلمبة الحقن العالية</t>
  </si>
  <si>
    <t xml:space="preserve">فحص وإصلاح الطلمبة في مركز متخصص</t>
  </si>
  <si>
    <t xml:space="preserve">F077</t>
  </si>
  <si>
    <t xml:space="preserve">تسريب الغاز الطبيعي</t>
  </si>
  <si>
    <t xml:space="preserve">ريحة غاز أو ضعف في السحب على الغاز</t>
  </si>
  <si>
    <t xml:space="preserve">غاز طبيعي، ريحة غاز، ضعف على الغاز، تحويل</t>
  </si>
  <si>
    <t xml:space="preserve">تسريب وصلة أو ضعف منظم الضغط</t>
  </si>
  <si>
    <t xml:space="preserve">فحص التسريب بالمياه والصابون في مركز معتمد</t>
  </si>
  <si>
    <t xml:space="preserve">بنزين/غاز طبيعي</t>
  </si>
  <si>
    <t xml:space="preserve">F078</t>
  </si>
  <si>
    <t xml:space="preserve">منظم الغاز</t>
  </si>
  <si>
    <t xml:space="preserve">العربية تنقطع على الغاز وتشتغل على البنزين</t>
  </si>
  <si>
    <t xml:space="preserve">منظم الغاز، تقطع على الغاز، تحويل لبنزين</t>
  </si>
  <si>
    <t xml:space="preserve">عطل منظم الغاز أو الفلتر</t>
  </si>
  <si>
    <t xml:space="preserve">تغيير الفلتر وفحص المنظم</t>
  </si>
  <si>
    <t xml:space="preserve">F079</t>
  </si>
  <si>
    <t xml:space="preserve">تنفيس خزان البنزين</t>
  </si>
  <si>
    <t xml:space="preserve">صوت هسهسة عند فتح غطاء الخزان</t>
  </si>
  <si>
    <t xml:space="preserve">هسهسة غطاء الخزان، ضغط الخزان، فاكيوم الخزان</t>
  </si>
  <si>
    <t xml:space="preserve">انسداد تنفيس الخزان</t>
  </si>
  <si>
    <t xml:space="preserve">تنظيف أو تغيير صمام التنفيس</t>
  </si>
  <si>
    <t xml:space="preserve">F080</t>
  </si>
  <si>
    <t xml:space="preserve">عادم</t>
  </si>
  <si>
    <t xml:space="preserve">حساس الأكسجين / البخاخات</t>
  </si>
  <si>
    <t xml:space="preserve">دخان أسود من الشكمان</t>
  </si>
  <si>
    <t xml:space="preserve">دخان أسود، عادم أسود، بتحرق بنزين، شكمان أسود</t>
  </si>
  <si>
    <t xml:space="preserve">خليط غني بسبب فلتر هواء مسدود أو حساس أكسجين أو بخاخات</t>
  </si>
  <si>
    <t xml:space="preserve">تغيير فلتر الهواء وفحص الحساسات والبخاخات</t>
  </si>
  <si>
    <t xml:space="preserve">F081</t>
  </si>
  <si>
    <t xml:space="preserve">الشكمان / الكاتم</t>
  </si>
  <si>
    <t xml:space="preserve">صوت عالي من الشكمان</t>
  </si>
  <si>
    <t xml:space="preserve">صوت عادم، شكمان بيزن، كاتم</t>
  </si>
  <si>
    <t xml:space="preserve">خرق في الشكمان أو الكاتم</t>
  </si>
  <si>
    <t xml:space="preserve">لحام أو تغيير الشكمان أو الكاتم</t>
  </si>
  <si>
    <t xml:space="preserve">F082</t>
  </si>
  <si>
    <t xml:space="preserve">الكتالايزر</t>
  </si>
  <si>
    <t xml:space="preserve">ريحة بيض فاسد من الشكمان</t>
  </si>
  <si>
    <t xml:space="preserve">ريحة كبريت، ريحة بيض، كتالايزر</t>
  </si>
  <si>
    <t xml:space="preserve">تلف الكتالايزر أو خليط غني</t>
  </si>
  <si>
    <t xml:space="preserve">فحص الكتالايزر وحساسات الأكسجين وتغييره</t>
  </si>
  <si>
    <t xml:space="preserve">F083</t>
  </si>
  <si>
    <t xml:space="preserve">الكاتم الخلفي</t>
  </si>
  <si>
    <t xml:space="preserve">ثقب في الكاتم وصوت عادم عالي</t>
  </si>
  <si>
    <t xml:space="preserve">كاتم مثقوب، صوت عالي، عادم خلفي</t>
  </si>
  <si>
    <t xml:space="preserve">صدأ وثقب في الكاتم الخلفي</t>
  </si>
  <si>
    <t xml:space="preserve">لحام أو تغيير الكاتم</t>
  </si>
  <si>
    <t xml:space="preserve">F084</t>
  </si>
  <si>
    <t xml:space="preserve">مانيفولد العادم</t>
  </si>
  <si>
    <t xml:space="preserve">طقطقة على البارد تختفي مع التسخين</t>
  </si>
  <si>
    <t xml:space="preserve">مانيفولد، طقطقة على البارد، شرخ المانيفولد</t>
  </si>
  <si>
    <t xml:space="preserve">تشقق مانيفولد العادم</t>
  </si>
  <si>
    <t xml:space="preserve">تغيير أو لحام المانيفولد وجوانته</t>
  </si>
  <si>
    <t xml:space="preserve">F085</t>
  </si>
  <si>
    <t xml:space="preserve">جوان المانيفولد</t>
  </si>
  <si>
    <t xml:space="preserve">صوت فرقعة وريحة عادم تحت الكبوت</t>
  </si>
  <si>
    <t xml:space="preserve">جوان المانيفولد، تسريب عادم، صوت فرقعة</t>
  </si>
  <si>
    <t xml:space="preserve">تلف جوان المانيفولد</t>
  </si>
  <si>
    <t xml:space="preserve">تغيير الجوان وربط المسامير</t>
  </si>
  <si>
    <t xml:space="preserve">F086</t>
  </si>
  <si>
    <t xml:space="preserve">فلتر الجسيمات DPF</t>
  </si>
  <si>
    <t xml:space="preserve">لمبة DPF منورة وضعف قوة في الديزل</t>
  </si>
  <si>
    <t xml:space="preserve">DPF، فلتر العادم، ديزل، لمبة الفلتر</t>
  </si>
  <si>
    <t xml:space="preserve">لمبة DPF</t>
  </si>
  <si>
    <t xml:space="preserve">انسداد فلتر الجسيمات</t>
  </si>
  <si>
    <t xml:space="preserve">تنظيف أو تجديد الفلتر</t>
  </si>
  <si>
    <t xml:space="preserve">F087</t>
  </si>
  <si>
    <t xml:space="preserve">حساس الأكسجين الأمامي</t>
  </si>
  <si>
    <t xml:space="preserve">استهلاك بنزين عالي ولمبة المحرك منورة</t>
  </si>
  <si>
    <t xml:space="preserve">حساس الأكسجين، لامبدا، لمبة المحرك، استهلاك بنزين</t>
  </si>
  <si>
    <t xml:space="preserve">عطل حساس الأكسجين قبل الكتالايزر</t>
  </si>
  <si>
    <t xml:space="preserve">تغيير الحساس</t>
  </si>
  <si>
    <t xml:space="preserve">F088</t>
  </si>
  <si>
    <t xml:space="preserve">حساس الأكسجين الخلفي</t>
  </si>
  <si>
    <t xml:space="preserve">لمبة المحرك منورة بدون تغير في الأداء</t>
  </si>
  <si>
    <t xml:space="preserve">حساس الأكسجين الخلفي، بعد الكتالايزر، لمبة بدون أداء</t>
  </si>
  <si>
    <t xml:space="preserve">عطل حساس الأكسجين بعد الكتالايزر</t>
  </si>
  <si>
    <t xml:space="preserve">F089</t>
  </si>
  <si>
    <t xml:space="preserve">الكاتم الأوسط</t>
  </si>
  <si>
    <t xml:space="preserve">صوت رنين معدني تحت العربية</t>
  </si>
  <si>
    <t xml:space="preserve">رنين، كاتم أوسط، صوت معدني، شكمان</t>
  </si>
  <si>
    <t xml:space="preserve">ارتخاء أو تلف الكاتم الأوسط</t>
  </si>
  <si>
    <t xml:space="preserve">ربط أو تغيير الكاتم</t>
  </si>
  <si>
    <t xml:space="preserve">F090</t>
  </si>
  <si>
    <t xml:space="preserve">دخول العادم للكابينة</t>
  </si>
  <si>
    <t xml:space="preserve">ريحة عادم داخل العربية</t>
  </si>
  <si>
    <t xml:space="preserve">ريحة عادم جوه العربية، تسريب عادم، صداع</t>
  </si>
  <si>
    <t xml:space="preserve">تسريب في وصلة العادم أو الجوان</t>
  </si>
  <si>
    <t xml:space="preserve">فحص العادم وإصلاح التسريب فورًا (خطر أول أكسيد الكربون)</t>
  </si>
  <si>
    <t xml:space="preserve">F091</t>
  </si>
  <si>
    <t xml:space="preserve">مواسير العادم</t>
  </si>
  <si>
    <t xml:space="preserve">مواسير العادم ماسكة صدأ ومتآكلة</t>
  </si>
  <si>
    <t xml:space="preserve">مواسير العادم، صدأ، شكمان متآكل</t>
  </si>
  <si>
    <t xml:space="preserve">صدأ وتآكل بمرور السنين</t>
  </si>
  <si>
    <t xml:space="preserve">تغيير المواسير التالفة</t>
  </si>
  <si>
    <t xml:space="preserve">F092</t>
  </si>
  <si>
    <t xml:space="preserve">طرطقة العادم (Backfire)</t>
  </si>
  <si>
    <t xml:space="preserve">طرطقة وفرقعة من الشكمان عند رفع الرجل</t>
  </si>
  <si>
    <t xml:space="preserve">فرقعة، طرطقة، باك فاير، شكمان</t>
  </si>
  <si>
    <t xml:space="preserve">خليط غير مكتمل أو تسريب في العادم</t>
  </si>
  <si>
    <t xml:space="preserve">فحص الاحتراق والعادم</t>
  </si>
  <si>
    <t xml:space="preserve">F093</t>
  </si>
  <si>
    <t xml:space="preserve">البطارية / السلف</t>
  </si>
  <si>
    <t xml:space="preserve">العربية مش بتدور وبسمع طقطقة</t>
  </si>
  <si>
    <t xml:space="preserve">مش بتدور، طقطقة، سلف، بطارية، مفيش كهرباء، الكونتاكت</t>
  </si>
  <si>
    <t xml:space="preserve">بطارية ضعيفة أو أقطاب مؤكسدة أو عطل في السلف</t>
  </si>
  <si>
    <t xml:space="preserve">قياس فولت البطارية وتنظيف الأقطاب وتغيير البطارية، ولو سليمة يتفحص السلف والدينامو</t>
  </si>
  <si>
    <t xml:space="preserve">F094</t>
  </si>
  <si>
    <t xml:space="preserve">الدينامو / البطارية</t>
  </si>
  <si>
    <t xml:space="preserve">البطارية بتفضى بسرعة ولمبة البطارية منورة</t>
  </si>
  <si>
    <t xml:space="preserve">البطارية بتخلص، مفيش شحن، لمبة البطارية، الدينامو</t>
  </si>
  <si>
    <t xml:space="preserve">دينامو ضعيف أو سير الدينامو مفكوك أو سحب كهربائي مستمر</t>
  </si>
  <si>
    <t xml:space="preserve">فحص شحن الدينامو والسير وتغيير التالف أو تغيير البطارية</t>
  </si>
  <si>
    <t xml:space="preserve">F095</t>
  </si>
  <si>
    <t xml:space="preserve">اللمبات / الفيوز</t>
  </si>
  <si>
    <t xml:space="preserve">الأضوية ضعيفة أو لمبة بتطفي</t>
  </si>
  <si>
    <t xml:space="preserve">كشاف، نور ضعيف، لمبة محروقة، فيوز، الأنوار</t>
  </si>
  <si>
    <t xml:space="preserve">لمبة محروقة أو فيوز أو وصلة مفكوكة</t>
  </si>
  <si>
    <t xml:space="preserve">تغيير اللمبة أو الفيوز وفحص الوصلات</t>
  </si>
  <si>
    <t xml:space="preserve">F096</t>
  </si>
  <si>
    <t xml:space="preserve">الزجاج الكهربائي</t>
  </si>
  <si>
    <t xml:space="preserve">الزجاج الكهربائي (الشباك) واقف</t>
  </si>
  <si>
    <t xml:space="preserve">الازاز، الشباك، الشباك الكهربا، رافع الزجاج</t>
  </si>
  <si>
    <t xml:space="preserve">عطل سويتش أو ريليه أو موتور الزجاج</t>
  </si>
  <si>
    <t xml:space="preserve">فحص السويتش والموتور وتغيير التالف</t>
  </si>
  <si>
    <t xml:space="preserve">F097</t>
  </si>
  <si>
    <t xml:space="preserve">الريموت / القفل المركزي</t>
  </si>
  <si>
    <t xml:space="preserve">الريموت أو القفل المركزي مش شغال</t>
  </si>
  <si>
    <t xml:space="preserve">ريموت، مفتاح، القفل المركزي، بطارية الريموت</t>
  </si>
  <si>
    <t xml:space="preserve">بطارية الريموت خلصانة أو موتور القفل تالف</t>
  </si>
  <si>
    <t xml:space="preserve">تغيير بطارية الريموت وفحص موتور القفل</t>
  </si>
  <si>
    <t xml:space="preserve">F098</t>
  </si>
  <si>
    <t xml:space="preserve">الفيوزات / الأسلاك</t>
  </si>
  <si>
    <t xml:space="preserve">فيوز بيحرق باستمرار</t>
  </si>
  <si>
    <t xml:space="preserve">فيوز، ماس كهربائي، بيحرق فيوز، ريحة سلك</t>
  </si>
  <si>
    <t xml:space="preserve">ماس كهربائي في الأسلاك</t>
  </si>
  <si>
    <t xml:space="preserve">فحص الأسلاك وتحديد مكان الماس وإصلاحه فورًا (خطر حريق)</t>
  </si>
  <si>
    <t xml:space="preserve">F099</t>
  </si>
  <si>
    <t xml:space="preserve">الأسلاك / الكهرباء</t>
  </si>
  <si>
    <t xml:space="preserve">ريحة حريق أو بلاستيك محروق جوه العربية</t>
  </si>
  <si>
    <t xml:space="preserve">ريحة حريق، شياط، بلاستيك محروق، دخان</t>
  </si>
  <si>
    <t xml:space="preserve">ماس كهربائي أو سخونة وصلة</t>
  </si>
  <si>
    <t xml:space="preserve">وقف العربية وفصل البطارية وفحص الكهرباء فورًا (خطر حريق)</t>
  </si>
  <si>
    <t xml:space="preserve">F100</t>
  </si>
  <si>
    <t xml:space="preserve">الدينامو (الفحمات)</t>
  </si>
  <si>
    <t xml:space="preserve">لمبة البطارية تنور وتنطفي مع السرعة وصوت صفير من الدينامو</t>
  </si>
  <si>
    <t xml:space="preserve">دينامو بيصفر، لمبة البطارية متقطعة، شحن ضعيف</t>
  </si>
  <si>
    <t xml:space="preserve">تآكل فحمات الدينامو أو الريجولاتور</t>
  </si>
  <si>
    <t xml:space="preserve">تغيير الفحمات أو الدينامو</t>
  </si>
  <si>
    <t xml:space="preserve">F101</t>
  </si>
  <si>
    <t xml:space="preserve">أقطاب البطارية</t>
  </si>
  <si>
    <t xml:space="preserve">أقطاب البطارية عليها ترسبات بيضاء وتشغيل ضعيف</t>
  </si>
  <si>
    <t xml:space="preserve">أقطاب البطارية، ترسبات بيضاء، كبريتات، تشغيل ضعيف</t>
  </si>
  <si>
    <t xml:space="preserve">تأكسد أقطاب البطارية</t>
  </si>
  <si>
    <t xml:space="preserve">تنظيف الأقطاب وشحمها وربطها</t>
  </si>
  <si>
    <t xml:space="preserve">F102</t>
  </si>
  <si>
    <t xml:space="preserve">كابل الأرضي</t>
  </si>
  <si>
    <t xml:space="preserve">أعطال كهربائية متفرقة وإضاءة تتأرجح</t>
  </si>
  <si>
    <t xml:space="preserve">كابل الأرضي، جراوند، أعطال كهربائية متفرقة، إضاءة بتتأرجح</t>
  </si>
  <si>
    <t xml:space="preserve">كابل الأرضي مفكوك أو متآكل</t>
  </si>
  <si>
    <t xml:space="preserve">ربط أو تغيير كابل الأرضي</t>
  </si>
  <si>
    <t xml:space="preserve">F103</t>
  </si>
  <si>
    <t xml:space="preserve">السلف (البنديكس)</t>
  </si>
  <si>
    <t xml:space="preserve">صوت دوران السلف وبعدين مفيش اشتباك</t>
  </si>
  <si>
    <t xml:space="preserve">السلف بيلف ومش بيعشق، صوت زيز، بنديكس</t>
  </si>
  <si>
    <t xml:space="preserve">عطل بنديكس السلف</t>
  </si>
  <si>
    <t xml:space="preserve">تغيير البنديكس أو السلف</t>
  </si>
  <si>
    <t xml:space="preserve">F104</t>
  </si>
  <si>
    <t xml:space="preserve">سويتش الإشعال</t>
  </si>
  <si>
    <t xml:space="preserve">مفيش حاجة بتشتغل بعد لف المفتاح</t>
  </si>
  <si>
    <t xml:space="preserve">الكونتاكت، سويتش الإشعال، مفيش كهرباء</t>
  </si>
  <si>
    <t xml:space="preserve">عطل سويتش الإشعال</t>
  </si>
  <si>
    <t xml:space="preserve">تغيير سويتش الإشعال</t>
  </si>
  <si>
    <t xml:space="preserve">F105</t>
  </si>
  <si>
    <t xml:space="preserve">زر التشغيل والمفتاح الذكي</t>
  </si>
  <si>
    <t xml:space="preserve">الزر لا يستجيب والعربية مش بتشتغل</t>
  </si>
  <si>
    <t xml:space="preserve">زر الاستارت، مفتاح ذكي، مش بيستجيب</t>
  </si>
  <si>
    <t xml:space="preserve">بطارية المفتاح ضعيفة أو عطل وحدة الدخول</t>
  </si>
  <si>
    <t xml:space="preserve">تغيير بطارية المفتاح ووضعه جنب الزر وفحص الوحدة</t>
  </si>
  <si>
    <t xml:space="preserve">عربيات بزر تشغيل</t>
  </si>
  <si>
    <t xml:space="preserve">F106</t>
  </si>
  <si>
    <t xml:space="preserve">مساحات الزجاج</t>
  </si>
  <si>
    <t xml:space="preserve">المساحات بطيئة أو واقفة</t>
  </si>
  <si>
    <t xml:space="preserve">المساحات، مساحات الزجاج، مش بتتحرك، موتور المساحات</t>
  </si>
  <si>
    <t xml:space="preserve">عطل موتور أو فيوز أو ذراع المساحات</t>
  </si>
  <si>
    <t xml:space="preserve">فحص الفيوز وتغيير الموتور</t>
  </si>
  <si>
    <t xml:space="preserve">F107</t>
  </si>
  <si>
    <t xml:space="preserve">رشاش مياه الزجاج</t>
  </si>
  <si>
    <t xml:space="preserve">مياه الزجاج مش بتخرج</t>
  </si>
  <si>
    <t xml:space="preserve">رشاش المياه، مية الزجاج، طلمبة الرشاش، مسدودة</t>
  </si>
  <si>
    <t xml:space="preserve">طلمبة الرشاش معطلة أو البشابير مسدودة</t>
  </si>
  <si>
    <t xml:space="preserve">تنظيف البشابير وتغيير الطلمبة</t>
  </si>
  <si>
    <t xml:space="preserve">F108</t>
  </si>
  <si>
    <t xml:space="preserve">الكلاكس</t>
  </si>
  <si>
    <t xml:space="preserve">الكلاكس مش بيشتغل</t>
  </si>
  <si>
    <t xml:space="preserve">الكلاكس، الهورن، مفيش صوت</t>
  </si>
  <si>
    <t xml:space="preserve">فيوز أو ريليه أو الهورن نفسه</t>
  </si>
  <si>
    <t xml:space="preserve">فحص الفيوز والريليه وتغيير الهورن</t>
  </si>
  <si>
    <t xml:space="preserve">F109</t>
  </si>
  <si>
    <t xml:space="preserve">لمبة الفرامل الخلفية</t>
  </si>
  <si>
    <t xml:space="preserve">لمبة الفرامل الخلفية مش بتنور</t>
  </si>
  <si>
    <t xml:space="preserve">لمبة الفرامل، الفرامل الخلفية، لمبة ستوب، الفنار الخلفي</t>
  </si>
  <si>
    <t xml:space="preserve">لمبة محروقة أو سويتش الفرامل</t>
  </si>
  <si>
    <t xml:space="preserve">تغيير اللمبة أو السويتش</t>
  </si>
  <si>
    <t xml:space="preserve">F110</t>
  </si>
  <si>
    <t xml:space="preserve">إشارات الانعطاف</t>
  </si>
  <si>
    <t xml:space="preserve">الإشارة بتنور بسرعة مضاعفة</t>
  </si>
  <si>
    <t xml:space="preserve">الإشارة سريعة، لمبة محروقة، فلاشر، رماش</t>
  </si>
  <si>
    <t xml:space="preserve">لمبة محروقة تغير حمل الفلاشر</t>
  </si>
  <si>
    <t xml:space="preserve">تغيير اللمبة المحروقة</t>
  </si>
  <si>
    <t xml:space="preserve">F111</t>
  </si>
  <si>
    <t xml:space="preserve">كشافات الضباب</t>
  </si>
  <si>
    <t xml:space="preserve">كشافات الضباب لا تعمل</t>
  </si>
  <si>
    <t xml:space="preserve">كشافات الضباب، فوج، لمبة الضباب</t>
  </si>
  <si>
    <t xml:space="preserve">لمبة أو فيوز أو ريليه</t>
  </si>
  <si>
    <t xml:space="preserve">فحص وتغيير التالف</t>
  </si>
  <si>
    <t xml:space="preserve">F112</t>
  </si>
  <si>
    <t xml:space="preserve">الإضاءة الزينون</t>
  </si>
  <si>
    <t xml:space="preserve">ضوء الزينون بيرمش أو مش بينور</t>
  </si>
  <si>
    <t xml:space="preserve">زينون، بلاست، بيرمش، الكشاف</t>
  </si>
  <si>
    <t xml:space="preserve">تلف البلاست أو البصلة</t>
  </si>
  <si>
    <t xml:space="preserve">تغيير البلاست أو اللمبة</t>
  </si>
  <si>
    <t xml:space="preserve">عربيات زينون</t>
  </si>
  <si>
    <t xml:space="preserve">F113</t>
  </si>
  <si>
    <t xml:space="preserve">المرايات الكهربائية</t>
  </si>
  <si>
    <t xml:space="preserve">المرايات الكهربائية لا تتحرك</t>
  </si>
  <si>
    <t xml:space="preserve">المراية الكهربائية، مفيش حركة، مراية الراكب</t>
  </si>
  <si>
    <t xml:space="preserve">عطل سويتش أو موتور المراية</t>
  </si>
  <si>
    <t xml:space="preserve">تغيير المراية أو السويتش</t>
  </si>
  <si>
    <t xml:space="preserve">F114</t>
  </si>
  <si>
    <t xml:space="preserve">فتحة السقف</t>
  </si>
  <si>
    <t xml:space="preserve">السقف الزجاجي مش بيفتح أو بيزيق</t>
  </si>
  <si>
    <t xml:space="preserve">فتحة السقف، السقف مش بيفتح، موتور السقف، بانوراما</t>
  </si>
  <si>
    <t xml:space="preserve">عطل موتور أو مجرى مسدود</t>
  </si>
  <si>
    <t xml:space="preserve">تنظيف المجرى وفحص الموتور</t>
  </si>
  <si>
    <t xml:space="preserve">عربيات بفتحة سقف</t>
  </si>
  <si>
    <t xml:space="preserve">F115</t>
  </si>
  <si>
    <t xml:space="preserve">شاشة الترفيه</t>
  </si>
  <si>
    <t xml:space="preserve">الشاشة بتهنج أو بتطفي نفسها</t>
  </si>
  <si>
    <t xml:space="preserve">الشاشة بتهنج، شاشة الترفيه، ريستارت، سيستم</t>
  </si>
  <si>
    <t xml:space="preserve">خلل في البرمجة أو وحدة الشاشة</t>
  </si>
  <si>
    <t xml:space="preserve">تحديث البرمجة أو تغيير الوحدة</t>
  </si>
  <si>
    <t xml:space="preserve">F116</t>
  </si>
  <si>
    <t xml:space="preserve">البلوتوث</t>
  </si>
  <si>
    <t xml:space="preserve">الموبايل بيفصل من البلوتوث أو مش بيتوصل</t>
  </si>
  <si>
    <t xml:space="preserve">البلوتوث، فصل الموبايل، مش بيتوصل، اتصال</t>
  </si>
  <si>
    <t xml:space="preserve">إعدادات الاقتران أو برمجة الراديو</t>
  </si>
  <si>
    <t xml:space="preserve">حذف الاقتران وإعادته وتحديث البرمجة</t>
  </si>
  <si>
    <t xml:space="preserve">F117</t>
  </si>
  <si>
    <t xml:space="preserve">حساسات الركن</t>
  </si>
  <si>
    <t xml:space="preserve">حساسات الركن تصفر بدون سبب أو لا تعمل</t>
  </si>
  <si>
    <t xml:space="preserve">حساس الركن، صفير مستمر، حساسات ركن، بيبيبي</t>
  </si>
  <si>
    <t xml:space="preserve">اتساخ أو تلف أحد الحساسات</t>
  </si>
  <si>
    <t xml:space="preserve">تنظيف وفحص الحساسات وتغيير التالف</t>
  </si>
  <si>
    <t xml:space="preserve">F118</t>
  </si>
  <si>
    <t xml:space="preserve">كاميرا الرجوع</t>
  </si>
  <si>
    <t xml:space="preserve">الكاميرا الخلفية بتنطفي أو بتعرض صورة مشوشة</t>
  </si>
  <si>
    <t xml:space="preserve">كاميرا الخلفية، كاميرا الرجوع، صورة مشوشة، شاشة سودة</t>
  </si>
  <si>
    <t xml:space="preserve">رطوبة داخل الكاميرا أو كابل مقطوع</t>
  </si>
  <si>
    <t xml:space="preserve">تنظيف أو تغيير الكاميرا</t>
  </si>
  <si>
    <t xml:space="preserve">F119</t>
  </si>
  <si>
    <t xml:space="preserve">مثبت السرعة</t>
  </si>
  <si>
    <t xml:space="preserve">مثبت السرعة (الكروز) لا يعمل</t>
  </si>
  <si>
    <t xml:space="preserve">الكروز، مثبت السرعة، مش بيشتغل</t>
  </si>
  <si>
    <t xml:space="preserve">عطل سويتش الدواسة أو الأسلاك</t>
  </si>
  <si>
    <t xml:space="preserve">فحص سويتش الفرامل ودواسة الكروز</t>
  </si>
  <si>
    <t xml:space="preserve">F120</t>
  </si>
  <si>
    <t xml:space="preserve">الدواسة الإلكترونية</t>
  </si>
  <si>
    <t xml:space="preserve">رد فعل بطيء للدواسة والسيارة تدخل وضع الأمان</t>
  </si>
  <si>
    <t xml:space="preserve">الدواسة الإلكترونية، تأخر الرد، وضع الأمان</t>
  </si>
  <si>
    <t xml:space="preserve">عطل حساس الدواسة</t>
  </si>
  <si>
    <t xml:space="preserve">تغيير حساس أو دواسة الغاز</t>
  </si>
  <si>
    <t xml:space="preserve">F121</t>
  </si>
  <si>
    <t xml:space="preserve">علبة الفيوزات</t>
  </si>
  <si>
    <t xml:space="preserve">الأعطال الكهربائية بتحصل مع المطر</t>
  </si>
  <si>
    <t xml:space="preserve">المطر، ماس، مياه في العلبة، ريليه</t>
  </si>
  <si>
    <t xml:space="preserve">رطوبة داخل علبة الفيوزات</t>
  </si>
  <si>
    <t xml:space="preserve">فتح العلبة وتجفيفها وتغيير الفيوز والريليه</t>
  </si>
  <si>
    <t xml:space="preserve">F122</t>
  </si>
  <si>
    <t xml:space="preserve">وحدة تحكم المحرك ECU</t>
  </si>
  <si>
    <t xml:space="preserve">أعطال متعددة غير مفسرة وتوقف مفاجئ</t>
  </si>
  <si>
    <t xml:space="preserve">ECU، وحدة التحكم، أعطال متعددة، توقف</t>
  </si>
  <si>
    <t xml:space="preserve">عطل بوحدة تحكم المحرك</t>
  </si>
  <si>
    <t xml:space="preserve">فحص بجهاز وبرمجة أو تغيير الوحدة</t>
  </si>
  <si>
    <t xml:space="preserve">F123</t>
  </si>
  <si>
    <t xml:space="preserve">شريحة المفتاح (الإيموبيلايزر)</t>
  </si>
  <si>
    <t xml:space="preserve">العربية تعمل وتتوقف فجأة ولمبة المفتاح منورة</t>
  </si>
  <si>
    <t xml:space="preserve">الشريحة، إيموبيلايزر، مفتاح، بيطفي بعد التشغيل</t>
  </si>
  <si>
    <t xml:space="preserve">لمبة المفتاح</t>
  </si>
  <si>
    <t xml:space="preserve">مشكلة بالإيموبيلايزر أو شريحة المفتاح</t>
  </si>
  <si>
    <t xml:space="preserve">إعادة برمجة المفتاح أو تغيير الشريحة</t>
  </si>
  <si>
    <t xml:space="preserve">F124</t>
  </si>
  <si>
    <t xml:space="preserve">إضاءة الكابينة</t>
  </si>
  <si>
    <t xml:space="preserve">إضاءة داخل العربية لا تنطفئ وتفرغ البطارية</t>
  </si>
  <si>
    <t xml:space="preserve">إضاءة داخلية، لمبة السقف، بطارية بتفضى، الباب</t>
  </si>
  <si>
    <t xml:space="preserve">سويتش الباب لا يرجع</t>
  </si>
  <si>
    <t xml:space="preserve">تغيير سويتش الباب</t>
  </si>
  <si>
    <t xml:space="preserve">F125</t>
  </si>
  <si>
    <t xml:space="preserve">سويتش الباب</t>
  </si>
  <si>
    <t xml:space="preserve">لمبة الباب مفتوح لا تنطفئ والجرس يعمل</t>
  </si>
  <si>
    <t xml:space="preserve">الباب مفتوح، لمبة الباب، جرس، سويتش الباب</t>
  </si>
  <si>
    <t xml:space="preserve">لمبة الباب</t>
  </si>
  <si>
    <t xml:space="preserve">عطل سويتش القفل</t>
  </si>
  <si>
    <t xml:space="preserve">تنظيف أو تغيير السويتش</t>
  </si>
  <si>
    <t xml:space="preserve">F126</t>
  </si>
  <si>
    <t xml:space="preserve">سخان الزجاج الخلفي</t>
  </si>
  <si>
    <t xml:space="preserve">سخان الزجاج الخلفي لا يسخن</t>
  </si>
  <si>
    <t xml:space="preserve">سخان الزجاج، مزيل الضباب، الخلفي، خطوط</t>
  </si>
  <si>
    <t xml:space="preserve">قطع في خطوط السخان أو الفيوز</t>
  </si>
  <si>
    <t xml:space="preserve">فحص الفيوز وترميم الخطوط</t>
  </si>
  <si>
    <t xml:space="preserve">F127</t>
  </si>
  <si>
    <t xml:space="preserve">مقبس الولاعة</t>
  </si>
  <si>
    <t xml:space="preserve">الشاحن لا يعمل في الولاعة</t>
  </si>
  <si>
    <t xml:space="preserve">الولاعة، شاحن الموبايل، فيوز الولاعة</t>
  </si>
  <si>
    <t xml:space="preserve">فيوز الولاعة محروق</t>
  </si>
  <si>
    <t xml:space="preserve">تغيير الفيوز</t>
  </si>
  <si>
    <t xml:space="preserve">F128</t>
  </si>
  <si>
    <t xml:space="preserve">إشارة الطوارئ</t>
  </si>
  <si>
    <t xml:space="preserve">زر الطوارئ (الدبل) لا يعمل</t>
  </si>
  <si>
    <t xml:space="preserve">الدبل، لمبة الطوارئ، سويتش الدبل، فلاشر</t>
  </si>
  <si>
    <t xml:space="preserve">عطل سويتش أو فلاشر</t>
  </si>
  <si>
    <t xml:space="preserve">تغيير السويتش</t>
  </si>
  <si>
    <t xml:space="preserve">F129</t>
  </si>
  <si>
    <t xml:space="preserve">الإضاءة النهارية</t>
  </si>
  <si>
    <t xml:space="preserve">إضاءة الـ LED النهارية مطفية</t>
  </si>
  <si>
    <t xml:space="preserve">الإضاءة النهارية، DRL، لمبة نهارية</t>
  </si>
  <si>
    <t xml:space="preserve">لمبة أو وحدة تحكم تالفة</t>
  </si>
  <si>
    <t xml:space="preserve">تغيير اللمبة أو الوحدة</t>
  </si>
  <si>
    <t xml:space="preserve">F130</t>
  </si>
  <si>
    <t xml:space="preserve">تحذيرات التابلوه</t>
  </si>
  <si>
    <t xml:space="preserve">كمبيوتر المحرك</t>
  </si>
  <si>
    <t xml:space="preserve">لمبة المحرك (Check Engine) منورة ثابتة</t>
  </si>
  <si>
    <t xml:space="preserve">لمبة المحرك، تشيك أنجن، لمبة صفرا، لمبة البرتقاني، Check Engine</t>
  </si>
  <si>
    <t xml:space="preserve">لمبة المحرك صفراء</t>
  </si>
  <si>
    <t xml:space="preserve">عطل في حساس أو احتراق غير سليم أو غطاء خزان البنزين مش محكم</t>
  </si>
  <si>
    <t xml:space="preserve">قراءة كود العطل بجهاز دياجناسيس الأول وبعدها يتحدد العلاج</t>
  </si>
  <si>
    <t xml:space="preserve">F131</t>
  </si>
  <si>
    <t xml:space="preserve">الاحتراق / الكتالايزر</t>
  </si>
  <si>
    <t xml:space="preserve">لمبة المحرك بتفلش (بتومض)</t>
  </si>
  <si>
    <t xml:space="preserve">لمبة بتفلش، لمبة بتنط، لمبة المحرك بتومض، ميس فاير</t>
  </si>
  <si>
    <t xml:space="preserve">لمبة المحرك وامضة</t>
  </si>
  <si>
    <t xml:space="preserve">احتراق غير مكتمل شديد وممكن يتلف الكتالايزر</t>
  </si>
  <si>
    <t xml:space="preserve">وقف العربية وعدم الاستمرار، وفحص البوجيهات والكويلات فورًا</t>
  </si>
  <si>
    <t xml:space="preserve">F132</t>
  </si>
  <si>
    <t xml:space="preserve">طلمبة الزيت</t>
  </si>
  <si>
    <t xml:space="preserve">لمبة الزيت الحمرا منورة</t>
  </si>
  <si>
    <t xml:space="preserve">لمبة الزيت، لمبة حمرا، علبة الزيت، ضغط الزيت، زيت ناقص</t>
  </si>
  <si>
    <t xml:space="preserve">نقص الزيت أو ضعف طلمبة الزيت أو عطل الحساس</t>
  </si>
  <si>
    <t xml:space="preserve">وقف المحرك فورًا وفحص مستوى الزيت، ولو الزيت كفاية تتحول لورشة بونش</t>
  </si>
  <si>
    <t xml:space="preserve">F133</t>
  </si>
  <si>
    <t xml:space="preserve">ABS</t>
  </si>
  <si>
    <t xml:space="preserve">لمبة ABS منورة</t>
  </si>
  <si>
    <t xml:space="preserve">لمبة ABS، لمبة الفرامل، ايه بي اس</t>
  </si>
  <si>
    <t xml:space="preserve">لمبة ABS</t>
  </si>
  <si>
    <t xml:space="preserve">عطل حساس سرعة العجلة أو وحدة ABS</t>
  </si>
  <si>
    <t xml:space="preserve">قراءة الكود وتغيير الحساس التالف (الفرامل العادية بتفضل شغالة)</t>
  </si>
  <si>
    <t xml:space="preserve">F134</t>
  </si>
  <si>
    <t xml:space="preserve">حساسات الكاوتش TPMS</t>
  </si>
  <si>
    <t xml:space="preserve">لمبة ضغط الكاوتش منورة</t>
  </si>
  <si>
    <t xml:space="preserve">لمبة الكاوتش، TPMS، ضغط الكاوتش</t>
  </si>
  <si>
    <t xml:space="preserve">لمبة TPMS</t>
  </si>
  <si>
    <t xml:space="preserve">ضغط منخفض أو حساس تالف</t>
  </si>
  <si>
    <t xml:space="preserve">ضبط ضغط الكاوتش وفحص الحساسات</t>
  </si>
  <si>
    <t xml:space="preserve">F135</t>
  </si>
  <si>
    <t xml:space="preserve">الوسائد الهوائية</t>
  </si>
  <si>
    <t xml:space="preserve">لمبة الوسائد الهوائية (Airbag) منورة</t>
  </si>
  <si>
    <t xml:space="preserve">لمبة الايرباج، لمبة الوسادة، لمبة الشخص، airbag</t>
  </si>
  <si>
    <t xml:space="preserve">لمبة Airbag</t>
  </si>
  <si>
    <t xml:space="preserve">عطل حساس أو كابل أو وحدة التحكم</t>
  </si>
  <si>
    <t xml:space="preserve">قراءة الكود وإصلاح العطل (ممكن الوسائد متفتحش في حادث)</t>
  </si>
  <si>
    <t xml:space="preserve">F136</t>
  </si>
  <si>
    <t xml:space="preserve">نظام الثبات ESP</t>
  </si>
  <si>
    <t xml:space="preserve">لمبة ESP أو التحكم في الثبات منورة</t>
  </si>
  <si>
    <t xml:space="preserve">لمبة ESP، لمبة التحكم، ثبات، سيارة بتنزلق</t>
  </si>
  <si>
    <t xml:space="preserve">لمبة ESP</t>
  </si>
  <si>
    <t xml:space="preserve">عطل حساس زاوية الدركسيون أو حساس ABS</t>
  </si>
  <si>
    <t xml:space="preserve">قراءة الكود وفحص الحساسات</t>
  </si>
  <si>
    <t xml:space="preserve">F137</t>
  </si>
  <si>
    <t xml:space="preserve">الفرامل اليد / زيت الفرامل</t>
  </si>
  <si>
    <t xml:space="preserve">لمبة الفرامل حمرا منورة</t>
  </si>
  <si>
    <t xml:space="preserve">لمبة الفرامل، لمبة الفرامل اليد، لمبة حمرا</t>
  </si>
  <si>
    <t xml:space="preserve">لمبة الفرامل</t>
  </si>
  <si>
    <t xml:space="preserve">الفرامل اليد مرفوعة أو مستوى زيت الفرامل ناقص</t>
  </si>
  <si>
    <t xml:space="preserve">نزّل الفرامل اليد وافحص مستوى زيت الفرامل، ولو لسه منورة اوقف العربية</t>
  </si>
  <si>
    <t xml:space="preserve">F138</t>
  </si>
  <si>
    <t xml:space="preserve">نظام الصيانة</t>
  </si>
  <si>
    <t xml:space="preserve">لمبة الصيانة (سيرفيس) منورة</t>
  </si>
  <si>
    <t xml:space="preserve">لمبة السيرفيس، لمبة المفتاح، ميعاد الصيانة</t>
  </si>
  <si>
    <t xml:space="preserve">لمبة صيانة</t>
  </si>
  <si>
    <t xml:space="preserve">ميعاد الصيانة الدورية وصل</t>
  </si>
  <si>
    <t xml:space="preserve">عمل الصيانة وتصفير عداد الصيانة</t>
  </si>
  <si>
    <t xml:space="preserve">F139</t>
  </si>
  <si>
    <t xml:space="preserve">حزام الأمان</t>
  </si>
  <si>
    <t xml:space="preserve">لمبة وصوت تنبيه حزام الأمان رغم ربطه</t>
  </si>
  <si>
    <t xml:space="preserve">لمبة حزام الأمان، صوت تنبيه، حزام مربوط</t>
  </si>
  <si>
    <t xml:space="preserve">لمبة حزام الأمان</t>
  </si>
  <si>
    <t xml:space="preserve">عطل سويتش الحزام أو حساس المقعد</t>
  </si>
  <si>
    <t xml:space="preserve">تغيير سويتش الحزام</t>
  </si>
  <si>
    <t xml:space="preserve">F140</t>
  </si>
  <si>
    <t xml:space="preserve">نظام EPC</t>
  </si>
  <si>
    <t xml:space="preserve">لمبة EPC منورة والعربية على وضع الأمان</t>
  </si>
  <si>
    <t xml:space="preserve">EPC، لمبة EPC، وضع الأمان، قوة محدودة</t>
  </si>
  <si>
    <t xml:space="preserve">لمبة EPC</t>
  </si>
  <si>
    <t xml:space="preserve">عطل في الدواسة أو الثروتل أو الحساسات</t>
  </si>
  <si>
    <t xml:space="preserve">قراءة الكود وإصلاح</t>
  </si>
  <si>
    <t xml:space="preserve">فولكس وسكودا وسيات</t>
  </si>
  <si>
    <t xml:space="preserve">F141</t>
  </si>
  <si>
    <t xml:space="preserve">إيقاف ESP</t>
  </si>
  <si>
    <t xml:space="preserve">لمبة ESP OFF منورة بدون ما أضغط الزر</t>
  </si>
  <si>
    <t xml:space="preserve">ESP OFF، لمبة الثبات، التحكم الإلكتروني</t>
  </si>
  <si>
    <t xml:space="preserve">لمبة ESP OFF</t>
  </si>
  <si>
    <t xml:space="preserve">زر ESP عالق أو عطل الحساس</t>
  </si>
  <si>
    <t xml:space="preserve">فحص الزر وقراءة الكود</t>
  </si>
  <si>
    <t xml:space="preserve">F142</t>
  </si>
  <si>
    <t xml:space="preserve">الحفاظ على المسار</t>
  </si>
  <si>
    <t xml:space="preserve">لمبة الحفاظ على المسار صفراء ولا تعمل</t>
  </si>
  <si>
    <t xml:space="preserve">الحفاظ على المسار، كاميرا الزجاج، لمبة المسار</t>
  </si>
  <si>
    <t xml:space="preserve">لمبة نظام المسار</t>
  </si>
  <si>
    <t xml:space="preserve">كاميرا الزجاج متسخة أو غير معايرة</t>
  </si>
  <si>
    <t xml:space="preserve">تنظيف الزجاج ومعايرة الكاميرا</t>
  </si>
  <si>
    <t xml:space="preserve">F143</t>
  </si>
  <si>
    <t xml:space="preserve">حساس المطر</t>
  </si>
  <si>
    <t xml:space="preserve">المساحات لا تعمل تلقائيًا مع المطر</t>
  </si>
  <si>
    <t xml:space="preserve">حساس المطر، المساحات التلقائية، لمبة المطر</t>
  </si>
  <si>
    <t xml:space="preserve">اتساخ أو عطل حساس المطر</t>
  </si>
  <si>
    <t xml:space="preserve">تنظيف أو تغيير الحساس</t>
  </si>
  <si>
    <t xml:space="preserve">F144</t>
  </si>
  <si>
    <t xml:space="preserve">الإضاءة التلقائية</t>
  </si>
  <si>
    <t xml:space="preserve">الكشافات لا تنور تلقائيًا في العتمة</t>
  </si>
  <si>
    <t xml:space="preserve">إضاءة تلقائية، حساس الضوء، الكشافات مش بتنور</t>
  </si>
  <si>
    <t xml:space="preserve">عطل حساس الضوء</t>
  </si>
  <si>
    <t xml:space="preserve">تغيير الحساس أو ضبطه</t>
  </si>
  <si>
    <t xml:space="preserve">F145</t>
  </si>
  <si>
    <t xml:space="preserve">لمبة البنزين المبكرة</t>
  </si>
  <si>
    <t xml:space="preserve">لمبة البنزين تنور وفي الخزان بنزين كتير</t>
  </si>
  <si>
    <t xml:space="preserve">لمبة البنزين، بتنور بدري، عائم الخزان</t>
  </si>
  <si>
    <t xml:space="preserve">لمبة الوقود</t>
  </si>
  <si>
    <t xml:space="preserve">عطل عائم الخزان أو وحدة العداد</t>
  </si>
  <si>
    <t xml:space="preserve">فحص العائم وتغييره</t>
  </si>
  <si>
    <t xml:space="preserve">F146</t>
  </si>
  <si>
    <t xml:space="preserve">صندوق الشنطة</t>
  </si>
  <si>
    <t xml:space="preserve">لمبة الشنطة مفتوحة منورة وهي مقفولة</t>
  </si>
  <si>
    <t xml:space="preserve">لمبة الشنطة، باب الشنطة، سويتش الشنطة</t>
  </si>
  <si>
    <t xml:space="preserve">عطل سويتش القفل الخلفي</t>
  </si>
  <si>
    <t xml:space="preserve">F147</t>
  </si>
  <si>
    <t xml:space="preserve">حرارة الجير</t>
  </si>
  <si>
    <t xml:space="preserve">لمبة حرارة الجير منورة</t>
  </si>
  <si>
    <t xml:space="preserve">حرارة الجير، لمبة الجير، جير سخن</t>
  </si>
  <si>
    <t xml:space="preserve">لمبة حرارة الجير</t>
  </si>
  <si>
    <t xml:space="preserve">زيت الجير قليل أو مبرد مسدود</t>
  </si>
  <si>
    <t xml:space="preserve">الوقوف وتبريد الجير وفحص الزيت</t>
  </si>
  <si>
    <t xml:space="preserve">F148</t>
  </si>
  <si>
    <t xml:space="preserve">AdBlue</t>
  </si>
  <si>
    <t xml:space="preserve">لمبة AdBlue منورة وعداد تنازلي للتشغيل</t>
  </si>
  <si>
    <t xml:space="preserve">AdBlue، اليوريا، ديزل، لمبة اليوريا</t>
  </si>
  <si>
    <t xml:space="preserve">لمبة AdBlue</t>
  </si>
  <si>
    <t xml:space="preserve">نقص سائل AdBlue أو عطل حساس</t>
  </si>
  <si>
    <t xml:space="preserve">تعبئة السائل وفحص الحساس</t>
  </si>
  <si>
    <t xml:space="preserve">F149</t>
  </si>
  <si>
    <t xml:space="preserve">التحكم في النزول HDC</t>
  </si>
  <si>
    <t xml:space="preserve">لمبة التحكم في النزول تفلش وتفصل</t>
  </si>
  <si>
    <t xml:space="preserve">HDC، التحكم في النزول، لمبة المنحدر</t>
  </si>
  <si>
    <t xml:space="preserve">لمبة HDC</t>
  </si>
  <si>
    <t xml:space="preserve">عطل وحدة ABS أو الحساسات</t>
  </si>
  <si>
    <t xml:space="preserve">قراءة الكود وفحص النظام</t>
  </si>
  <si>
    <t xml:space="preserve">F150</t>
  </si>
  <si>
    <t xml:space="preserve">مجموعة ABS وESP والفرامل</t>
  </si>
  <si>
    <t xml:space="preserve">لمبات ABS وESP والفرامل منورين مع بعض</t>
  </si>
  <si>
    <t xml:space="preserve">لمبات مع بعض، ABS وESP، فرامل، الثلاث لمبات</t>
  </si>
  <si>
    <t xml:space="preserve">لمبة ABS وESP</t>
  </si>
  <si>
    <t xml:space="preserve">عطل في حساس العجلة أو وحدة ABS أو جهد البطارية</t>
  </si>
  <si>
    <t xml:space="preserve">قراءة الكود وفحص البطارية والحساسات</t>
  </si>
  <si>
    <t xml:space="preserve">F151</t>
  </si>
  <si>
    <t xml:space="preserve">اللمبة المحروقة</t>
  </si>
  <si>
    <t xml:space="preserve">لمبة تحذير تعطل مصباح خارجي</t>
  </si>
  <si>
    <t xml:space="preserve">لمبة تحذير المصباح، لمبة محروقة، تعطل مصباح</t>
  </si>
  <si>
    <t xml:space="preserve">لمبة المصباح</t>
  </si>
  <si>
    <t xml:space="preserve">إحدى لمبات الإضاءة الخارجية محروقة</t>
  </si>
  <si>
    <t xml:space="preserve">تحديد اللمبة وتغييرها</t>
  </si>
  <si>
    <t xml:space="preserve">F152</t>
  </si>
  <si>
    <t xml:space="preserve">ستوب ستارت</t>
  </si>
  <si>
    <t xml:space="preserve">نظام التوقف التلقائي لا يعمل</t>
  </si>
  <si>
    <t xml:space="preserve">ستوب ستارت، التوقف التلقائي، نظام التوفير</t>
  </si>
  <si>
    <t xml:space="preserve">لمبة الستوب ستارت</t>
  </si>
  <si>
    <t xml:space="preserve">بطارية ضعيفة أو حساس الفرامل</t>
  </si>
  <si>
    <t xml:space="preserve">فحص البطارية والحساسات</t>
  </si>
  <si>
    <t xml:space="preserve">F153</t>
  </si>
  <si>
    <t xml:space="preserve">مستوى سائل المساحات</t>
  </si>
  <si>
    <t xml:space="preserve">لمبة سائل الغسيل منورة بالرغم من امتلاء الخزان</t>
  </si>
  <si>
    <t xml:space="preserve">سائل المساحات، لمبة الغسيل، حساس السائل</t>
  </si>
  <si>
    <t xml:space="preserve">لمبة سائل المساحات</t>
  </si>
  <si>
    <t xml:space="preserve">عطل حساس مستوى السائل</t>
  </si>
  <si>
    <t xml:space="preserve">F154</t>
  </si>
  <si>
    <t xml:space="preserve">فرامل الركن الكهربائية</t>
  </si>
  <si>
    <t xml:space="preserve">لمبة فرامل الركن الكهربائية تفلش</t>
  </si>
  <si>
    <t xml:space="preserve">فرامل الركن الكهربائية، EPB، لمبة P</t>
  </si>
  <si>
    <t xml:space="preserve">لمبة فرامل الركن</t>
  </si>
  <si>
    <t xml:space="preserve">عطل موتور أو سويتش الفرامل الكهربائية</t>
  </si>
  <si>
    <t xml:space="preserve">قراءة الكود وإصلاح الموتور</t>
  </si>
  <si>
    <t xml:space="preserve">F155</t>
  </si>
  <si>
    <t xml:space="preserve">لمبة المفتاح (مفتاح الربط)</t>
  </si>
  <si>
    <t xml:space="preserve">لمبة مفتاح الربط (Wrench) صفراء منورة</t>
  </si>
  <si>
    <t xml:space="preserve">مفتاح الربط، لمبة الصيانة الصفراء، لمبة عطل</t>
  </si>
  <si>
    <t xml:space="preserve">لمبة مفتاح الربط</t>
  </si>
  <si>
    <t xml:space="preserve">عطل بسيط في المحرك أو موعد صيانة</t>
  </si>
  <si>
    <t xml:space="preserve">F156</t>
  </si>
  <si>
    <t xml:space="preserve">التحكم في الجر</t>
  </si>
  <si>
    <t xml:space="preserve">لمبة التحكم في الجر بتفلش عند التسارع</t>
  </si>
  <si>
    <t xml:space="preserve">التحكم في الجر، TCS، لمبة الجر، تفلش عند التسارع</t>
  </si>
  <si>
    <t xml:space="preserve">لمبة TCS</t>
  </si>
  <si>
    <t xml:space="preserve">انزلاق عجلات أو عطل الحساسات</t>
  </si>
  <si>
    <t xml:space="preserve">فحص ضغط الكاوتش والحساسات</t>
  </si>
  <si>
    <t xml:space="preserve">F157</t>
  </si>
  <si>
    <t xml:space="preserve">لمبة المفتاح الذكي</t>
  </si>
  <si>
    <t xml:space="preserve">لمبة المفتاح الذكي منورة والعربية ما بتتشغلش</t>
  </si>
  <si>
    <t xml:space="preserve">المفتاح الذكي، لمبة المفتاح، بطارية الريموت</t>
  </si>
  <si>
    <t xml:space="preserve">بطارية المفتاح ضعيفة</t>
  </si>
  <si>
    <t xml:space="preserve">تغيير بطارية المفتاح</t>
  </si>
  <si>
    <t xml:space="preserve">عربيات بمفتاح ذكي</t>
  </si>
  <si>
    <t xml:space="preserve">F158</t>
  </si>
  <si>
    <t xml:space="preserve">فرامل</t>
  </si>
  <si>
    <t xml:space="preserve">تيل الفرامل</t>
  </si>
  <si>
    <t xml:space="preserve">صوت صرير عند الفرملة</t>
  </si>
  <si>
    <t xml:space="preserve">صرير، زيزة، صفير فرامل، تيل فرامل، دواسة الفرامل</t>
  </si>
  <si>
    <t xml:space="preserve">تآكل تيل الفرامل</t>
  </si>
  <si>
    <t xml:space="preserve">فحص وتغيير تيل الفرامل (ويفضل فحص الأسطوانات)</t>
  </si>
  <si>
    <t xml:space="preserve">F159</t>
  </si>
  <si>
    <t xml:space="preserve">طلمبة / زيت الفرامل</t>
  </si>
  <si>
    <t xml:space="preserve">دواسة الفرامل غاطسة أو طرية</t>
  </si>
  <si>
    <t xml:space="preserve">الفرامل بتغطس، دواسة طرية، مفيش فرامل، الفرامل ضعيفة</t>
  </si>
  <si>
    <t xml:space="preserve">هواء في النظام أو تسريب زيت فرامل أو عطل طلمبة الفرامل</t>
  </si>
  <si>
    <t xml:space="preserve">وقف العربية وعدم الاستمرار، وفحص التسريب وتغيير زيت الفرامل أو الطلمبة</t>
  </si>
  <si>
    <t xml:space="preserve">F160</t>
  </si>
  <si>
    <t xml:space="preserve">الأقراص (الديسكات)</t>
  </si>
  <si>
    <t xml:space="preserve">اهتزاز في الدركسيون عند الفرملة</t>
  </si>
  <si>
    <t xml:space="preserve">رعشة فرامل، الدركسيون بيهز، ديسكات، الفرامل بتهز</t>
  </si>
  <si>
    <t xml:space="preserve">أقراص الفرامل معوجة بسبب الحرارة</t>
  </si>
  <si>
    <t xml:space="preserve">خراطة أو تغيير الأقراص مع التيل</t>
  </si>
  <si>
    <t xml:space="preserve">F161</t>
  </si>
  <si>
    <t xml:space="preserve">الكاليبر / التيل</t>
  </si>
  <si>
    <t xml:space="preserve">العربية بتشد لجنب لما أفرمل</t>
  </si>
  <si>
    <t xml:space="preserve">بتشد يمين، بتشد شمال، بتسحب لجنب، الفرامل</t>
  </si>
  <si>
    <t xml:space="preserve">كاليبر مشتبك أو تيل غير متساوي في التآكل</t>
  </si>
  <si>
    <t xml:space="preserve">فحص الكاليبرات وتنظيفها أو تغييرها مع التيل</t>
  </si>
  <si>
    <t xml:space="preserve">F162</t>
  </si>
  <si>
    <t xml:space="preserve">ريحة حريق من الفرامل</t>
  </si>
  <si>
    <t xml:space="preserve">ريحة حريق، فرامل سخنت، دخان من العجلة، ريحة شياط</t>
  </si>
  <si>
    <t xml:space="preserve">تيل أو كاليبر مشتبك أو استخدام الفرامل بشكل حاد</t>
  </si>
  <si>
    <t xml:space="preserve">وقف العربية وتبريد الفرامل وفحص الكاليبر والتيل</t>
  </si>
  <si>
    <t xml:space="preserve">F163</t>
  </si>
  <si>
    <t xml:space="preserve">الديسكات المشطوفة</t>
  </si>
  <si>
    <t xml:space="preserve">حافة بارزة على الديسك واحتكاك معدني عند الفرملة</t>
  </si>
  <si>
    <t xml:space="preserve">ديسك مشطوف، احتكاك معدني، صوت حديد</t>
  </si>
  <si>
    <t xml:space="preserve">تآكل الديسك بسبب تأخر تغيير التيل</t>
  </si>
  <si>
    <t xml:space="preserve">تغيير الديسكات مع التيل</t>
  </si>
  <si>
    <t xml:space="preserve">F164</t>
  </si>
  <si>
    <t xml:space="preserve">تيل الفرامل الخلفي</t>
  </si>
  <si>
    <t xml:space="preserve">صوت حك من الخلف عند الفرملة</t>
  </si>
  <si>
    <t xml:space="preserve">فرامل خلفية، حك من الخلف، دروم، شرائح</t>
  </si>
  <si>
    <t xml:space="preserve">تآكل التيل أو الشرائح الخلفية</t>
  </si>
  <si>
    <t xml:space="preserve">فحص وتغيير التيل أو الشرائح الخلفية</t>
  </si>
  <si>
    <t xml:space="preserve">F165</t>
  </si>
  <si>
    <t xml:space="preserve">فرامل اليد</t>
  </si>
  <si>
    <t xml:space="preserve">فرامل اليد مش بتمسك العربية على الطلوع</t>
  </si>
  <si>
    <t xml:space="preserve">فرامل اليد، مش بتمسك، كابل، طلوع</t>
  </si>
  <si>
    <t xml:space="preserve">لمبة الفرامل اليد</t>
  </si>
  <si>
    <t xml:space="preserve">كابل فرامل اليد مرتخي أو تيل ضعيف</t>
  </si>
  <si>
    <t xml:space="preserve">ضبط أو تغيير الكابل</t>
  </si>
  <si>
    <t xml:space="preserve">F166</t>
  </si>
  <si>
    <t xml:space="preserve">فرامل اليد العالقة</t>
  </si>
  <si>
    <t xml:space="preserve">العربية تقيلة وفيها ريحة حريق بعد استعمال فرامل اليد</t>
  </si>
  <si>
    <t xml:space="preserve">فرامل اليد عالقة، العجلة سخنة، ريحة حريق</t>
  </si>
  <si>
    <t xml:space="preserve">كابل فرامل اليد عالق</t>
  </si>
  <si>
    <t xml:space="preserve">تحرير الكابل وتغييره</t>
  </si>
  <si>
    <t xml:space="preserve">F167</t>
  </si>
  <si>
    <t xml:space="preserve">زيت الفرامل</t>
  </si>
  <si>
    <t xml:space="preserve">دواسة الفرامل بتنزل بعد فترة وزيت الفرامل لونه غامق</t>
  </si>
  <si>
    <t xml:space="preserve">زيت فرامل قديم، غامق، دواسة بتنزل</t>
  </si>
  <si>
    <t xml:space="preserve">امتصاص رطوبة في زيت الفرامل</t>
  </si>
  <si>
    <t xml:space="preserve">تغيير زيت الفرامل كل سنتين</t>
  </si>
  <si>
    <t xml:space="preserve">F168</t>
  </si>
  <si>
    <t xml:space="preserve">هواء في دائرة الفرامل</t>
  </si>
  <si>
    <t xml:space="preserve">دواسة الفرامل إسفنجية بعد فك أو تغيير قطعة</t>
  </si>
  <si>
    <t xml:space="preserve">دواسة إسفنجية، هواء في الفرامل، بعد التغيير</t>
  </si>
  <si>
    <t xml:space="preserve">تفريغ الهواء وملء الزيت</t>
  </si>
  <si>
    <t xml:space="preserve">F169</t>
  </si>
  <si>
    <t xml:space="preserve">بوستر الفرامل</t>
  </si>
  <si>
    <t xml:space="preserve">دواسة الفرامل قاسية جدًا وتحتاج ضغط كبير</t>
  </si>
  <si>
    <t xml:space="preserve">دواسة قاسية، بوستر، فرامل تقيلة، سيرفو</t>
  </si>
  <si>
    <t xml:space="preserve">تسريب فاكيوم أو عطل بوستر الفرامل</t>
  </si>
  <si>
    <t xml:space="preserve">فحص الخراطيم وتغيير البوستر</t>
  </si>
  <si>
    <t xml:space="preserve">F170</t>
  </si>
  <si>
    <t xml:space="preserve">خرطوم الفرامل</t>
  </si>
  <si>
    <t xml:space="preserve">الخرطوم منتفخ والدواسة طرية والعربية بتشد لجنب</t>
  </si>
  <si>
    <t xml:space="preserve">خرطوم الفرامل، منتفخ، سحب لجنب</t>
  </si>
  <si>
    <t xml:space="preserve">تآكل خرطوم الفرامل المطاط</t>
  </si>
  <si>
    <t xml:space="preserve">تغيير الخرطوم وتفريغ الهواء</t>
  </si>
  <si>
    <t xml:space="preserve">F171</t>
  </si>
  <si>
    <t xml:space="preserve">مواسير الفرامل</t>
  </si>
  <si>
    <t xml:space="preserve">تسريب زيت فرامل من الماسورة المعدنية بسبب الصدأ</t>
  </si>
  <si>
    <t xml:space="preserve">ماسورة صدأ، تسريب زيت فرامل، نقص زيت</t>
  </si>
  <si>
    <t xml:space="preserve">صدأ مواسير الفرامل</t>
  </si>
  <si>
    <t xml:space="preserve">تغيير الماسورة</t>
  </si>
  <si>
    <t xml:space="preserve">F172</t>
  </si>
  <si>
    <t xml:space="preserve">كاليبر الفرامل المشتبك</t>
  </si>
  <si>
    <t xml:space="preserve">عجلة واحدة ساخنة جدًا بعد الرحلة والعربية بتتجه لجنب</t>
  </si>
  <si>
    <t xml:space="preserve">عجلة سخنة، كاليبر، مشتبك، بتشد لجنب</t>
  </si>
  <si>
    <t xml:space="preserve">اشتباك مكبس الكاليبر</t>
  </si>
  <si>
    <t xml:space="preserve">تغيير أو تجديد الكاليبر مع التيل</t>
  </si>
  <si>
    <t xml:space="preserve">F173</t>
  </si>
  <si>
    <t xml:space="preserve">حساس تآكل التيل</t>
  </si>
  <si>
    <t xml:space="preserve">لمبة تآكل التيل منورة</t>
  </si>
  <si>
    <t xml:space="preserve">حساس التيل، لمبة التيل، تنبيه، تآكل التيل</t>
  </si>
  <si>
    <t xml:space="preserve">لمبة تآكل التيل</t>
  </si>
  <si>
    <t xml:space="preserve">وصول التيل لحد التآكل</t>
  </si>
  <si>
    <t xml:space="preserve">تغيير التيل وإعادة ضبط الحساس</t>
  </si>
  <si>
    <t xml:space="preserve">F174</t>
  </si>
  <si>
    <t xml:space="preserve">طلمبة الفرامل الرئيسية</t>
  </si>
  <si>
    <t xml:space="preserve">دواسة الفرامل بتنزل ببطء للأرضية عند الوقوف</t>
  </si>
  <si>
    <t xml:space="preserve">دواسة بتنزل، طلمبة الفرامل الرئيسية، تسريب داخلي</t>
  </si>
  <si>
    <t xml:space="preserve">تلف سيل الطلمبة الرئيسية</t>
  </si>
  <si>
    <t xml:space="preserve">تغيير الطلمبة الرئيسية</t>
  </si>
  <si>
    <t xml:space="preserve">F175</t>
  </si>
  <si>
    <t xml:space="preserve">وحدة ABS</t>
  </si>
  <si>
    <t xml:space="preserve">لمبة ABS وESP منورين مع سلوك غير طبيعي للفرامل</t>
  </si>
  <si>
    <t xml:space="preserve">وحدة ABS، لمبة ABS، ESP، ثبات</t>
  </si>
  <si>
    <t xml:space="preserve">عطل وحدة التحكم أو وصلاتها</t>
  </si>
  <si>
    <t xml:space="preserve">فحص الوحدة وإصلاحها أو تغييرها</t>
  </si>
  <si>
    <t xml:space="preserve">F176</t>
  </si>
  <si>
    <t xml:space="preserve">التيل الجديد الرخيص</t>
  </si>
  <si>
    <t xml:space="preserve">صرير قوي بعد تركيب تيل جديد رخيص</t>
  </si>
  <si>
    <t xml:space="preserve">تيل جديد بيزيق، تيل مقلد، صوت بعد التغيير</t>
  </si>
  <si>
    <t xml:space="preserve">جودة تيل رديئة أو عدم تشحيم نقاط التلامس</t>
  </si>
  <si>
    <t xml:space="preserve">تنظيف وتشحيم نقاط التلامس أو تغيير التيل بنوع جيد</t>
  </si>
  <si>
    <t xml:space="preserve">F177</t>
  </si>
  <si>
    <t xml:space="preserve">سخونة الفرامل (فيدينج)</t>
  </si>
  <si>
    <t xml:space="preserve">فقدان فعالية الفرامل بعد نزول طويل</t>
  </si>
  <si>
    <t xml:space="preserve">فقدان فرامل، سخونة الفرامل، نزول طويل، فيدينج</t>
  </si>
  <si>
    <t xml:space="preserve">سخونة زائدة في زيت وتيل الفرامل</t>
  </si>
  <si>
    <t xml:space="preserve">استخدام الفرامل بالمحرك وتغيير الزيت والتيل بنوع يتحمل الحرارة</t>
  </si>
  <si>
    <t xml:space="preserve">F178</t>
  </si>
  <si>
    <t xml:space="preserve">عفشة وتعليق</t>
  </si>
  <si>
    <t xml:space="preserve">المساعدين / القصبات</t>
  </si>
  <si>
    <t xml:space="preserve">صوت خبط من العفشة على المطبات</t>
  </si>
  <si>
    <t xml:space="preserve">خبط، قصبات، مساعدين، كاوتش مساعد، عفشة، المطبات</t>
  </si>
  <si>
    <t xml:space="preserve">مساعدين أو قواعد أو قصبات متآكلة</t>
  </si>
  <si>
    <t xml:space="preserve">فحص العفشة وتغيير المساعدين أو القواعد أو القصبات التالفة</t>
  </si>
  <si>
    <t xml:space="preserve">F179</t>
  </si>
  <si>
    <t xml:space="preserve">مفصل السرعة (CV joint)</t>
  </si>
  <si>
    <t xml:space="preserve">صوت طقطقة لما ألف الدركسيون</t>
  </si>
  <si>
    <t xml:space="preserve">صرير، طقطقة عند اللف، مفصل، سوستة، كاوتش المفصل</t>
  </si>
  <si>
    <t xml:space="preserve">مفصل السرعة (CV joint) تالف أو شنطة المفصل مقطوعة</t>
  </si>
  <si>
    <t xml:space="preserve">تغيير المفصل وشنطته</t>
  </si>
  <si>
    <t xml:space="preserve">F180</t>
  </si>
  <si>
    <t xml:space="preserve">طلمبة باور / زيت الباور</t>
  </si>
  <si>
    <t xml:space="preserve">الدركسيون تقيل أو في صوت عند اللف</t>
  </si>
  <si>
    <t xml:space="preserve">دركسيون تقيل، باور، زيت باور، صرير</t>
  </si>
  <si>
    <t xml:space="preserve">نقص زيت الباور أو ضعف الطلمبة</t>
  </si>
  <si>
    <t xml:space="preserve">تعبئة زيت الباور وفحص التسريب وتغيير الطلمبة لو لزم</t>
  </si>
  <si>
    <t xml:space="preserve">F181</t>
  </si>
  <si>
    <t xml:space="preserve">قواعد المساعدين</t>
  </si>
  <si>
    <t xml:space="preserve">خبطة من الأمام عند المطبات مع صوت مطاط</t>
  </si>
  <si>
    <t xml:space="preserve">قواعد المساعدين، خبطة مقدمة، قاعدة</t>
  </si>
  <si>
    <t xml:space="preserve">تآكل قواعد أو رولمان المساعد الأمامي</t>
  </si>
  <si>
    <t xml:space="preserve">تغيير القواعد والرولمان</t>
  </si>
  <si>
    <t xml:space="preserve">F182</t>
  </si>
  <si>
    <t xml:space="preserve">المساعدين الخلفيين</t>
  </si>
  <si>
    <t xml:space="preserve">ارتداد زائد للعربية بعد المطبات (تتنطط)</t>
  </si>
  <si>
    <t xml:space="preserve">ارتداد، تتنطط، مساعد، تهتز بعد المطب</t>
  </si>
  <si>
    <t xml:space="preserve">ضعف المساعدين أو تسريب زيت منهم</t>
  </si>
  <si>
    <t xml:space="preserve">تغيير المساعدين زوج</t>
  </si>
  <si>
    <t xml:space="preserve">F183</t>
  </si>
  <si>
    <t xml:space="preserve">ياي التعليق</t>
  </si>
  <si>
    <t xml:space="preserve">العربية مايلة من ناحية والياي مكسور</t>
  </si>
  <si>
    <t xml:space="preserve">ياي مكسور، العربية مايلة، ناحية أوطى</t>
  </si>
  <si>
    <t xml:space="preserve">كسر في ياي التعليق</t>
  </si>
  <si>
    <t xml:space="preserve">تغيير الياي زوجي</t>
  </si>
  <si>
    <t xml:space="preserve">F184</t>
  </si>
  <si>
    <t xml:space="preserve">البلية (Ball joint)</t>
  </si>
  <si>
    <t xml:space="preserve">طقطقة من العجلة عند التحويلة وبعد المطبات</t>
  </si>
  <si>
    <t xml:space="preserve">بلية، رولمان بلية، طقطقة العجلة، ركن</t>
  </si>
  <si>
    <t xml:space="preserve">تآكل البلية السفلية</t>
  </si>
  <si>
    <t xml:space="preserve">تغيير البلية وضبط الزوايا</t>
  </si>
  <si>
    <t xml:space="preserve">F185</t>
  </si>
  <si>
    <t xml:space="preserve">المقص (ذراع التحكم)</t>
  </si>
  <si>
    <t xml:space="preserve">خبط متكرر مع اهتزاز الدركسيون وسحب لجنب</t>
  </si>
  <si>
    <t xml:space="preserve">مقص، ذراع التحكم، اهتزاز، سحب</t>
  </si>
  <si>
    <t xml:space="preserve">بطانات المقص تالفة أو الذراع مثني</t>
  </si>
  <si>
    <t xml:space="preserve">تغيير البطانات أو المقص</t>
  </si>
  <si>
    <t xml:space="preserve">F186</t>
  </si>
  <si>
    <t xml:space="preserve">قصبة الدركسيون</t>
  </si>
  <si>
    <t xml:space="preserve">فُسحة كبيرة في الدركسيون وصوت تكتكة</t>
  </si>
  <si>
    <t xml:space="preserve">قصبة الدركسيون، فسحة، تكتكة الدركسيون</t>
  </si>
  <si>
    <t xml:space="preserve">تآكل رأس القصبة</t>
  </si>
  <si>
    <t xml:space="preserve">تغيير الرأس وضبط الزوايا</t>
  </si>
  <si>
    <t xml:space="preserve">F187</t>
  </si>
  <si>
    <t xml:space="preserve">جريدة الدركسيون</t>
  </si>
  <si>
    <t xml:space="preserve">تسريب زيت من الجريدة وفسحة في المقود</t>
  </si>
  <si>
    <t xml:space="preserve">جريدة الدركسيون، تسريب، فسحة، لقلقة</t>
  </si>
  <si>
    <t xml:space="preserve">تلف جلد الجريدة</t>
  </si>
  <si>
    <t xml:space="preserve">تغيير الجريدة</t>
  </si>
  <si>
    <t xml:space="preserve">F188</t>
  </si>
  <si>
    <t xml:space="preserve">الدركسيون الكهربائي</t>
  </si>
  <si>
    <t xml:space="preserve">لمبة الدركسيون منورة والدركسيون تقيل فجأة</t>
  </si>
  <si>
    <t xml:space="preserve">دركسيون كهربائي، تقيل، لمبة الدركسيون</t>
  </si>
  <si>
    <t xml:space="preserve">لمبة الدركسيون</t>
  </si>
  <si>
    <t xml:space="preserve">عطل موتور أو حساس عزم الدركسيون</t>
  </si>
  <si>
    <t xml:space="preserve">فحص وتغيير الموتور أو الحساس</t>
  </si>
  <si>
    <t xml:space="preserve">دركسيون كهربائي</t>
  </si>
  <si>
    <t xml:space="preserve">F189</t>
  </si>
  <si>
    <t xml:space="preserve">وصلات ميزان الاتزان</t>
  </si>
  <si>
    <t xml:space="preserve">طقطقة خفيفة عند اللف على المطبات</t>
  </si>
  <si>
    <t xml:space="preserve">وصلة الميزان، استابلايزر، طقطقة خفيفة، مطبات</t>
  </si>
  <si>
    <t xml:space="preserve">تآكل وصلات ميزان الاتزان</t>
  </si>
  <si>
    <t xml:space="preserve">تغيير الوصلات</t>
  </si>
  <si>
    <t xml:space="preserve">F190</t>
  </si>
  <si>
    <t xml:space="preserve">بطانات الميزان</t>
  </si>
  <si>
    <t xml:space="preserve">صوت صرير من الجنب في المطبات</t>
  </si>
  <si>
    <t xml:space="preserve">بطانات الميزان، صرير، استابلايزر</t>
  </si>
  <si>
    <t xml:space="preserve">جفاف أو تلف بطانات الميزان</t>
  </si>
  <si>
    <t xml:space="preserve">تغيير البطانات</t>
  </si>
  <si>
    <t xml:space="preserve">F191</t>
  </si>
  <si>
    <t xml:space="preserve">رولمان العجلة</t>
  </si>
  <si>
    <t xml:space="preserve">همهمة تزيد مع السرعة وتتغير عند اللف</t>
  </si>
  <si>
    <t xml:space="preserve">رولمان العجلة، همهمة، زنة، صوت من العجل</t>
  </si>
  <si>
    <t xml:space="preserve">تآكل رولمان العجلة</t>
  </si>
  <si>
    <t xml:space="preserve">تغيير الرولمان</t>
  </si>
  <si>
    <t xml:space="preserve">F192</t>
  </si>
  <si>
    <t xml:space="preserve">التعليق الخلفي</t>
  </si>
  <si>
    <t xml:space="preserve">العربية بتتمايل من الخلف على الطريق</t>
  </si>
  <si>
    <t xml:space="preserve">المقص الخلفي، تمايل، خلف العربية</t>
  </si>
  <si>
    <t xml:space="preserve">تآكل بطانات التعليق الخلفي</t>
  </si>
  <si>
    <t xml:space="preserve">F193</t>
  </si>
  <si>
    <t xml:space="preserve">قاعدة المحرك الأمامية</t>
  </si>
  <si>
    <t xml:space="preserve">اهتزاز عند الضغط على الفرامل والتسارع</t>
  </si>
  <si>
    <t xml:space="preserve">دوغ بون، قاعدة، اهتزاز مع الفرامل</t>
  </si>
  <si>
    <t xml:space="preserve">تلف القاعدة</t>
  </si>
  <si>
    <t xml:space="preserve">تغيير القاعدة</t>
  </si>
  <si>
    <t xml:space="preserve">F194</t>
  </si>
  <si>
    <t xml:space="preserve">قاعدة المساعد العلوية</t>
  </si>
  <si>
    <t xml:space="preserve">صوت خبط فوق العجلة عند لف الدركسيون للآخر</t>
  </si>
  <si>
    <t xml:space="preserve">رولمان القاعدة، دق عند اللف، قاعدة المساعد العلوية</t>
  </si>
  <si>
    <t xml:space="preserve">تلف رولمان القاعدة العلوية</t>
  </si>
  <si>
    <t xml:space="preserve">F195</t>
  </si>
  <si>
    <t xml:space="preserve">الجلدة المطاطية</t>
  </si>
  <si>
    <t xml:space="preserve">صوت زيزة في العفشة بعد غسيل العربية</t>
  </si>
  <si>
    <t xml:space="preserve">زيزة، جلدة، شنطة المقص، تجفيف</t>
  </si>
  <si>
    <t xml:space="preserve">جفاف البطانات المطاطية</t>
  </si>
  <si>
    <t xml:space="preserve">تشحيم أو تغيير البطانات</t>
  </si>
  <si>
    <t xml:space="preserve">F196</t>
  </si>
  <si>
    <t xml:space="preserve">التعليق الهوائي</t>
  </si>
  <si>
    <t xml:space="preserve">العربية بتنزل على الأرض بعد الوقوف الطويل</t>
  </si>
  <si>
    <t xml:space="preserve">تعليق هوائي، العربية بتنزل، مضخة الهواء</t>
  </si>
  <si>
    <t xml:space="preserve">لمبة التعليق</t>
  </si>
  <si>
    <t xml:space="preserve">تسريب في المخدات الهوائية</t>
  </si>
  <si>
    <t xml:space="preserve">إصلاح أو تغيير المخدة أو الضاغط</t>
  </si>
  <si>
    <t xml:space="preserve">تعليق هوائي</t>
  </si>
  <si>
    <t xml:space="preserve">F197</t>
  </si>
  <si>
    <t xml:space="preserve">عمود الكردان</t>
  </si>
  <si>
    <t xml:space="preserve">اهتزاز من تحت العربية عند السرعة</t>
  </si>
  <si>
    <t xml:space="preserve">عمود الكردان، اهتزاز، رباعي، الصليبة</t>
  </si>
  <si>
    <t xml:space="preserve">تآكل صليبة الكردان</t>
  </si>
  <si>
    <t xml:space="preserve">تغيير الصليبة</t>
  </si>
  <si>
    <t xml:space="preserve">دفع خلفي أو رباعي</t>
  </si>
  <si>
    <t xml:space="preserve">F198</t>
  </si>
  <si>
    <t xml:space="preserve">المفصل الداخلي للسرعة</t>
  </si>
  <si>
    <t xml:space="preserve">طقطقة عند الانطلاق من الأمام</t>
  </si>
  <si>
    <t xml:space="preserve">طقطقة عند الانطلاق، المفصل الداخلي، الكاردان</t>
  </si>
  <si>
    <t xml:space="preserve">تآكل مفصل السرعة الداخلي</t>
  </si>
  <si>
    <t xml:space="preserve">تغيير المفصل</t>
  </si>
  <si>
    <t xml:space="preserve">F199</t>
  </si>
  <si>
    <t xml:space="preserve">مطاط التصادم (Bump stop)</t>
  </si>
  <si>
    <t xml:space="preserve">خبط شديد على الحفر رغم المساعدين الجدد</t>
  </si>
  <si>
    <t xml:space="preserve">خبط، حفر، باف ستوب، مطاط التعليق</t>
  </si>
  <si>
    <t xml:space="preserve">تلف مطاط التصادم</t>
  </si>
  <si>
    <t xml:space="preserve">تغيير المطاط</t>
  </si>
  <si>
    <t xml:space="preserve">F200</t>
  </si>
  <si>
    <t xml:space="preserve">الجنوط</t>
  </si>
  <si>
    <t xml:space="preserve">اهتزاز بعد حفرة والجنط متفرط</t>
  </si>
  <si>
    <t xml:space="preserve">جنط، متفرط، ضربة حفرة، اهتزاز بعد الحفرة</t>
  </si>
  <si>
    <t xml:space="preserve">التواء الجنط</t>
  </si>
  <si>
    <t xml:space="preserve">تعديل أو تغيير الجنط</t>
  </si>
  <si>
    <t xml:space="preserve">F201</t>
  </si>
  <si>
    <t xml:space="preserve">الشاسيه</t>
  </si>
  <si>
    <t xml:space="preserve">العربية بعد حادثة بتشد وتتمايل</t>
  </si>
  <si>
    <t xml:space="preserve">بعد حادثة، شاسيه، العربية ملتوية، شد</t>
  </si>
  <si>
    <t xml:space="preserve">التواء الهيكل أو الشاسيه</t>
  </si>
  <si>
    <t xml:space="preserve">فحص على جهاز الشاسيه وإصلاحه</t>
  </si>
  <si>
    <t xml:space="preserve">F202</t>
  </si>
  <si>
    <t xml:space="preserve">مقص الذراع الخلفي</t>
  </si>
  <si>
    <t xml:space="preserve">طقطقة من الخلف عند الفرملة وعلى المطبات</t>
  </si>
  <si>
    <t xml:space="preserve">طقطقة من الخلف، ذراع خلفي، بطانة خلفية</t>
  </si>
  <si>
    <t xml:space="preserve">تآكل بطانات الذراع الخلفي</t>
  </si>
  <si>
    <t xml:space="preserve">F203</t>
  </si>
  <si>
    <t xml:space="preserve">حامل الشنطة الخلفي</t>
  </si>
  <si>
    <t xml:space="preserve">خبط من الشنطة الخلفية على المطبات</t>
  </si>
  <si>
    <t xml:space="preserve">خبط من الخلف، شنطة، دعامة، مطبات</t>
  </si>
  <si>
    <t xml:space="preserve">ارتخاء دعامة الشنطة</t>
  </si>
  <si>
    <t xml:space="preserve">ربط أو تغيير الدعامة</t>
  </si>
  <si>
    <t xml:space="preserve">F204</t>
  </si>
  <si>
    <t xml:space="preserve">بطانة الجريدة</t>
  </si>
  <si>
    <t xml:space="preserve">صوت دق عند لف الدركسيون ببطء</t>
  </si>
  <si>
    <t xml:space="preserve">دق عند اللف، بطانة الجريدة، دركسيون يدق</t>
  </si>
  <si>
    <t xml:space="preserve">تلف بطانات الجريدة</t>
  </si>
  <si>
    <t xml:space="preserve">F205</t>
  </si>
  <si>
    <t xml:space="preserve">ضبط الكامبر</t>
  </si>
  <si>
    <t xml:space="preserve">تآكل زائد في حافة الكاوتش من الداخل</t>
  </si>
  <si>
    <t xml:space="preserve">كامبر، حافة الكاوتش، تآكل داخلي، ضبط زوايا</t>
  </si>
  <si>
    <t xml:space="preserve">اختلال زاوية الكامبر بعد ارتطام</t>
  </si>
  <si>
    <t xml:space="preserve">ضبط الزوايا وفحص أجزاء التعليق</t>
  </si>
  <si>
    <t xml:space="preserve">F206</t>
  </si>
  <si>
    <t xml:space="preserve">إطارات</t>
  </si>
  <si>
    <t xml:space="preserve">زوايا العجل</t>
  </si>
  <si>
    <t xml:space="preserve">العربية بتشد يمين أو شمال</t>
  </si>
  <si>
    <t xml:space="preserve">بتشد، فرمتة، ظبط زوايا، ظبط الدركسيون، بتسحب</t>
  </si>
  <si>
    <t xml:space="preserve">زوايا العجل غير مضبوطة أو فرق ضغط الكاوتش</t>
  </si>
  <si>
    <t xml:space="preserve">ظبط زوايا العجل وفحص ضغط الكاوتش</t>
  </si>
  <si>
    <t xml:space="preserve">F207</t>
  </si>
  <si>
    <t xml:space="preserve">ميزان الكاوتش</t>
  </si>
  <si>
    <t xml:space="preserve">اهتزاز الدركسيون على سرعة 80 إلى 100</t>
  </si>
  <si>
    <t xml:space="preserve">رعشة، زنقة، بالانس، ميزان كاوتش، الدركسيون بيهز</t>
  </si>
  <si>
    <t xml:space="preserve">ميزان الكاوتش (البالانس) غير مضبوط أو كاوتش مشوه</t>
  </si>
  <si>
    <t xml:space="preserve">ضبط البالانس وفحص الكاوتش والجنوط</t>
  </si>
  <si>
    <t xml:space="preserve">F208</t>
  </si>
  <si>
    <t xml:space="preserve">الكاوتش</t>
  </si>
  <si>
    <t xml:space="preserve">كاوتش بيتآكل من ناحية واحدة</t>
  </si>
  <si>
    <t xml:space="preserve">تآكل، كاوتش بيخلص، فرمتة، ناحية واحدة</t>
  </si>
  <si>
    <t xml:space="preserve">زوايا غير مضبوطة أو مشكلة في العفشة</t>
  </si>
  <si>
    <t xml:space="preserve">ظبط الزوايا وفحص العفشة وتغيير الكاوتش</t>
  </si>
  <si>
    <t xml:space="preserve">F209</t>
  </si>
  <si>
    <t xml:space="preserve">كاوتش نايم أو بيفقد هواء</t>
  </si>
  <si>
    <t xml:space="preserve">كاوتش نايم، مسمار، بنشر، هواء بيخرج</t>
  </si>
  <si>
    <t xml:space="preserve">لمبة ضغط الكاوتش</t>
  </si>
  <si>
    <t xml:space="preserve">مسمار أو تسريب من الصمام أو الجنط</t>
  </si>
  <si>
    <t xml:space="preserve">استبدال بالاستبن أو إصلاح البنشر وعدم القيادة بكاوتش نايم</t>
  </si>
  <si>
    <t xml:space="preserve">F210</t>
  </si>
  <si>
    <t xml:space="preserve">ضغط الكاوتش الزائد</t>
  </si>
  <si>
    <t xml:space="preserve">تآكل في منتصف الكاوتش فقط</t>
  </si>
  <si>
    <t xml:space="preserve">تآكل المنتصف، ضغط عالي، كاوتش مسطح</t>
  </si>
  <si>
    <t xml:space="preserve">ضغط هواء زائد</t>
  </si>
  <si>
    <t xml:space="preserve">ضبط الضغط على القيمة الموصى بها وتغيير التالف</t>
  </si>
  <si>
    <t xml:space="preserve">F211</t>
  </si>
  <si>
    <t xml:space="preserve">ضغط الكاوتش الناقص</t>
  </si>
  <si>
    <t xml:space="preserve">تآكل في حواف الكاوتش من الجانبين</t>
  </si>
  <si>
    <t xml:space="preserve">تآكل الحواف، ضغط ناقص، كاوتش مفرطح</t>
  </si>
  <si>
    <t xml:space="preserve">ضغط هواء قليل</t>
  </si>
  <si>
    <t xml:space="preserve">ضبط الضغط شهريًا وتغيير التالف</t>
  </si>
  <si>
    <t xml:space="preserve">F212</t>
  </si>
  <si>
    <t xml:space="preserve">التآكل المسنن</t>
  </si>
  <si>
    <t xml:space="preserve">الكاوتش بيعمل همهمة والسطح عليه تآكل مسنن</t>
  </si>
  <si>
    <t xml:space="preserve">تآكل مسنن، همهمة الكاوتش، كاوتش رخامي</t>
  </si>
  <si>
    <t xml:space="preserve">مساعدين ضعيفة أو ميزان غير مضبوط</t>
  </si>
  <si>
    <t xml:space="preserve">فحص المساعدين وضبط الميزان وتدوير الكاوتش</t>
  </si>
  <si>
    <t xml:space="preserve">F213</t>
  </si>
  <si>
    <t xml:space="preserve">الكاوتش القديم</t>
  </si>
  <si>
    <t xml:space="preserve">شروخ صغيرة على جانب الكاوتش والكاوتش عمره 5 سنين</t>
  </si>
  <si>
    <t xml:space="preserve">شروخ الكاوتش، كاوتش قديم، تاريخ الصنع، جانب الكاوتش</t>
  </si>
  <si>
    <t xml:space="preserve">تقادم المطاط مع الزمن</t>
  </si>
  <si>
    <t xml:space="preserve">تغيير الكاوتش حتى لو الفلقة سليمة</t>
  </si>
  <si>
    <t xml:space="preserve">F214</t>
  </si>
  <si>
    <t xml:space="preserve">انتفاخ جانب الكاوتش</t>
  </si>
  <si>
    <t xml:space="preserve">انتفاخ (بيضة) على جانب الكاوتش بعد ضربة</t>
  </si>
  <si>
    <t xml:space="preserve">بيضة في الكاوتش، انتفاخ، ضربة رصيف، جانب الكاوتش</t>
  </si>
  <si>
    <t xml:space="preserve">تلف الطبقة الداخلية للكاوتش</t>
  </si>
  <si>
    <t xml:space="preserve">تغيير الكاوتش فورًا</t>
  </si>
  <si>
    <t xml:space="preserve">F215</t>
  </si>
  <si>
    <t xml:space="preserve">صمام الكاوتش</t>
  </si>
  <si>
    <t xml:space="preserve">الكاوتش بينزل هواء ببطء بدون مسمار</t>
  </si>
  <si>
    <t xml:space="preserve">صمام الكاوتش، هواء بيخرج، بنشر بطيء، بلف</t>
  </si>
  <si>
    <t xml:space="preserve">تسريب صمام الهواء</t>
  </si>
  <si>
    <t xml:space="preserve">تغيير الصمام</t>
  </si>
  <si>
    <t xml:space="preserve">F216</t>
  </si>
  <si>
    <t xml:space="preserve">مقاس الكاوتش</t>
  </si>
  <si>
    <t xml:space="preserve">العربية بتتصرف غريب بعد تغيير مقاس الكاوتش</t>
  </si>
  <si>
    <t xml:space="preserve">مقاس الكاوتش، تغيير الكاوتش، عداد السرعة غلط، احتكاك</t>
  </si>
  <si>
    <t xml:space="preserve">مقاس غير مناسب للعربية</t>
  </si>
  <si>
    <t xml:space="preserve">الرجوع للمقاس الأصلي أو القريب منه</t>
  </si>
  <si>
    <t xml:space="preserve">F217</t>
  </si>
  <si>
    <t xml:space="preserve">الكاوتش المطاطي الخلفي</t>
  </si>
  <si>
    <t xml:space="preserve">ضجة عالية من الكاوتش على الأسفلت الخشن</t>
  </si>
  <si>
    <t xml:space="preserve">ضجة الكاوتش، همهمة، أسفلت، كاوتش عالي الصوت</t>
  </si>
  <si>
    <t xml:space="preserve">نوع كاوتش أو تآكل غير متساوي</t>
  </si>
  <si>
    <t xml:space="preserve">تدوير الكاوتش أو تغييره لنوع هادئ</t>
  </si>
  <si>
    <t xml:space="preserve">F218</t>
  </si>
  <si>
    <t xml:space="preserve">الإستبن</t>
  </si>
  <si>
    <t xml:space="preserve">الاستبن ضغطه ناقص أو عمره قديم وقت الاحتياج</t>
  </si>
  <si>
    <t xml:space="preserve">استبن، كاوتش احتياطي، ضغط الاستبن</t>
  </si>
  <si>
    <t xml:space="preserve">إهمال فحص الاستبن</t>
  </si>
  <si>
    <t xml:space="preserve">فحص الاستبن شهريًا والتأكد من العدة</t>
  </si>
  <si>
    <t xml:space="preserve">F219</t>
  </si>
  <si>
    <t xml:space="preserve">الجنط المثني</t>
  </si>
  <si>
    <t xml:space="preserve">اهتزاز مع تسريب هواء بطيء من الجنط</t>
  </si>
  <si>
    <t xml:space="preserve">جنط مثني، تسريب من الجنط، ضربة، هواء بيخرج</t>
  </si>
  <si>
    <t xml:space="preserve">التواء حافة الجنط بعد حفرة</t>
  </si>
  <si>
    <t xml:space="preserve">فرد الجنط أو تغييره</t>
  </si>
  <si>
    <t xml:space="preserve">F220</t>
  </si>
  <si>
    <t xml:space="preserve">عدم تدوير الكاوتش</t>
  </si>
  <si>
    <t xml:space="preserve">تآكل مختلف بين الكاوتش الأمامي والخلفي</t>
  </si>
  <si>
    <t xml:space="preserve">تدوير الكاوتش، تآكل مختلف، أمامي وخلفي</t>
  </si>
  <si>
    <t xml:space="preserve">عدم تدوير الكاوتش دوريًا</t>
  </si>
  <si>
    <t xml:space="preserve">تدوير الكاوتش كل 10 آلاف كم</t>
  </si>
  <si>
    <t xml:space="preserve">F221</t>
  </si>
  <si>
    <t xml:space="preserve">ناقل حركة</t>
  </si>
  <si>
    <t xml:space="preserve">الجير الأوتوماتيك</t>
  </si>
  <si>
    <t xml:space="preserve">الجير الأوتوماتيك بيخبط أو بيتأخر في التعشيق</t>
  </si>
  <si>
    <t xml:space="preserve">جير، مش بيعشق، خبطة، تأخير، الأوتوماتيك</t>
  </si>
  <si>
    <t xml:space="preserve">زيت جير قديم أو عطل صمامات أو حساسات</t>
  </si>
  <si>
    <t xml:space="preserve">تغيير زيت الجير والفلتر وقراءة الأعطال وفحص الصمامات</t>
  </si>
  <si>
    <t xml:space="preserve">F222</t>
  </si>
  <si>
    <t xml:space="preserve">كلتش DCT / DSG</t>
  </si>
  <si>
    <t xml:space="preserve">رعشة عند الانطلاق في الجير DCT</t>
  </si>
  <si>
    <t xml:space="preserve">رعشة عند الانطلاق، DSG، دبل كلتش، الجير بيهز</t>
  </si>
  <si>
    <t xml:space="preserve">تآكل الكلتش أو وحدة التحكم</t>
  </si>
  <si>
    <t xml:space="preserve">فحص الكلتش وضبطه أو تغييره وتحديث البرمجة</t>
  </si>
  <si>
    <t xml:space="preserve">F223</t>
  </si>
  <si>
    <t xml:space="preserve">الدبرياج (الكلتش)</t>
  </si>
  <si>
    <t xml:space="preserve">الدبرياج بينزلق والدوران بيعلى والسرعة لأ</t>
  </si>
  <si>
    <t xml:space="preserve">دبرياج، الكلتش بيحرق، بينزلق، الدوران بيعلى</t>
  </si>
  <si>
    <t xml:space="preserve">تآكل الدبرياج</t>
  </si>
  <si>
    <t xml:space="preserve">تغيير طقم الدبرياج</t>
  </si>
  <si>
    <t xml:space="preserve">F224</t>
  </si>
  <si>
    <t xml:space="preserve">الجير المانيوال</t>
  </si>
  <si>
    <t xml:space="preserve">صعوبة تعشيق الجير المانيوال</t>
  </si>
  <si>
    <t xml:space="preserve">الجير مش بيدخل، بيزيق، عشق صعب</t>
  </si>
  <si>
    <t xml:space="preserve">زيت جير أو كابل أو دبرياج</t>
  </si>
  <si>
    <t xml:space="preserve">فحص زيت الجير والكابل والدبرياج</t>
  </si>
  <si>
    <t xml:space="preserve">F225</t>
  </si>
  <si>
    <t xml:space="preserve">جوانات الجير</t>
  </si>
  <si>
    <t xml:space="preserve">تسريب زيت تحت الجير</t>
  </si>
  <si>
    <t xml:space="preserve">زيت أحمر، بقعة، تسريب جير</t>
  </si>
  <si>
    <t xml:space="preserve">تلف جوانات أو سيل الجير</t>
  </si>
  <si>
    <t xml:space="preserve">تحديد التسريب وتغيير الجوان وتعبئة الزيت</t>
  </si>
  <si>
    <t xml:space="preserve">F226</t>
  </si>
  <si>
    <t xml:space="preserve">زيت الجير الأوتوماتيك</t>
  </si>
  <si>
    <t xml:space="preserve">ريحة محروقة من زيت الجير والتعشيق بطيء</t>
  </si>
  <si>
    <t xml:space="preserve">ريحة محروقة، زيت الجير، جير بيسخن، تعشيق بطيء</t>
  </si>
  <si>
    <t xml:space="preserve">زيت قديم أو مستواه ناقص أو سخونة</t>
  </si>
  <si>
    <t xml:space="preserve">تغيير زيت الجير والفلتر وفحص التسريب</t>
  </si>
  <si>
    <t xml:space="preserve">F227</t>
  </si>
  <si>
    <t xml:space="preserve">الجير الأوتوماتيك (الانزلاق)</t>
  </si>
  <si>
    <t xml:space="preserve">الدوران يعلى والسرعة ما تزيدش</t>
  </si>
  <si>
    <t xml:space="preserve">الجير بينزلق، الدوران يعلى، مفيش سرعة، تزحلق</t>
  </si>
  <si>
    <t xml:space="preserve">تآكل أقراص الجير أو ضغط زيت منخفض</t>
  </si>
  <si>
    <t xml:space="preserve">فحص الضغط وإصلاح الجير في مركز متخصص</t>
  </si>
  <si>
    <t xml:space="preserve">F228</t>
  </si>
  <si>
    <t xml:space="preserve">تعشيق D و R</t>
  </si>
  <si>
    <t xml:space="preserve">تأخير ثانيتين قبل ما العربية تتحرك لما أنقل D أو R</t>
  </si>
  <si>
    <t xml:space="preserve">تأخير التعشيق، D و R، الجير بطيء، ماشي بعد ثانية</t>
  </si>
  <si>
    <t xml:space="preserve">ضغط زيت منخفض أو عطل صمامات</t>
  </si>
  <si>
    <t xml:space="preserve">فحص مستوى الزيت وتغييره وفحص الصمامات</t>
  </si>
  <si>
    <t xml:space="preserve">F229</t>
  </si>
  <si>
    <t xml:space="preserve">وضع الأمان للجير</t>
  </si>
  <si>
    <t xml:space="preserve">لمبة الجير منورة والعربية على سرعة واحدة فقط</t>
  </si>
  <si>
    <t xml:space="preserve">وضع الأمان، الجير على سرعة واحدة، لمبة الجير</t>
  </si>
  <si>
    <t xml:space="preserve">لمبة الجير</t>
  </si>
  <si>
    <t xml:space="preserve">عطل حساس أو سولينويد أو وحدة التحكم</t>
  </si>
  <si>
    <t xml:space="preserve">قراءة الكود وإصلاح العطل</t>
  </si>
  <si>
    <t xml:space="preserve">F230</t>
  </si>
  <si>
    <t xml:space="preserve">حساس سرعة الجير</t>
  </si>
  <si>
    <t xml:space="preserve">عداد السرعة مش دقيق وتغيير السرعات عشوائي</t>
  </si>
  <si>
    <t xml:space="preserve">حساس سرعة الجير، عداد السرعة، تغيير عشوائي</t>
  </si>
  <si>
    <t xml:space="preserve">عطل حساس سرعة الدخول أو الخروج</t>
  </si>
  <si>
    <t xml:space="preserve">F231</t>
  </si>
  <si>
    <t xml:space="preserve">فلتر الجير</t>
  </si>
  <si>
    <t xml:space="preserve">الجير بيعمل صوت أزيز وبيسخن بعد فترة قيادة</t>
  </si>
  <si>
    <t xml:space="preserve">أزيز الجير، فلتر الجير، سخونة الجير</t>
  </si>
  <si>
    <t xml:space="preserve">انسداد فلتر الجير</t>
  </si>
  <si>
    <t xml:space="preserve">تغيير الفلتر والزيت</t>
  </si>
  <si>
    <t xml:space="preserve">F232</t>
  </si>
  <si>
    <t xml:space="preserve">مبرد زيت الجير</t>
  </si>
  <si>
    <t xml:space="preserve">تسريب زيت أحمر من الأمام</t>
  </si>
  <si>
    <t xml:space="preserve">زيت أحمر، مبرد الجير، تسريب من الأمام، خرطوم الجير</t>
  </si>
  <si>
    <t xml:space="preserve">تسريب مبرد أو خرطوم زيت الجير</t>
  </si>
  <si>
    <t xml:space="preserve">تغيير الخرطوم أو المبرد وتعبئة الزيت</t>
  </si>
  <si>
    <t xml:space="preserve">F233</t>
  </si>
  <si>
    <t xml:space="preserve">محول العزم (Torque converter)</t>
  </si>
  <si>
    <t xml:space="preserve">رعشة عند السرعة 40 إلى 60 كم/س</t>
  </si>
  <si>
    <t xml:space="preserve">رعشة 40 إلى 60، محول العزم، تورك كونفرتر</t>
  </si>
  <si>
    <t xml:space="preserve">تلف قفل محول العزم</t>
  </si>
  <si>
    <t xml:space="preserve">إصلاح أو تغيير محول العزم</t>
  </si>
  <si>
    <t xml:space="preserve">F234</t>
  </si>
  <si>
    <t xml:space="preserve">سولينويد الجير</t>
  </si>
  <si>
    <t xml:space="preserve">الجير بيعشق عنيف أو بيتأخر في بعض السرعات</t>
  </si>
  <si>
    <t xml:space="preserve">سولينويد، تعشيق عنيف، تأخر في السرعات، صمام الجير</t>
  </si>
  <si>
    <t xml:space="preserve">عطل سولينويد في وحدة الصمامات</t>
  </si>
  <si>
    <t xml:space="preserve">تغيير السولينويد أو وحدة الصمامات</t>
  </si>
  <si>
    <t xml:space="preserve">F235</t>
  </si>
  <si>
    <t xml:space="preserve">الميكاترونيك (DCT)</t>
  </si>
  <si>
    <t xml:space="preserve">لمبة الجير وتعشيق خشن في الجير DCT</t>
  </si>
  <si>
    <t xml:space="preserve">ميكاترونيك، DCT، تعشيق خشن، لمبة الجير</t>
  </si>
  <si>
    <t xml:space="preserve">عطل وحدة الميكاترونيك</t>
  </si>
  <si>
    <t xml:space="preserve">فحص وإصلاح أو تغيير الميكاترونيك</t>
  </si>
  <si>
    <t xml:space="preserve">F236</t>
  </si>
  <si>
    <t xml:space="preserve">جير CVT</t>
  </si>
  <si>
    <t xml:space="preserve">أزيز وبطء استجابة في جير CVT</t>
  </si>
  <si>
    <t xml:space="preserve">CVT، أزيز، بطء، جير أوتوماتيك مستمر</t>
  </si>
  <si>
    <t xml:space="preserve">زيت CVT قديم أو تآكل السير</t>
  </si>
  <si>
    <t xml:space="preserve">تغيير زيت CVT بالنوع المخصص وفحص السير</t>
  </si>
  <si>
    <t xml:space="preserve">F237</t>
  </si>
  <si>
    <t xml:space="preserve">سير CVT</t>
  </si>
  <si>
    <t xml:space="preserve">العربية بتتزحلق وبتفقد القوة مع عطل CVT</t>
  </si>
  <si>
    <t xml:space="preserve">سير CVT، بتتزحلق، فقد قوة، تقطيع جير</t>
  </si>
  <si>
    <t xml:space="preserve">تآكل السير أو البكرات</t>
  </si>
  <si>
    <t xml:space="preserve">فحص وإصلاح الجير أو تغييره</t>
  </si>
  <si>
    <t xml:space="preserve">F238</t>
  </si>
  <si>
    <t xml:space="preserve">كابل الجير</t>
  </si>
  <si>
    <t xml:space="preserve">ناقل الحركة مش بيدخل الغيارات بسهولة</t>
  </si>
  <si>
    <t xml:space="preserve">كابل الجير، الغيارات صعبة، كابل مرتخي</t>
  </si>
  <si>
    <t xml:space="preserve">تمدد أو انفلات كابل التعشيق</t>
  </si>
  <si>
    <t xml:space="preserve">F239</t>
  </si>
  <si>
    <t xml:space="preserve">رولمان الدبرياج</t>
  </si>
  <si>
    <t xml:space="preserve">صوت صفير عند الضغط على الدبرياج</t>
  </si>
  <si>
    <t xml:space="preserve">رولمان الدبرياج، صفير مع الدبرياج، صوت عند الضغط</t>
  </si>
  <si>
    <t xml:space="preserve">تآكل رولمان فصل الدبرياج</t>
  </si>
  <si>
    <t xml:space="preserve">تغيير الرولمان مع طقم الدبرياج</t>
  </si>
  <si>
    <t xml:space="preserve">F240</t>
  </si>
  <si>
    <t xml:space="preserve">الدبرياج التقيل</t>
  </si>
  <si>
    <t xml:space="preserve">دواسة الدبرياج تقيلة جدًا</t>
  </si>
  <si>
    <t xml:space="preserve">دبرياج تقيل، دواسة صعبة، قدمي بتوجع</t>
  </si>
  <si>
    <t xml:space="preserve">عطل الطلمبة السفلية أو البريشر</t>
  </si>
  <si>
    <t xml:space="preserve">تغيير الطلمبة أو الريشة</t>
  </si>
  <si>
    <t xml:space="preserve">F241</t>
  </si>
  <si>
    <t xml:space="preserve">طلمبة الدبرياج</t>
  </si>
  <si>
    <t xml:space="preserve">دواسة الدبرياج بتنزل ومش بترجع</t>
  </si>
  <si>
    <t xml:space="preserve">دبرياج بيغطس، زيت الدبرياج، تسريب</t>
  </si>
  <si>
    <t xml:space="preserve">تلف الطلمبة العلوية أو السفلية</t>
  </si>
  <si>
    <t xml:space="preserve">تغيير الطلمبة وتفريغ الهواء</t>
  </si>
  <si>
    <t xml:space="preserve">F242</t>
  </si>
  <si>
    <t xml:space="preserve">الفلايويل مزدوج الكتلة</t>
  </si>
  <si>
    <t xml:space="preserve">طقطقة وقت التشغيل أو الإطفاء</t>
  </si>
  <si>
    <t xml:space="preserve">فلايويل، طقطقة، مزدوج الكتلة، رجة عند الإطفاء</t>
  </si>
  <si>
    <t xml:space="preserve">تآكل الفلايويل المزدوج</t>
  </si>
  <si>
    <t xml:space="preserve">تغيير الفلايويل مع الدبرياج</t>
  </si>
  <si>
    <t xml:space="preserve">F243</t>
  </si>
  <si>
    <t xml:space="preserve">جلبة التعشيق</t>
  </si>
  <si>
    <t xml:space="preserve">الجير المانيوال بيطلع من السرعة لوحده</t>
  </si>
  <si>
    <t xml:space="preserve">بيطلع من السرعة، جير بيفصل، جلبة التعشيق</t>
  </si>
  <si>
    <t xml:space="preserve">تآكل جلبة أو شوكة التعشيق</t>
  </si>
  <si>
    <t xml:space="preserve">فتح الجير وإصلاحه</t>
  </si>
  <si>
    <t xml:space="preserve">F244</t>
  </si>
  <si>
    <t xml:space="preserve">الترانسفر (الدفع الرباعي)</t>
  </si>
  <si>
    <t xml:space="preserve">صوت أزيز أو اهتزاز في الدفع الرباعي</t>
  </si>
  <si>
    <t xml:space="preserve">الترانسفر، دفع رباعي، أزيز، اهتزاز</t>
  </si>
  <si>
    <t xml:space="preserve">زيت الترانسفر ناقص أو تآكل التروس</t>
  </si>
  <si>
    <t xml:space="preserve">تغيير زيت الترانسفر وفحصه</t>
  </si>
  <si>
    <t xml:space="preserve">دفع رباعي</t>
  </si>
  <si>
    <t xml:space="preserve">F245</t>
  </si>
  <si>
    <t xml:space="preserve">حساس وضع الركن P</t>
  </si>
  <si>
    <t xml:space="preserve">العربية مش بتدور ولا بتتحرك من وضع P</t>
  </si>
  <si>
    <t xml:space="preserve">وضع P، مش بتدور، سويتش الركن، حساس الرافعة</t>
  </si>
  <si>
    <t xml:space="preserve">عطل حساس الرافعة أو سويتش الاتصال</t>
  </si>
  <si>
    <t xml:space="preserve">F246</t>
  </si>
  <si>
    <t xml:space="preserve">تكييف</t>
  </si>
  <si>
    <t xml:space="preserve">الفريون / الكمبروسر</t>
  </si>
  <si>
    <t xml:space="preserve">التكييف مش بيبرد</t>
  </si>
  <si>
    <t xml:space="preserve">تكييف، مبيبردش، سخن، فريون، مكيف</t>
  </si>
  <si>
    <t xml:space="preserve">نقص فريون أو عطل كمبروسر أو كوندنسر مسدود أو فلتر</t>
  </si>
  <si>
    <t xml:space="preserve">فحص ضغط الفريون وتعبئته وفحص الكمبروسر والكوندنسر</t>
  </si>
  <si>
    <t xml:space="preserve">F247</t>
  </si>
  <si>
    <t xml:space="preserve">المبخر / الكلتش</t>
  </si>
  <si>
    <t xml:space="preserve">التكييف بيبرد وبعدين يسخن</t>
  </si>
  <si>
    <t xml:space="preserve">يبرد ويسخن، التكييف بيقطع، تجمد</t>
  </si>
  <si>
    <t xml:space="preserve">تجمد المبخر أو عطل كلتش الكمبروسر أو ريليه</t>
  </si>
  <si>
    <t xml:space="preserve">فحص الفريون والكلتش والريليه وتنظيف المبخر</t>
  </si>
  <si>
    <t xml:space="preserve">F248</t>
  </si>
  <si>
    <t xml:space="preserve">فلتر الكابينة / المبخر</t>
  </si>
  <si>
    <t xml:space="preserve">ريحة وحشة من التكييف</t>
  </si>
  <si>
    <t xml:space="preserve">ريحة، عفن، رطوبة، ريحة التكييف، بو</t>
  </si>
  <si>
    <t xml:space="preserve">فلتر الكابينة قديم أو عفن في المبخر</t>
  </si>
  <si>
    <t xml:space="preserve">تغيير فلتر الكابينة وتنظيف المبخر وتعقيمه</t>
  </si>
  <si>
    <t xml:space="preserve">F249</t>
  </si>
  <si>
    <t xml:space="preserve">مجرى تصريف المياه</t>
  </si>
  <si>
    <t xml:space="preserve">مياه بتنزل جوه العربية من تحت التابلوه</t>
  </si>
  <si>
    <t xml:space="preserve">مياه جوه العربية، رطوبة، بلل تحت الكراسي</t>
  </si>
  <si>
    <t xml:space="preserve">انسداد مجرى تصريف مياه التكييف</t>
  </si>
  <si>
    <t xml:space="preserve">تسليك مجرى التصريف وتنظيف المبخر</t>
  </si>
  <si>
    <t xml:space="preserve">F250</t>
  </si>
  <si>
    <t xml:space="preserve">الكمبروسر</t>
  </si>
  <si>
    <t xml:space="preserve">صوت عالي من التكييف لما أشغله</t>
  </si>
  <si>
    <t xml:space="preserve">صوت التكييف، زن، كمبروسر، بلية الكلتش</t>
  </si>
  <si>
    <t xml:space="preserve">بلية كمبروسر أو كلتش متآكل</t>
  </si>
  <si>
    <t xml:space="preserve">فحص الكمبروسر وتغيير الكلتش أو الكمبروسر</t>
  </si>
  <si>
    <t xml:space="preserve">F251</t>
  </si>
  <si>
    <t xml:space="preserve">الكوندنسر</t>
  </si>
  <si>
    <t xml:space="preserve">التكييف ضعيف وفي الزحمة بس يسخن</t>
  </si>
  <si>
    <t xml:space="preserve">كوندنسر، ثلاجة العربية، سخن في الزحمة، تكييف ضعيف</t>
  </si>
  <si>
    <t xml:space="preserve">اتساخ أو انسداد الكوندنسر</t>
  </si>
  <si>
    <t xml:space="preserve">غسيل الكوندنسر أو تغييره</t>
  </si>
  <si>
    <t xml:space="preserve">F252</t>
  </si>
  <si>
    <t xml:space="preserve">مروحة الكوندنسر</t>
  </si>
  <si>
    <t xml:space="preserve">التكييف بيبرد وأنا ماشي ويسخن في الزحمة</t>
  </si>
  <si>
    <t xml:space="preserve">مروحة الكوندنسر، سخن في الزحمة، تكييف ماشي</t>
  </si>
  <si>
    <t xml:space="preserve">عطل مروحة التكييف</t>
  </si>
  <si>
    <t xml:space="preserve">تغيير المروحة أو الريليه</t>
  </si>
  <si>
    <t xml:space="preserve">F253</t>
  </si>
  <si>
    <t xml:space="preserve">كلتش الكمبروسر</t>
  </si>
  <si>
    <t xml:space="preserve">الكلتش مش بيشبك وصوت طقة بدون تبريد</t>
  </si>
  <si>
    <t xml:space="preserve">كلتش الكمبروسر، طقة، مش بيشبك، تكييف مش بيبرد</t>
  </si>
  <si>
    <t xml:space="preserve">عطل ملف الكلتش أو فجوة كبيرة</t>
  </si>
  <si>
    <t xml:space="preserve">تغيير الكلتش أو ضبط الفجوة</t>
  </si>
  <si>
    <t xml:space="preserve">F254</t>
  </si>
  <si>
    <t xml:space="preserve">الدرايير</t>
  </si>
  <si>
    <t xml:space="preserve">التكييف ضعيف مع تجمد خط الفريون</t>
  </si>
  <si>
    <t xml:space="preserve">تجمد الخط، درايير، خط الفريون متجمد، رطوبة</t>
  </si>
  <si>
    <t xml:space="preserve">انسداد الدرايير بالرطوبة</t>
  </si>
  <si>
    <t xml:space="preserve">تغيير الدرايير وتفريغ وتعبئة</t>
  </si>
  <si>
    <t xml:space="preserve">F255</t>
  </si>
  <si>
    <t xml:space="preserve">صمام التمدد</t>
  </si>
  <si>
    <t xml:space="preserve">التبريد غير ثابت وصوت هسهسة في التابلوه</t>
  </si>
  <si>
    <t xml:space="preserve">صمام التمدد، هسهسة، تبريد متذبذب، التابلوه</t>
  </si>
  <si>
    <t xml:space="preserve">عطل صمام التمدد</t>
  </si>
  <si>
    <t xml:space="preserve">F256</t>
  </si>
  <si>
    <t xml:space="preserve">تسريب الفريون</t>
  </si>
  <si>
    <t xml:space="preserve">التكييف يبرد شهر ويضعف ويحتاج تعبئة متكررة</t>
  </si>
  <si>
    <t xml:space="preserve">تسريب فريون، تعبئة متكررة، فريون بيخلص</t>
  </si>
  <si>
    <t xml:space="preserve">تسريب في وصلة أو خرطوم أو مبخر</t>
  </si>
  <si>
    <t xml:space="preserve">كشف التسريب بالصبغة وإصلاحه</t>
  </si>
  <si>
    <t xml:space="preserve">F257</t>
  </si>
  <si>
    <t xml:space="preserve">المبخر</t>
  </si>
  <si>
    <t xml:space="preserve">ريحة حلوة وضعف تبريد وضباب من الفتحات</t>
  </si>
  <si>
    <t xml:space="preserve">المبخر، ريحة فريون، ضباب من التكييف</t>
  </si>
  <si>
    <t xml:space="preserve">ثقب في المبخر</t>
  </si>
  <si>
    <t xml:space="preserve">تغيير المبخر وقد يتطلب فك التابلوه</t>
  </si>
  <si>
    <t xml:space="preserve">F258</t>
  </si>
  <si>
    <t xml:space="preserve">موتور الهواء (البلاور)</t>
  </si>
  <si>
    <t xml:space="preserve">الهواء ضعيف جدًا من الفتحات رغم السرعة العالية</t>
  </si>
  <si>
    <t xml:space="preserve">البلاور، الهواء ضعيف، سرعات التكييف، موتور المروحة</t>
  </si>
  <si>
    <t xml:space="preserve">عطل موتور البلاور أو الريزستانس</t>
  </si>
  <si>
    <t xml:space="preserve">تغيير الريزستانس أو الموتور</t>
  </si>
  <si>
    <t xml:space="preserve">F259</t>
  </si>
  <si>
    <t xml:space="preserve">الريزستانس</t>
  </si>
  <si>
    <t xml:space="preserve">مروحة التكييف تشتغل على سرعة واحدة فقط</t>
  </si>
  <si>
    <t xml:space="preserve">الريزستانس، سرعة واحدة، مقاومة البلاور</t>
  </si>
  <si>
    <t xml:space="preserve">احتراق مقاومة السرعات</t>
  </si>
  <si>
    <t xml:space="preserve">تغيير الريزستانس</t>
  </si>
  <si>
    <t xml:space="preserve">F260</t>
  </si>
  <si>
    <t xml:space="preserve">مازج الهواء</t>
  </si>
  <si>
    <t xml:space="preserve">هواء بارد من ناحية وساخن من ناحية</t>
  </si>
  <si>
    <t xml:space="preserve">بارد وساخن، المازج، موتور الأبواب، تكييف مزدوج</t>
  </si>
  <si>
    <t xml:space="preserve">عطل موتور الباب المازج للهواء</t>
  </si>
  <si>
    <t xml:space="preserve">تغيير موتور الباب</t>
  </si>
  <si>
    <t xml:space="preserve">F261</t>
  </si>
  <si>
    <t xml:space="preserve">حساس الحرارة الداخلي</t>
  </si>
  <si>
    <t xml:space="preserve">التكييف الأوتوماتيك لا يوازن الحرارة</t>
  </si>
  <si>
    <t xml:space="preserve">تكييف أوتوماتيك، حساس الحرارة، حرارة غير ثابتة</t>
  </si>
  <si>
    <t xml:space="preserve">عطل حساس الكابينة</t>
  </si>
  <si>
    <t xml:space="preserve">تكييف أوتوماتيك</t>
  </si>
  <si>
    <t xml:space="preserve">F262</t>
  </si>
  <si>
    <t xml:space="preserve">زر التكييف</t>
  </si>
  <si>
    <t xml:space="preserve">زر التكييف بينور لكن لا يبرد</t>
  </si>
  <si>
    <t xml:space="preserve">زر AC، ينور ومش بيبرد، سويتش التكييف</t>
  </si>
  <si>
    <t xml:space="preserve">عطل ضغط الفريون أو الترانسدوسر</t>
  </si>
  <si>
    <t xml:space="preserve">فحص ضغط الفريون وتغيير الترانسدوسر</t>
  </si>
  <si>
    <t xml:space="preserve">F263</t>
  </si>
  <si>
    <t xml:space="preserve">سير الكمبروسر</t>
  </si>
  <si>
    <t xml:space="preserve">سير التكييف بيصفر عند تشغيل التكييف</t>
  </si>
  <si>
    <t xml:space="preserve">صفير عند تشغيل التكييف، سير الكمبروسر</t>
  </si>
  <si>
    <t xml:space="preserve">سير مرتخي أو متآكل</t>
  </si>
  <si>
    <t xml:space="preserve">شد أو تغيير السير</t>
  </si>
  <si>
    <t xml:space="preserve">F264</t>
  </si>
  <si>
    <t xml:space="preserve">فريون مغشوش</t>
  </si>
  <si>
    <t xml:space="preserve">التكييف يضعف بعد تعبئة من مكان غير موثوق</t>
  </si>
  <si>
    <t xml:space="preserve">فريون مغشوش، تعبئة رديئة، تبريد ضعيف بعد التعبئة</t>
  </si>
  <si>
    <t xml:space="preserve">فريون من نوع خاطئ أو مخلوط</t>
  </si>
  <si>
    <t xml:space="preserve">تفريغ النظام وتعبئة النوع الصحيح</t>
  </si>
  <si>
    <t xml:space="preserve">F265</t>
  </si>
  <si>
    <t xml:space="preserve">سويتش الضغط</t>
  </si>
  <si>
    <t xml:space="preserve">التكييف يفصل نفسه بعد دقايق</t>
  </si>
  <si>
    <t xml:space="preserve">الضغط العالي، فصل التكييف، سويتش الضغط</t>
  </si>
  <si>
    <t xml:space="preserve">عطل سويتش الضغط أو شحنة زائدة</t>
  </si>
  <si>
    <t xml:space="preserve">فحص الضغط وتفريغ الزيادة</t>
  </si>
  <si>
    <t xml:space="preserve">F266</t>
  </si>
  <si>
    <t xml:space="preserve">أخرى</t>
  </si>
  <si>
    <t xml:space="preserve">السيور</t>
  </si>
  <si>
    <t xml:space="preserve">صوت صرير أو صفير من السيور وقت التشغيل</t>
  </si>
  <si>
    <t xml:space="preserve">سير، زيق، صفير، سير الدينامو، سير المروحة</t>
  </si>
  <si>
    <t xml:space="preserve">سير مفكوك أو متآكل</t>
  </si>
  <si>
    <t xml:space="preserve">شد السير أو تغييره</t>
  </si>
  <si>
    <t xml:space="preserve">F267</t>
  </si>
  <si>
    <t xml:space="preserve">قفل الأطفال</t>
  </si>
  <si>
    <t xml:space="preserve">الباب الخلفي لا يفتح من الداخل</t>
  </si>
  <si>
    <t xml:space="preserve">قفل الأطفال، الباب الخلفي، مش بيفتح من جوه</t>
  </si>
  <si>
    <t xml:space="preserve">قفل الأطفال مفعل أو عطل ذراع الباب</t>
  </si>
  <si>
    <t xml:space="preserve">إلغاء القفل أو تغيير الذراع</t>
  </si>
  <si>
    <t xml:space="preserve">F268</t>
  </si>
  <si>
    <t xml:space="preserve">ذراع الباب الخارجي</t>
  </si>
  <si>
    <t xml:space="preserve">الباب لا يفتح من الخارج</t>
  </si>
  <si>
    <t xml:space="preserve">ذراع الباب، الباب مش بيفتح من برة، مقبض</t>
  </si>
  <si>
    <t xml:space="preserve">كسر في ذراع الباب أو الوصلة</t>
  </si>
  <si>
    <t xml:space="preserve">تغيير الذراع أو الوصلة</t>
  </si>
  <si>
    <t xml:space="preserve">F269</t>
  </si>
  <si>
    <t xml:space="preserve">مطاط زجاج الباب</t>
  </si>
  <si>
    <t xml:space="preserve">زجاج الباب بيتحرك ببطء ويزيق</t>
  </si>
  <si>
    <t xml:space="preserve">الزجاج بيزيق، شباك بطيء، مطاط الزجاج، حلقة</t>
  </si>
  <si>
    <t xml:space="preserve">جفاف أو اتساخ مجرى الزجاج</t>
  </si>
  <si>
    <t xml:space="preserve">تنظيف المجرى وتشحيمه بسيليكون</t>
  </si>
  <si>
    <t xml:space="preserve">F270</t>
  </si>
  <si>
    <t xml:space="preserve">مجرى فتحة السقف</t>
  </si>
  <si>
    <t xml:space="preserve">تسريب مياه من السقف مع المطر</t>
  </si>
  <si>
    <t xml:space="preserve">ماء من السقف، مجرى فتحة السقف، تسريب مطر</t>
  </si>
  <si>
    <t xml:space="preserve">انسداد مجرى تصريف فتحة السقف</t>
  </si>
  <si>
    <t xml:space="preserve">تسليك المجاري</t>
  </si>
  <si>
    <t xml:space="preserve">F271</t>
  </si>
  <si>
    <t xml:space="preserve">حشوة الباب</t>
  </si>
  <si>
    <t xml:space="preserve">مياه تدخل من الباب وتبل الأرضية</t>
  </si>
  <si>
    <t xml:space="preserve">حشوة الباب، مياه من الباب، بلل الأرضية، مطاط الباب</t>
  </si>
  <si>
    <t xml:space="preserve">تلف أو تقادم مطاط الباب</t>
  </si>
  <si>
    <t xml:space="preserve">F272</t>
  </si>
  <si>
    <t xml:space="preserve">ضباب الفنار</t>
  </si>
  <si>
    <t xml:space="preserve">رطوبة وضباب داخل الفنار الأمامي</t>
  </si>
  <si>
    <t xml:space="preserve">رطوبة في الفنار، ضباب، مياه في الكشاف</t>
  </si>
  <si>
    <t xml:space="preserve">تلف غطاء الفنار أو حشوته</t>
  </si>
  <si>
    <t xml:space="preserve">تنظيف وتجفيف وإعادة تركيب أو تغيير الفنار</t>
  </si>
  <si>
    <t xml:space="preserve">F273</t>
  </si>
  <si>
    <t xml:space="preserve">رائحة العفن</t>
  </si>
  <si>
    <t xml:space="preserve">ريحة عفن ورطوبة داخل العربية</t>
  </si>
  <si>
    <t xml:space="preserve">ريحة عفن، رطوبة، ريحة وحشة جوه</t>
  </si>
  <si>
    <t xml:space="preserve">رطوبة في الأرضية أو فلتر الكابينة</t>
  </si>
  <si>
    <t xml:space="preserve">تجفيف وتنظيف الكابينة وتغيير الفلتر</t>
  </si>
  <si>
    <t xml:space="preserve">F274</t>
  </si>
  <si>
    <t xml:space="preserve">صدأ الأرضية</t>
  </si>
  <si>
    <t xml:space="preserve">صدأ وثقوب في أرضية العربية</t>
  </si>
  <si>
    <t xml:space="preserve">صدأ الأرضية، ثقوب، شاسيه صدأ</t>
  </si>
  <si>
    <t xml:space="preserve">تراكم رطوبة وغياب الحماية</t>
  </si>
  <si>
    <t xml:space="preserve">معالجة الصدأ ولحام ودهان واقٍ</t>
  </si>
  <si>
    <t xml:space="preserve">F275</t>
  </si>
  <si>
    <t xml:space="preserve">صدأ الجوانب</t>
  </si>
  <si>
    <t xml:space="preserve">صدأ في حواف الأبواب والرفارف</t>
  </si>
  <si>
    <t xml:space="preserve">صدأ الأبواب، رفرف صدأ، حافة الباب</t>
  </si>
  <si>
    <t xml:space="preserve">خدوش دهان وتراكم رطوبة</t>
  </si>
  <si>
    <t xml:space="preserve">سنفرة ومعالجة ودهان</t>
  </si>
  <si>
    <t xml:space="preserve">F276</t>
  </si>
  <si>
    <t xml:space="preserve">الدهان الباهت</t>
  </si>
  <si>
    <t xml:space="preserve">لون الدهان باهت وبيتقشر على السقف والكبوت</t>
  </si>
  <si>
    <t xml:space="preserve">دهان باهت، تقشر الدهان، السقف، أكسدة</t>
  </si>
  <si>
    <t xml:space="preserve">تعرض طويل للشمس</t>
  </si>
  <si>
    <t xml:space="preserve">تلميع أو إعادة دهان</t>
  </si>
  <si>
    <t xml:space="preserve">F277</t>
  </si>
  <si>
    <t xml:space="preserve">خدش عميق</t>
  </si>
  <si>
    <t xml:space="preserve">خدش عميق في الدهان والمعدن ظاهر</t>
  </si>
  <si>
    <t xml:space="preserve">خدش عميق، المعدن ظاهر، رش</t>
  </si>
  <si>
    <t xml:space="preserve">احتكاك أو صدمة</t>
  </si>
  <si>
    <t xml:space="preserve">معجون ورش جزئي</t>
  </si>
  <si>
    <t xml:space="preserve">F278</t>
  </si>
  <si>
    <t xml:space="preserve">حزام الأمان لا يسحب</t>
  </si>
  <si>
    <t xml:space="preserve">حزام الأمان بطيء في السحب أو مش بيرجع</t>
  </si>
  <si>
    <t xml:space="preserve">حزام الأمان، بطيء، مش بيرجع، لف الحزام</t>
  </si>
  <si>
    <t xml:space="preserve">اتساخ أو تلف نابض الحزام</t>
  </si>
  <si>
    <t xml:space="preserve">تنظيف أو تغيير الحزام</t>
  </si>
  <si>
    <t xml:space="preserve">F279</t>
  </si>
  <si>
    <t xml:space="preserve">حزام الأمان العالق</t>
  </si>
  <si>
    <t xml:space="preserve">حزام الأمان مقفول ولا يتحرك</t>
  </si>
  <si>
    <t xml:space="preserve">حزام مقفول، عالق، لا يتحرك، قفل الحزام</t>
  </si>
  <si>
    <t xml:space="preserve">تلف آلية القفل</t>
  </si>
  <si>
    <t xml:space="preserve">تغيير الحزام</t>
  </si>
  <si>
    <t xml:space="preserve">F280</t>
  </si>
  <si>
    <t xml:space="preserve">مقعد السائق الكهربائي</t>
  </si>
  <si>
    <t xml:space="preserve">مقعد السائق الكهربائي لا يتحرك</t>
  </si>
  <si>
    <t xml:space="preserve">مقعد كهربائي، مش بيتحرك، موتور المقعد</t>
  </si>
  <si>
    <t xml:space="preserve">عطل موتور أو سويتش المقعد</t>
  </si>
  <si>
    <t xml:space="preserve">تغيير الموتور أو السويتش</t>
  </si>
  <si>
    <t xml:space="preserve">عربيات بمقاعد كهربائية</t>
  </si>
  <si>
    <t xml:space="preserve">F281</t>
  </si>
  <si>
    <t xml:space="preserve">قضيب المقعد</t>
  </si>
  <si>
    <t xml:space="preserve">المقعد لا يثبت وبيتحرك أثناء القيادة</t>
  </si>
  <si>
    <t xml:space="preserve">المقعد بيتحرك، قضيب المقعد، قفل المقعد، مش ثابت</t>
  </si>
  <si>
    <t xml:space="preserve">تلف قفل القضيب</t>
  </si>
  <si>
    <t xml:space="preserve">تغيير القفل أو القضيب</t>
  </si>
  <si>
    <t xml:space="preserve">F282</t>
  </si>
  <si>
    <t xml:space="preserve">مسند الرأس</t>
  </si>
  <si>
    <t xml:space="preserve">مسند الرأس مكسور أو مفكوك</t>
  </si>
  <si>
    <t xml:space="preserve">مسند الرأس، مكسور، الوسادة، الكرسي</t>
  </si>
  <si>
    <t xml:space="preserve">كسر القضيب البلاستيك</t>
  </si>
  <si>
    <t xml:space="preserve">تغيير المسند</t>
  </si>
  <si>
    <t xml:space="preserve">F283</t>
  </si>
  <si>
    <t xml:space="preserve">الكبوت</t>
  </si>
  <si>
    <t xml:space="preserve">الكبوت لا يفتح من الداخل</t>
  </si>
  <si>
    <t xml:space="preserve">الكبوت مش بيفتح، كابل الكبوت، زر الكبوت</t>
  </si>
  <si>
    <t xml:space="preserve">كسر كابل فتح الكبوت</t>
  </si>
  <si>
    <t xml:space="preserve">تغيير الكابل</t>
  </si>
  <si>
    <t xml:space="preserve">F284</t>
  </si>
  <si>
    <t xml:space="preserve">الدعامة الغازية</t>
  </si>
  <si>
    <t xml:space="preserve">غطاء الكبوت أو الشنطة بينزل لوحده</t>
  </si>
  <si>
    <t xml:space="preserve">الدعامة، الشنطة بتنزل، كبوت بينزل، مساعد الشنطة</t>
  </si>
  <si>
    <t xml:space="preserve">ضعف الدعامة الغازية</t>
  </si>
  <si>
    <t xml:space="preserve">تغيير الدعامتين</t>
  </si>
  <si>
    <t xml:space="preserve">F285</t>
  </si>
  <si>
    <t xml:space="preserve">الشنطة الكهربائية</t>
  </si>
  <si>
    <t xml:space="preserve">الشنطة الكهربائية لا تفتح</t>
  </si>
  <si>
    <t xml:space="preserve">الشنطة الكهربائية، مش بتفتح، موتور الشنطة</t>
  </si>
  <si>
    <t xml:space="preserve">عطل موتور أو سويتش</t>
  </si>
  <si>
    <t xml:space="preserve">فحص وتغيير</t>
  </si>
  <si>
    <t xml:space="preserve">عربيات بشنطة كهربائية</t>
  </si>
  <si>
    <t xml:space="preserve">F286</t>
  </si>
  <si>
    <t xml:space="preserve">مصد العربية</t>
  </si>
  <si>
    <t xml:space="preserve">المصد مفكوك ومتحرك على الطريق</t>
  </si>
  <si>
    <t xml:space="preserve">المصد، مفكوك، شنطة المصد، كليبس</t>
  </si>
  <si>
    <t xml:space="preserve">كسر كليبسات التثبيت</t>
  </si>
  <si>
    <t xml:space="preserve">ربط أو تغيير الكليبسات</t>
  </si>
  <si>
    <t xml:space="preserve">F287</t>
  </si>
  <si>
    <t xml:space="preserve">غطاء المحرك السفلي</t>
  </si>
  <si>
    <t xml:space="preserve">صوت جر على الأرض عند المطبات</t>
  </si>
  <si>
    <t xml:space="preserve">جر على الأرض، الغطاء السفلي، مطبات، احتكاك</t>
  </si>
  <si>
    <t xml:space="preserve">ارتخاء الغطاء السفلي</t>
  </si>
  <si>
    <t xml:space="preserve">ربط أو تغيير الغطاء</t>
  </si>
  <si>
    <t xml:space="preserve">F288</t>
  </si>
  <si>
    <t xml:space="preserve">صفير الهواء</t>
  </si>
  <si>
    <t xml:space="preserve">صفير عالي من الباب أو الزجاج على السرعة</t>
  </si>
  <si>
    <t xml:space="preserve">صفير على السرعة، هواء من الباب، ضوضاء الهواء</t>
  </si>
  <si>
    <t xml:space="preserve">تلف مطاط الباب أو الزجاج</t>
  </si>
  <si>
    <t xml:space="preserve">تغيير أو تعديل مطاط الباب</t>
  </si>
  <si>
    <t xml:space="preserve">F289</t>
  </si>
  <si>
    <t xml:space="preserve">عداد السرعة</t>
  </si>
  <si>
    <t xml:space="preserve">عداد السرعة لا يعمل أو بيتحرك غلط</t>
  </si>
  <si>
    <t xml:space="preserve">عداد السرعة، مش شغال، قراءة غلط، عداد التابلوه</t>
  </si>
  <si>
    <t xml:space="preserve">عطل حساس السرعة أو الكلاستر</t>
  </si>
  <si>
    <t xml:space="preserve">تغيير الحساس أو إصلاح التابلوه</t>
  </si>
  <si>
    <t xml:space="preserve">F290</t>
  </si>
  <si>
    <t xml:space="preserve">عداد الكيلومترات</t>
  </si>
  <si>
    <t xml:space="preserve">عداد الكيلومترات واقف أو بيرجع</t>
  </si>
  <si>
    <t xml:space="preserve">عداد الكيلومترات، واقف، عداد بيرجع</t>
  </si>
  <si>
    <t xml:space="preserve">عطل الكلاستر</t>
  </si>
  <si>
    <t xml:space="preserve">إصلاح التابلوه</t>
  </si>
  <si>
    <t xml:space="preserve">F291</t>
  </si>
  <si>
    <t xml:space="preserve">إضاءة التابلوه</t>
  </si>
  <si>
    <t xml:space="preserve">إضاءة التابلوه ضعيفة أو مطفية</t>
  </si>
  <si>
    <t xml:space="preserve">إضاءة التابلوه، ضعيفة، الضبط، لمبات العدادات</t>
  </si>
  <si>
    <t xml:space="preserve">عطل لمبات أو دائرة الإضاءة</t>
  </si>
  <si>
    <t xml:space="preserve">تغيير اللمبات أو الدائرة</t>
  </si>
  <si>
    <t xml:space="preserve">F292</t>
  </si>
  <si>
    <t xml:space="preserve">الراديو والشاشة</t>
  </si>
  <si>
    <t xml:space="preserve">الراديو بيطفي لوحده</t>
  </si>
  <si>
    <t xml:space="preserve">الراديو بيطفي، شاشة الراديو، مش شغال</t>
  </si>
  <si>
    <t xml:space="preserve">مشكلة بالتغذية أو الوحدة</t>
  </si>
  <si>
    <t xml:space="preserve">فحص التغذية والفيوز وتغيير الوحدة</t>
  </si>
  <si>
    <t xml:space="preserve">F293</t>
  </si>
  <si>
    <t xml:space="preserve">السماعات</t>
  </si>
  <si>
    <t xml:space="preserve">صوت السماعات مشوش أو بيهش</t>
  </si>
  <si>
    <t xml:space="preserve">السماعات، صوت مشوش، هشهشة، السماعة</t>
  </si>
  <si>
    <t xml:space="preserve">تلف السماعة أو التوصيلات</t>
  </si>
  <si>
    <t xml:space="preserve">تغيير السماعة أو التوصيل</t>
  </si>
  <si>
    <t xml:space="preserve">F294</t>
  </si>
  <si>
    <t xml:space="preserve">جهاز إنذار مضاف</t>
  </si>
  <si>
    <t xml:space="preserve">أعطال كهربائية غريبة بعد تركيب إنذار أو جهاز خارجي</t>
  </si>
  <si>
    <t xml:space="preserve">إنذار غير أصلي، جهاز مضاف، أعطال بعد التركيب</t>
  </si>
  <si>
    <t xml:space="preserve">توصيلات غير أصلية تسحب الكهرباء</t>
  </si>
  <si>
    <t xml:space="preserve">إزالة الجهاز وإصلاح التوصيلات</t>
  </si>
  <si>
    <t xml:space="preserve">F295</t>
  </si>
  <si>
    <t xml:space="preserve">الزجاج الأمامي</t>
  </si>
  <si>
    <t xml:space="preserve">شرخ صغير في الزجاج الأمامي بيكبر</t>
  </si>
  <si>
    <t xml:space="preserve">زجاج الأمامي، شرخ، كسر بسيط، رماية حجر</t>
  </si>
  <si>
    <t xml:space="preserve">ضربة حجر أو تغير حراري</t>
  </si>
  <si>
    <t xml:space="preserve">ترميم الشرخ مبكرًا أو تغيير الزجاج</t>
  </si>
  <si>
    <t xml:space="preserve">F296</t>
  </si>
  <si>
    <t xml:space="preserve">ريشة المساحات</t>
  </si>
  <si>
    <t xml:space="preserve">الزجاج فيه خطوط بعد المساحات</t>
  </si>
  <si>
    <t xml:space="preserve">ريش المساحات، خطوط، المساحات بتسيب أثر</t>
  </si>
  <si>
    <t xml:space="preserve">تآكل ريشة المساحات</t>
  </si>
  <si>
    <t xml:space="preserve">تغيير ريش المساحات</t>
  </si>
  <si>
    <t xml:space="preserve">F297</t>
  </si>
  <si>
    <t xml:space="preserve">مساحة الزجاج الخلفي</t>
  </si>
  <si>
    <t xml:space="preserve">مساحة الزجاج الخلفي لا تعمل</t>
  </si>
  <si>
    <t xml:space="preserve">مساحة الخلفي، المساحة الخلفية، مش شغالة</t>
  </si>
  <si>
    <t xml:space="preserve">عطل موتور أو فيوز</t>
  </si>
  <si>
    <t xml:space="preserve">تغيير الموتور أو الفيوز</t>
  </si>
  <si>
    <t xml:space="preserve">F298</t>
  </si>
  <si>
    <t xml:space="preserve">مرايا الرؤية</t>
  </si>
  <si>
    <t xml:space="preserve">المراية الداخلية بتنزل ومش بتثبت</t>
  </si>
  <si>
    <t xml:space="preserve">المراية الداخلية، بتنزل، لاصق المراية</t>
  </si>
  <si>
    <t xml:space="preserve">انفصال لاصق المراية</t>
  </si>
  <si>
    <t xml:space="preserve">لصق المراية بلاصق مخصص</t>
  </si>
  <si>
    <t xml:space="preserve">F299</t>
  </si>
  <si>
    <t xml:space="preserve">تسريب الأرضية</t>
  </si>
  <si>
    <t xml:space="preserve">السجاد مبلول بعد المطر</t>
  </si>
  <si>
    <t xml:space="preserve">السجاد مبلول، مياه جوه، تسريب، أرضية مبللة</t>
  </si>
  <si>
    <t xml:space="preserve">تسريب من فتحات الباب أو الزجاج</t>
  </si>
  <si>
    <t xml:space="preserve">فحص المطاط والفتحات وسدها</t>
  </si>
  <si>
    <t xml:space="preserve">F300</t>
  </si>
  <si>
    <t xml:space="preserve">صوت الصدمات الداخلية</t>
  </si>
  <si>
    <t xml:space="preserve">صوت تكتكة من التابلوه على المطبات</t>
  </si>
  <si>
    <t xml:space="preserve">تكتكة التابلوه، صوت من التابلوه، بلاستيك</t>
  </si>
  <si>
    <t xml:space="preserve">ارتخاء قطع التابلوه</t>
  </si>
  <si>
    <t xml:space="preserve">تثبيت القطع وتغليفها</t>
  </si>
  <si>
    <t xml:space="preserve">YesNo</t>
  </si>
  <si>
    <t xml:space="preserve">أضف براند جديد في آخر القائمة (حتى صف 60) وهيظهر تلقائي في القوائم.</t>
  </si>
  <si>
    <t xml:space="preserve">تويوتا</t>
  </si>
  <si>
    <t xml:space="preserve">هيونداي</t>
  </si>
  <si>
    <t xml:space="preserve">كيا</t>
  </si>
  <si>
    <t xml:space="preserve">نيسان</t>
  </si>
  <si>
    <t xml:space="preserve">شيفروليه</t>
  </si>
  <si>
    <t xml:space="preserve">سوزوكي</t>
  </si>
  <si>
    <t xml:space="preserve">كوبيه</t>
  </si>
  <si>
    <t xml:space="preserve">ميتسوبيشي</t>
  </si>
  <si>
    <t xml:space="preserve">فان</t>
  </si>
  <si>
    <t xml:space="preserve">هوندا</t>
  </si>
  <si>
    <t xml:space="preserve">مازدا</t>
  </si>
  <si>
    <t xml:space="preserve">رينو</t>
  </si>
  <si>
    <t xml:space="preserve">بيجو</t>
  </si>
  <si>
    <t xml:space="preserve">فيات</t>
  </si>
  <si>
    <t xml:space="preserve">سكودا</t>
  </si>
  <si>
    <t xml:space="preserve">فولكس فاجن</t>
  </si>
  <si>
    <t xml:space="preserve">بي إم دبليو</t>
  </si>
  <si>
    <t xml:space="preserve">مرسيدس</t>
  </si>
  <si>
    <t xml:space="preserve">أودي</t>
  </si>
  <si>
    <t xml:space="preserve">فورد</t>
  </si>
  <si>
    <t xml:space="preserve">أوبل</t>
  </si>
  <si>
    <t xml:space="preserve">شيري</t>
  </si>
  <si>
    <t xml:space="preserve">إم جي</t>
  </si>
  <si>
    <t xml:space="preserve">بي واي دي</t>
  </si>
  <si>
    <t xml:space="preserve">جيلي</t>
  </si>
  <si>
    <t xml:space="preserve">هافال</t>
  </si>
  <si>
    <t xml:space="preserve">Jetour</t>
  </si>
  <si>
    <t xml:space="preserve">جيتور</t>
  </si>
  <si>
    <t xml:space="preserve">شانجان</t>
  </si>
  <si>
    <t xml:space="preserve">لادا</t>
  </si>
  <si>
    <t xml:space="preserve">ديبال</t>
  </si>
  <si>
    <t xml:space="preserve">دايو</t>
  </si>
  <si>
    <t xml:space="preserve">لكزس</t>
  </si>
  <si>
    <t xml:space="preserve">فولفو</t>
  </si>
  <si>
    <t xml:space="preserve">لاند روفر</t>
  </si>
  <si>
    <t xml:space="preserve">سوبارو</t>
  </si>
  <si>
    <t xml:space="preserve">سيات</t>
  </si>
  <si>
    <t xml:space="preserve">ستروين</t>
  </si>
  <si>
    <t xml:space="preserve">جيب</t>
  </si>
</sst>
</file>

<file path=xl/styles.xml><?xml version="1.0" encoding="utf-8"?>
<styleSheet xmlns="http://schemas.openxmlformats.org/spreadsheetml/2006/main">
  <numFmts count="3">
    <numFmt numFmtId="164" formatCode="General"/>
    <numFmt numFmtId="165" formatCode="#,##0"/>
    <numFmt numFmtId="166" formatCode="0"/>
  </numFmts>
  <fonts count="10">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10"/>
      <name val="Arial"/>
      <family val="0"/>
      <charset val="1"/>
    </font>
    <font>
      <sz val="11"/>
      <name val="SUV"/>
      <family val="0"/>
      <charset val="1"/>
    </font>
    <font>
      <b val="true"/>
      <sz val="10"/>
      <color rgb="FFFFFFFF"/>
      <name val="Arial"/>
      <family val="0"/>
      <charset val="1"/>
    </font>
    <font>
      <sz val="10"/>
      <name val="Arial"/>
      <family val="0"/>
      <charset val="1"/>
    </font>
    <font>
      <i val="true"/>
      <sz val="10"/>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D9D9D9"/>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right" vertical="top" textRotation="0" wrapText="true" indent="0" shrinkToFit="false"/>
      <protection locked="true" hidden="false"/>
    </xf>
    <xf numFmtId="164" fontId="5" fillId="0" borderId="0" xfId="0" applyFont="true" applyBorder="false" applyAlignment="true" applyProtection="false">
      <alignment horizontal="right" vertical="top" textRotation="0" wrapText="true" indent="0" shrinkToFit="false"/>
      <protection locked="true" hidden="false"/>
    </xf>
    <xf numFmtId="164" fontId="6" fillId="0" borderId="0" xfId="0" applyFont="true" applyBorder="false" applyAlignment="true" applyProtection="false">
      <alignment horizontal="right" vertical="top" textRotation="0" wrapText="true" indent="0" shrinkToFit="false"/>
      <protection locked="true" hidden="false"/>
    </xf>
    <xf numFmtId="164" fontId="7" fillId="2" borderId="0" xfId="0" applyFont="true" applyBorder="true" applyAlignment="true" applyProtection="false">
      <alignment horizontal="right"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D9D9D9"/>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bgColor rgb="FFC6EFCE"/>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6.15" hidden="false" customHeight="true" outlineLevel="0" collapsed="false">
      <c r="A1" s="1" t="s">
        <v>0</v>
      </c>
      <c r="B1" s="1"/>
    </row>
    <row r="2" customFormat="false" ht="15" hidden="false" customHeight="false" outlineLevel="0" collapsed="false">
      <c r="A2" s="2" t="s">
        <v>1</v>
      </c>
      <c r="B2" s="3" t="s">
        <v>2</v>
      </c>
    </row>
    <row r="3" customFormat="false" ht="15" hidden="false" customHeight="false" outlineLevel="0" collapsed="false">
      <c r="A3" s="3"/>
      <c r="B3" s="3"/>
    </row>
    <row r="4" customFormat="false" ht="15" hidden="false" customHeight="true" outlineLevel="0" collapsed="false">
      <c r="A4" s="4" t="s">
        <v>3</v>
      </c>
      <c r="B4" s="4"/>
    </row>
    <row r="5" customFormat="false" ht="23.85" hidden="false" customHeight="false" outlineLevel="0" collapsed="false">
      <c r="A5" s="2" t="s">
        <v>4</v>
      </c>
      <c r="B5" s="3" t="s">
        <v>5</v>
      </c>
    </row>
    <row r="6" customFormat="false" ht="15" hidden="false" customHeight="false" outlineLevel="0" collapsed="false">
      <c r="A6" s="2" t="s">
        <v>6</v>
      </c>
      <c r="B6" s="3" t="s">
        <v>7</v>
      </c>
    </row>
    <row r="7" customFormat="false" ht="26.1" hidden="false" customHeight="false" outlineLevel="0" collapsed="false">
      <c r="A7" s="2" t="s">
        <v>8</v>
      </c>
      <c r="B7" s="3" t="s">
        <v>9</v>
      </c>
    </row>
    <row r="8" customFormat="false" ht="15" hidden="false" customHeight="false" outlineLevel="0" collapsed="false">
      <c r="A8" s="2" t="s">
        <v>10</v>
      </c>
      <c r="B8" s="3" t="s">
        <v>11</v>
      </c>
    </row>
    <row r="9" customFormat="false" ht="15" hidden="false" customHeight="false" outlineLevel="0" collapsed="false">
      <c r="A9" s="2" t="s">
        <v>12</v>
      </c>
      <c r="B9" s="3" t="s">
        <v>13</v>
      </c>
    </row>
    <row r="10" customFormat="false" ht="15" hidden="false" customHeight="false" outlineLevel="0" collapsed="false">
      <c r="A10" s="2" t="s">
        <v>14</v>
      </c>
      <c r="B10" s="3" t="s">
        <v>15</v>
      </c>
    </row>
    <row r="11" customFormat="false" ht="15" hidden="false" customHeight="false" outlineLevel="0" collapsed="false">
      <c r="A11" s="2" t="s">
        <v>16</v>
      </c>
      <c r="B11" s="3" t="s">
        <v>17</v>
      </c>
    </row>
    <row r="12" customFormat="false" ht="28.35" hidden="false" customHeight="false" outlineLevel="0" collapsed="false">
      <c r="A12" s="2" t="s">
        <v>18</v>
      </c>
      <c r="B12" s="3" t="s">
        <v>19</v>
      </c>
    </row>
    <row r="13" customFormat="false" ht="28.35" hidden="false" customHeight="false" outlineLevel="0" collapsed="false">
      <c r="A13" s="2" t="s">
        <v>20</v>
      </c>
      <c r="B13" s="3" t="s">
        <v>21</v>
      </c>
    </row>
    <row r="14" customFormat="false" ht="26.1" hidden="false" customHeight="false" outlineLevel="0" collapsed="false">
      <c r="A14" s="2" t="s">
        <v>22</v>
      </c>
      <c r="B14" s="3" t="s">
        <v>23</v>
      </c>
    </row>
    <row r="15" customFormat="false" ht="15" hidden="false" customHeight="false" outlineLevel="0" collapsed="false">
      <c r="A15" s="3"/>
      <c r="B15" s="3"/>
    </row>
    <row r="16" customFormat="false" ht="15" hidden="false" customHeight="true" outlineLevel="0" collapsed="false">
      <c r="A16" s="4" t="s">
        <v>24</v>
      </c>
      <c r="B16" s="4"/>
    </row>
    <row r="17" customFormat="false" ht="15" hidden="false" customHeight="false" outlineLevel="0" collapsed="false">
      <c r="A17" s="2" t="s">
        <v>25</v>
      </c>
      <c r="B17" s="3" t="s">
        <v>26</v>
      </c>
    </row>
    <row r="18" customFormat="false" ht="15" hidden="false" customHeight="false" outlineLevel="0" collapsed="false">
      <c r="A18" s="2" t="s">
        <v>27</v>
      </c>
      <c r="B18" s="3" t="s">
        <v>28</v>
      </c>
    </row>
    <row r="19" customFormat="false" ht="15" hidden="false" customHeight="false" outlineLevel="0" collapsed="false">
      <c r="A19" s="2" t="s">
        <v>29</v>
      </c>
      <c r="B19" s="3" t="s">
        <v>30</v>
      </c>
    </row>
    <row r="20" customFormat="false" ht="15" hidden="false" customHeight="false" outlineLevel="0" collapsed="false">
      <c r="A20" s="2" t="s">
        <v>31</v>
      </c>
      <c r="B20" s="3" t="s">
        <v>32</v>
      </c>
    </row>
    <row r="21" customFormat="false" ht="15" hidden="false" customHeight="false" outlineLevel="0" collapsed="false">
      <c r="A21" s="2" t="s">
        <v>33</v>
      </c>
      <c r="B21" s="3" t="s">
        <v>34</v>
      </c>
    </row>
    <row r="22" customFormat="false" ht="15" hidden="false" customHeight="false" outlineLevel="0" collapsed="false">
      <c r="A22" s="2" t="s">
        <v>35</v>
      </c>
      <c r="B22" s="3" t="s">
        <v>36</v>
      </c>
    </row>
    <row r="23" customFormat="false" ht="15" hidden="false" customHeight="false" outlineLevel="0" collapsed="false">
      <c r="A23" s="3"/>
      <c r="B23" s="3"/>
    </row>
    <row r="24" customFormat="false" ht="15" hidden="false" customHeight="true" outlineLevel="0" collapsed="false">
      <c r="A24" s="4" t="s">
        <v>37</v>
      </c>
      <c r="B24" s="4"/>
    </row>
    <row r="25" customFormat="false" ht="15" hidden="false" customHeight="false" outlineLevel="0" collapsed="false">
      <c r="A25" s="2" t="s">
        <v>38</v>
      </c>
      <c r="B25" s="3" t="s">
        <v>39</v>
      </c>
    </row>
    <row r="26" customFormat="false" ht="15" hidden="false" customHeight="false" outlineLevel="0" collapsed="false">
      <c r="A26" s="2" t="s">
        <v>40</v>
      </c>
      <c r="B26" s="3" t="s">
        <v>41</v>
      </c>
    </row>
    <row r="27" customFormat="false" ht="15" hidden="false" customHeight="false" outlineLevel="0" collapsed="false">
      <c r="A27" s="2" t="s">
        <v>42</v>
      </c>
      <c r="B27" s="3" t="s">
        <v>43</v>
      </c>
    </row>
    <row r="28" customFormat="false" ht="15" hidden="false" customHeight="false" outlineLevel="0" collapsed="false">
      <c r="A28" s="2" t="s">
        <v>44</v>
      </c>
      <c r="B28" s="3" t="s">
        <v>45</v>
      </c>
    </row>
    <row r="29" customFormat="false" ht="15" hidden="false" customHeight="false" outlineLevel="0" collapsed="false">
      <c r="A29" s="2" t="s">
        <v>46</v>
      </c>
      <c r="B29" s="3" t="s">
        <v>47</v>
      </c>
    </row>
    <row r="30" customFormat="false" ht="15" hidden="false" customHeight="false" outlineLevel="0" collapsed="false">
      <c r="A30" s="2" t="s">
        <v>48</v>
      </c>
      <c r="B30" s="3" t="s">
        <v>49</v>
      </c>
    </row>
    <row r="31" customFormat="false" ht="15" hidden="false" customHeight="false" outlineLevel="0" collapsed="false">
      <c r="A31" s="2" t="s">
        <v>50</v>
      </c>
      <c r="B31" s="3" t="s">
        <v>51</v>
      </c>
    </row>
  </sheetData>
  <mergeCells count="4">
    <mergeCell ref="A1:B1"/>
    <mergeCell ref="A4:B4"/>
    <mergeCell ref="A16:B16"/>
    <mergeCell ref="A24:B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5" min="2" style="0" width="14"/>
    <col collapsed="false" customWidth="true" hidden="false" outlineLevel="0" max="6" min="6" style="0" width="8"/>
    <col collapsed="false" customWidth="true" hidden="false" outlineLevel="0" max="7" min="7" style="0" width="11"/>
    <col collapsed="false" customWidth="true" hidden="false" outlineLevel="0" max="9" min="8" style="0" width="13"/>
    <col collapsed="false" customWidth="true" hidden="false" outlineLevel="0" max="11" min="10" style="0" width="11"/>
    <col collapsed="false" customWidth="true" hidden="false" outlineLevel="0" max="12" min="12" style="0" width="14"/>
    <col collapsed="false" customWidth="true" hidden="false" outlineLevel="0" max="13" min="13" style="0" width="15"/>
    <col collapsed="false" customWidth="true" hidden="false" outlineLevel="0" max="14" min="14" style="0" width="14"/>
    <col collapsed="false" customWidth="true" hidden="false" outlineLevel="0" max="15" min="15" style="0" width="8"/>
    <col collapsed="false" customWidth="true" hidden="false" outlineLevel="0" max="17" min="16" style="0" width="9"/>
    <col collapsed="false" customWidth="true" hidden="false" outlineLevel="0" max="19" min="18" style="0" width="10"/>
    <col collapsed="false" customWidth="true" hidden="false" outlineLevel="0" max="20" min="20" style="0" width="11"/>
    <col collapsed="false" customWidth="true" hidden="false" outlineLevel="0" max="21" min="21" style="0" width="32"/>
    <col collapsed="false" customWidth="true" hidden="false" outlineLevel="0" max="22" min="22" style="0" width="26"/>
    <col collapsed="false" customWidth="true" hidden="false" outlineLevel="0" max="23" min="23" style="0" width="16"/>
    <col collapsed="false" customWidth="true" hidden="false" outlineLevel="0" max="24" min="24" style="0" width="50"/>
  </cols>
  <sheetData>
    <row r="1" customFormat="false" ht="31.5" hidden="false" customHeight="true" outlineLevel="0" collapsed="false">
      <c r="A1" s="5" t="s">
        <v>52</v>
      </c>
      <c r="B1" s="5" t="s">
        <v>53</v>
      </c>
      <c r="C1" s="5" t="s">
        <v>54</v>
      </c>
      <c r="D1" s="5" t="s">
        <v>55</v>
      </c>
      <c r="E1" s="5" t="s">
        <v>27</v>
      </c>
      <c r="F1" s="5" t="s">
        <v>56</v>
      </c>
      <c r="G1" s="5" t="s">
        <v>57</v>
      </c>
      <c r="H1" s="5" t="s">
        <v>29</v>
      </c>
      <c r="I1" s="5" t="s">
        <v>31</v>
      </c>
      <c r="J1" s="5" t="s">
        <v>58</v>
      </c>
      <c r="K1" s="5" t="s">
        <v>59</v>
      </c>
      <c r="L1" s="5" t="s">
        <v>60</v>
      </c>
      <c r="M1" s="5" t="s">
        <v>61</v>
      </c>
      <c r="N1" s="5" t="s">
        <v>62</v>
      </c>
      <c r="O1" s="5" t="s">
        <v>63</v>
      </c>
      <c r="P1" s="5" t="s">
        <v>64</v>
      </c>
      <c r="Q1" s="5" t="s">
        <v>65</v>
      </c>
      <c r="R1" s="5" t="s">
        <v>66</v>
      </c>
      <c r="S1" s="5" t="s">
        <v>67</v>
      </c>
      <c r="T1" s="5" t="s">
        <v>68</v>
      </c>
      <c r="U1" s="5" t="s">
        <v>35</v>
      </c>
      <c r="V1" s="5" t="s">
        <v>69</v>
      </c>
      <c r="W1" s="5" t="s">
        <v>70</v>
      </c>
      <c r="X1" s="5" t="s">
        <v>71</v>
      </c>
    </row>
    <row r="2" customFormat="false" ht="23.85" hidden="false" customHeight="false" outlineLevel="0" collapsed="false">
      <c r="A2" s="6" t="s">
        <v>72</v>
      </c>
      <c r="B2" s="7" t="s">
        <v>73</v>
      </c>
      <c r="C2" s="6" t="str">
        <f aca="false">IF(B2="","",IFERROR(INDEX(Lists!$K$2:$K$60,MATCH(B2,Lists!$J$2:$J$60,0)),""))</f>
        <v>تويوتا</v>
      </c>
      <c r="D2" s="7" t="s">
        <v>74</v>
      </c>
      <c r="E2" s="7" t="s">
        <v>75</v>
      </c>
      <c r="F2" s="7" t="n">
        <v>2026</v>
      </c>
      <c r="G2" s="7" t="s">
        <v>76</v>
      </c>
      <c r="H2" s="8" t="n">
        <v>1150000</v>
      </c>
      <c r="I2" s="7" t="s">
        <v>77</v>
      </c>
      <c r="J2" s="9" t="n">
        <v>1600</v>
      </c>
      <c r="K2" s="7" t="n">
        <v>120</v>
      </c>
      <c r="L2" s="7" t="s">
        <v>78</v>
      </c>
      <c r="M2" s="7" t="s">
        <v>79</v>
      </c>
      <c r="N2" s="7" t="n">
        <v>6.8</v>
      </c>
      <c r="O2" s="7" t="n">
        <v>5</v>
      </c>
      <c r="P2" s="7" t="s">
        <v>80</v>
      </c>
      <c r="Q2" s="7" t="s">
        <v>81</v>
      </c>
      <c r="R2" s="7" t="s">
        <v>80</v>
      </c>
      <c r="S2" s="7" t="s">
        <v>80</v>
      </c>
      <c r="T2" s="7" t="s">
        <v>81</v>
      </c>
      <c r="U2" s="7" t="s">
        <v>82</v>
      </c>
      <c r="V2" s="7" t="s">
        <v>83</v>
      </c>
      <c r="W2" s="6" t="str">
        <f aca="false">IF(COUNTA(B2:V2)=0,"",IF(OR(B2="",C2="",D2="",F2="",G2="",H2="",I2="",L2="",M2=""),"ناقص",IF(AND(ISNUMBER(F2),ISNUMBER(H2)),"OK","السنة/السعر لازم أرقام")))</f>
        <v>OK</v>
      </c>
      <c r="X2" s="6" t="str">
        <f aca="false">IF(B2="","",B2&amp;" "&amp;C2&amp;" "&amp;D2&amp;" "&amp;E2&amp;" "&amp;F2&amp;" "&amp;G2&amp;" "&amp;I2&amp;" "&amp;L2&amp;" "&amp;M2&amp;" سعر "&amp;H2&amp;" جنيه "&amp;U2)</f>
        <v>Toyota تويوتا Corolla Active كورولا أكتيف 2026 جديد سيدان أوتوماتيك بنزين سعر 1150000 جنيه الفئة الأولى، تكييف، ABS</v>
      </c>
    </row>
    <row r="3" customFormat="false" ht="23.85" hidden="false" customHeight="false" outlineLevel="0" collapsed="false">
      <c r="A3" s="6" t="s">
        <v>84</v>
      </c>
      <c r="B3" s="7" t="s">
        <v>73</v>
      </c>
      <c r="C3" s="6" t="str">
        <f aca="false">IF(B3="","",IFERROR(INDEX(Lists!$K$2:$K$60,MATCH(B3,Lists!$J$2:$J$60,0)),""))</f>
        <v>تويوتا</v>
      </c>
      <c r="D3" s="7" t="s">
        <v>85</v>
      </c>
      <c r="E3" s="7" t="s">
        <v>86</v>
      </c>
      <c r="F3" s="7" t="n">
        <v>2026</v>
      </c>
      <c r="G3" s="7" t="s">
        <v>76</v>
      </c>
      <c r="H3" s="8" t="n">
        <v>1500000</v>
      </c>
      <c r="I3" s="7" t="s">
        <v>77</v>
      </c>
      <c r="J3" s="9" t="n">
        <v>1600</v>
      </c>
      <c r="K3" s="7" t="n">
        <v>120</v>
      </c>
      <c r="L3" s="7" t="s">
        <v>78</v>
      </c>
      <c r="M3" s="7" t="s">
        <v>79</v>
      </c>
      <c r="N3" s="7" t="n">
        <v>6.8</v>
      </c>
      <c r="O3" s="7" t="n">
        <v>5</v>
      </c>
      <c r="P3" s="7" t="s">
        <v>80</v>
      </c>
      <c r="Q3" s="7" t="s">
        <v>81</v>
      </c>
      <c r="R3" s="7" t="s">
        <v>81</v>
      </c>
      <c r="S3" s="7" t="s">
        <v>80</v>
      </c>
      <c r="T3" s="7" t="s">
        <v>81</v>
      </c>
      <c r="U3" s="7" t="s">
        <v>87</v>
      </c>
      <c r="V3" s="7" t="s">
        <v>83</v>
      </c>
      <c r="W3" s="6" t="str">
        <f aca="false">IF(COUNTA(B3:V3)=0,"",IF(OR(B3="",C3="",D3="",F3="",G3="",H3="",I3="",L3="",M3=""),"ناقص",IF(AND(ISNUMBER(F3),ISNUMBER(H3)),"OK","السنة/السعر لازم أرقام")))</f>
        <v>OK</v>
      </c>
      <c r="X3" s="6" t="str">
        <f aca="false">IF(B3="","",B3&amp;" "&amp;C3&amp;" "&amp;D3&amp;" "&amp;E3&amp;" "&amp;F3&amp;" "&amp;G3&amp;" "&amp;I3&amp;" "&amp;L3&amp;" "&amp;M3&amp;" سعر "&amp;H3&amp;" جنيه "&amp;U3)</f>
        <v>Toyota تويوتا Corolla Elegance كورولا إليجانس 2026 جديد سيدان أوتوماتيك بنزين سعر 1500000 جنيه شاشة لمس 7 بوصة، تكييف، ABS</v>
      </c>
    </row>
    <row r="4" customFormat="false" ht="23.85" hidden="false" customHeight="false" outlineLevel="0" collapsed="false">
      <c r="A4" s="6" t="s">
        <v>88</v>
      </c>
      <c r="B4" s="7" t="s">
        <v>73</v>
      </c>
      <c r="C4" s="6" t="str">
        <f aca="false">IF(B4="","",IFERROR(INDEX(Lists!$K$2:$K$60,MATCH(B4,Lists!$J$2:$J$60,0)),""))</f>
        <v>تويوتا</v>
      </c>
      <c r="D4" s="7" t="s">
        <v>89</v>
      </c>
      <c r="E4" s="7" t="s">
        <v>90</v>
      </c>
      <c r="F4" s="7" t="n">
        <v>2026</v>
      </c>
      <c r="G4" s="7" t="s">
        <v>76</v>
      </c>
      <c r="H4" s="8" t="n">
        <v>2000000</v>
      </c>
      <c r="I4" s="7" t="s">
        <v>77</v>
      </c>
      <c r="J4" s="9" t="n">
        <v>1800</v>
      </c>
      <c r="K4" s="7" t="n">
        <v>122</v>
      </c>
      <c r="L4" s="7" t="s">
        <v>78</v>
      </c>
      <c r="M4" s="7" t="s">
        <v>91</v>
      </c>
      <c r="N4" s="7" t="n">
        <v>4.5</v>
      </c>
      <c r="O4" s="7" t="n">
        <v>5</v>
      </c>
      <c r="P4" s="7" t="s">
        <v>80</v>
      </c>
      <c r="Q4" s="7" t="s">
        <v>81</v>
      </c>
      <c r="R4" s="7" t="s">
        <v>81</v>
      </c>
      <c r="S4" s="7" t="s">
        <v>81</v>
      </c>
      <c r="T4" s="7" t="s">
        <v>81</v>
      </c>
      <c r="U4" s="7" t="s">
        <v>92</v>
      </c>
      <c r="V4" s="7" t="s">
        <v>83</v>
      </c>
      <c r="W4" s="6" t="str">
        <f aca="false">IF(COUNTA(B4:V4)=0,"",IF(OR(B4="",C4="",D4="",F4="",G4="",H4="",I4="",L4="",M4=""),"ناقص",IF(AND(ISNUMBER(F4),ISNUMBER(H4)),"OK","السنة/السعر لازم أرقام")))</f>
        <v>OK</v>
      </c>
      <c r="X4" s="6" t="str">
        <f aca="false">IF(B4="","",B4&amp;" "&amp;C4&amp;" "&amp;D4&amp;" "&amp;E4&amp;" "&amp;F4&amp;" "&amp;G4&amp;" "&amp;I4&amp;" "&amp;L4&amp;" "&amp;M4&amp;" سعر "&amp;H4&amp;" جنيه "&amp;U4)</f>
        <v>Toyota تويوتا Corolla Hybrid كورولا هايبرد 2026 جديد سيدان أوتوماتيك هايبرد سعر 2000000 جنيه محرك هايبرد، تكييف، ABS</v>
      </c>
    </row>
    <row r="5" customFormat="false" ht="35.05" hidden="false" customHeight="false" outlineLevel="0" collapsed="false">
      <c r="A5" s="6" t="s">
        <v>93</v>
      </c>
      <c r="B5" s="7" t="s">
        <v>94</v>
      </c>
      <c r="C5" s="6" t="str">
        <f aca="false">IF(B5="","",IFERROR(INDEX(Lists!$K$2:$K$60,MATCH(B5,Lists!$J$2:$J$60,0)),""))</f>
        <v>هيونداي</v>
      </c>
      <c r="D5" s="7" t="s">
        <v>95</v>
      </c>
      <c r="E5" s="7" t="s">
        <v>96</v>
      </c>
      <c r="F5" s="7" t="n">
        <v>2026</v>
      </c>
      <c r="G5" s="7" t="s">
        <v>76</v>
      </c>
      <c r="H5" s="8" t="n">
        <v>1035000</v>
      </c>
      <c r="I5" s="7" t="s">
        <v>77</v>
      </c>
      <c r="J5" s="9" t="n">
        <v>1600</v>
      </c>
      <c r="K5" s="7" t="n">
        <v>128</v>
      </c>
      <c r="L5" s="7" t="s">
        <v>78</v>
      </c>
      <c r="M5" s="7" t="s">
        <v>79</v>
      </c>
      <c r="N5" s="7" t="n">
        <v>7.2</v>
      </c>
      <c r="O5" s="7" t="n">
        <v>5</v>
      </c>
      <c r="P5" s="7" t="s">
        <v>80</v>
      </c>
      <c r="Q5" s="7" t="s">
        <v>81</v>
      </c>
      <c r="R5" s="7" t="s">
        <v>80</v>
      </c>
      <c r="S5" s="7" t="s">
        <v>80</v>
      </c>
      <c r="T5" s="7" t="s">
        <v>81</v>
      </c>
      <c r="U5" s="7" t="s">
        <v>97</v>
      </c>
      <c r="V5" s="7" t="s">
        <v>98</v>
      </c>
      <c r="W5" s="6" t="str">
        <f aca="false">IF(COUNTA(B5:V5)=0,"",IF(OR(B5="",C5="",D5="",F5="",G5="",H5="",I5="",L5="",M5=""),"ناقص",IF(AND(ISNUMBER(F5),ISNUMBER(H5)),"OK","السنة/السعر لازم أرقام")))</f>
        <v>OK</v>
      </c>
      <c r="X5" s="6" t="str">
        <f aca="false">IF(B5="","",B5&amp;" "&amp;C5&amp;" "&amp;D5&amp;" "&amp;E5&amp;" "&amp;F5&amp;" "&amp;G5&amp;" "&amp;I5&amp;" "&amp;L5&amp;" "&amp;M5&amp;" سعر "&amp;H5&amp;" جنيه "&amp;U5)</f>
        <v>Hyundai هيونداي Elantra AD Entry إلنترا AD الفئة الأولى 2026 جديد سيدان أوتوماتيك بنزين سعر 1035000 جنيه مجمعة محليًا، تكييف، ABS</v>
      </c>
    </row>
    <row r="6" customFormat="false" ht="35.05" hidden="false" customHeight="false" outlineLevel="0" collapsed="false">
      <c r="A6" s="6" t="s">
        <v>99</v>
      </c>
      <c r="B6" s="7" t="s">
        <v>94</v>
      </c>
      <c r="C6" s="6" t="str">
        <f aca="false">IF(B6="","",IFERROR(INDEX(Lists!$K$2:$K$60,MATCH(B6,Lists!$J$2:$J$60,0)),""))</f>
        <v>هيونداي</v>
      </c>
      <c r="D6" s="7" t="s">
        <v>100</v>
      </c>
      <c r="E6" s="7" t="s">
        <v>101</v>
      </c>
      <c r="F6" s="7" t="n">
        <v>2026</v>
      </c>
      <c r="G6" s="7" t="s">
        <v>76</v>
      </c>
      <c r="H6" s="8" t="n">
        <v>1250000</v>
      </c>
      <c r="I6" s="7" t="s">
        <v>77</v>
      </c>
      <c r="J6" s="9" t="n">
        <v>1600</v>
      </c>
      <c r="K6" s="7" t="n">
        <v>128</v>
      </c>
      <c r="L6" s="7" t="s">
        <v>78</v>
      </c>
      <c r="M6" s="7" t="s">
        <v>79</v>
      </c>
      <c r="N6" s="7" t="n">
        <v>7.2</v>
      </c>
      <c r="O6" s="7" t="n">
        <v>5</v>
      </c>
      <c r="P6" s="7" t="s">
        <v>81</v>
      </c>
      <c r="Q6" s="7" t="s">
        <v>81</v>
      </c>
      <c r="R6" s="7" t="s">
        <v>81</v>
      </c>
      <c r="S6" s="7" t="s">
        <v>81</v>
      </c>
      <c r="T6" s="7" t="s">
        <v>81</v>
      </c>
      <c r="U6" s="7" t="s">
        <v>97</v>
      </c>
      <c r="V6" s="7" t="s">
        <v>98</v>
      </c>
      <c r="W6" s="6" t="str">
        <f aca="false">IF(COUNTA(B6:V6)=0,"",IF(OR(B6="",C6="",D6="",F6="",G6="",H6="",I6="",L6="",M6=""),"ناقص",IF(AND(ISNUMBER(F6),ISNUMBER(H6)),"OK","السنة/السعر لازم أرقام")))</f>
        <v>OK</v>
      </c>
      <c r="X6" s="6" t="str">
        <f aca="false">IF(B6="","",B6&amp;" "&amp;C6&amp;" "&amp;D6&amp;" "&amp;E6&amp;" "&amp;F6&amp;" "&amp;G6&amp;" "&amp;I6&amp;" "&amp;L6&amp;" "&amp;M6&amp;" سعر "&amp;H6&amp;" جنيه "&amp;U6)</f>
        <v>Hyundai هيونداي Elantra AD Top إلنترا AD الفئة الأعلى 2026 جديد سيدان أوتوماتيك بنزين سعر 1250000 جنيه مجمعة محليًا، تكييف، ABS</v>
      </c>
    </row>
    <row r="7" customFormat="false" ht="35.05" hidden="false" customHeight="false" outlineLevel="0" collapsed="false">
      <c r="A7" s="6" t="s">
        <v>102</v>
      </c>
      <c r="B7" s="7" t="s">
        <v>94</v>
      </c>
      <c r="C7" s="6" t="str">
        <f aca="false">IF(B7="","",IFERROR(INDEX(Lists!$K$2:$K$60,MATCH(B7,Lists!$J$2:$J$60,0)),""))</f>
        <v>هيونداي</v>
      </c>
      <c r="D7" s="7" t="s">
        <v>103</v>
      </c>
      <c r="E7" s="7" t="s">
        <v>104</v>
      </c>
      <c r="F7" s="7" t="n">
        <v>2026</v>
      </c>
      <c r="G7" s="7" t="s">
        <v>76</v>
      </c>
      <c r="H7" s="8" t="n">
        <v>869000</v>
      </c>
      <c r="I7" s="7" t="s">
        <v>105</v>
      </c>
      <c r="J7" s="9" t="n">
        <v>1600</v>
      </c>
      <c r="K7" s="7" t="n">
        <v>121</v>
      </c>
      <c r="L7" s="7" t="s">
        <v>78</v>
      </c>
      <c r="M7" s="7" t="s">
        <v>79</v>
      </c>
      <c r="N7" s="7" t="n">
        <v>7</v>
      </c>
      <c r="O7" s="7" t="n">
        <v>5</v>
      </c>
      <c r="P7" s="7" t="s">
        <v>80</v>
      </c>
      <c r="Q7" s="7" t="s">
        <v>81</v>
      </c>
      <c r="R7" s="7" t="s">
        <v>80</v>
      </c>
      <c r="S7" s="7" t="s">
        <v>80</v>
      </c>
      <c r="T7" s="7" t="s">
        <v>81</v>
      </c>
      <c r="U7" s="7" t="s">
        <v>97</v>
      </c>
      <c r="V7" s="7" t="s">
        <v>98</v>
      </c>
      <c r="W7" s="6" t="str">
        <f aca="false">IF(COUNTA(B7:V7)=0,"",IF(OR(B7="",C7="",D7="",F7="",G7="",H7="",I7="",L7="",M7=""),"ناقص",IF(AND(ISNUMBER(F7),ISNUMBER(H7)),"OK","السنة/السعر لازم أرقام")))</f>
        <v>OK</v>
      </c>
      <c r="X7" s="6" t="str">
        <f aca="false">IF(B7="","",B7&amp;" "&amp;C7&amp;" "&amp;D7&amp;" "&amp;E7&amp;" "&amp;F7&amp;" "&amp;G7&amp;" "&amp;I7&amp;" "&amp;L7&amp;" "&amp;M7&amp;" سعر "&amp;H7&amp;" جنيه "&amp;U7)</f>
        <v>Hyundai هيونداي Venue Blaze فينيو بليز 2026 جديد كروس أوفر أوتوماتيك بنزين سعر 869000 جنيه مجمعة محليًا، تكييف، ABS</v>
      </c>
    </row>
    <row r="8" customFormat="false" ht="35.05" hidden="false" customHeight="false" outlineLevel="0" collapsed="false">
      <c r="A8" s="6" t="s">
        <v>106</v>
      </c>
      <c r="B8" s="7" t="s">
        <v>94</v>
      </c>
      <c r="C8" s="6" t="str">
        <f aca="false">IF(B8="","",IFERROR(INDEX(Lists!$K$2:$K$60,MATCH(B8,Lists!$J$2:$J$60,0)),""))</f>
        <v>هيونداي</v>
      </c>
      <c r="D8" s="7" t="s">
        <v>107</v>
      </c>
      <c r="E8" s="7" t="s">
        <v>108</v>
      </c>
      <c r="F8" s="7" t="n">
        <v>2026</v>
      </c>
      <c r="G8" s="7" t="s">
        <v>76</v>
      </c>
      <c r="H8" s="8" t="n">
        <v>945000</v>
      </c>
      <c r="I8" s="7" t="s">
        <v>105</v>
      </c>
      <c r="J8" s="9" t="n">
        <v>1600</v>
      </c>
      <c r="K8" s="7" t="n">
        <v>121</v>
      </c>
      <c r="L8" s="7" t="s">
        <v>78</v>
      </c>
      <c r="M8" s="7" t="s">
        <v>79</v>
      </c>
      <c r="N8" s="7" t="n">
        <v>7</v>
      </c>
      <c r="O8" s="7" t="n">
        <v>5</v>
      </c>
      <c r="P8" s="7" t="s">
        <v>81</v>
      </c>
      <c r="Q8" s="7" t="s">
        <v>81</v>
      </c>
      <c r="R8" s="7" t="s">
        <v>81</v>
      </c>
      <c r="S8" s="7" t="s">
        <v>80</v>
      </c>
      <c r="T8" s="7" t="s">
        <v>81</v>
      </c>
      <c r="U8" s="7" t="s">
        <v>97</v>
      </c>
      <c r="V8" s="7" t="s">
        <v>98</v>
      </c>
      <c r="W8" s="6" t="str">
        <f aca="false">IF(COUNTA(B8:V8)=0,"",IF(OR(B8="",C8="",D8="",F8="",G8="",H8="",I8="",L8="",M8=""),"ناقص",IF(AND(ISNUMBER(F8),ISNUMBER(H8)),"OK","السنة/السعر لازم أرقام")))</f>
        <v>OK</v>
      </c>
      <c r="X8" s="6" t="str">
        <f aca="false">IF(B8="","",B8&amp;" "&amp;C8&amp;" "&amp;D8&amp;" "&amp;E8&amp;" "&amp;F8&amp;" "&amp;G8&amp;" "&amp;I8&amp;" "&amp;L8&amp;" "&amp;M8&amp;" سعر "&amp;H8&amp;" جنيه "&amp;U8)</f>
        <v>Hyundai هيونداي Venue Redline فينيو ريدلاين 2026 جديد كروس أوفر أوتوماتيك بنزين سعر 945000 جنيه مجمعة محليًا، تكييف، ABS</v>
      </c>
    </row>
    <row r="9" customFormat="false" ht="35.05" hidden="false" customHeight="false" outlineLevel="0" collapsed="false">
      <c r="A9" s="6" t="s">
        <v>109</v>
      </c>
      <c r="B9" s="7" t="s">
        <v>110</v>
      </c>
      <c r="C9" s="6" t="str">
        <f aca="false">IF(B9="","",IFERROR(INDEX(Lists!$K$2:$K$60,MATCH(B9,Lists!$J$2:$J$60,0)),""))</f>
        <v>كيا</v>
      </c>
      <c r="D9" s="7" t="s">
        <v>111</v>
      </c>
      <c r="E9" s="7" t="s">
        <v>112</v>
      </c>
      <c r="F9" s="7" t="n">
        <v>2027</v>
      </c>
      <c r="G9" s="7" t="s">
        <v>76</v>
      </c>
      <c r="H9" s="8" t="n">
        <v>1369900</v>
      </c>
      <c r="I9" s="7" t="s">
        <v>113</v>
      </c>
      <c r="J9" s="9" t="n">
        <v>1600</v>
      </c>
      <c r="K9" s="7" t="n">
        <v>123</v>
      </c>
      <c r="L9" s="7" t="s">
        <v>78</v>
      </c>
      <c r="M9" s="7" t="s">
        <v>79</v>
      </c>
      <c r="N9" s="7" t="n">
        <v>7.5</v>
      </c>
      <c r="O9" s="7" t="n">
        <v>5</v>
      </c>
      <c r="P9" s="7" t="s">
        <v>80</v>
      </c>
      <c r="Q9" s="7" t="s">
        <v>81</v>
      </c>
      <c r="R9" s="7" t="s">
        <v>81</v>
      </c>
      <c r="S9" s="7" t="s">
        <v>80</v>
      </c>
      <c r="T9" s="7" t="s">
        <v>81</v>
      </c>
      <c r="U9" s="7" t="s">
        <v>114</v>
      </c>
      <c r="V9" s="7" t="s">
        <v>98</v>
      </c>
      <c r="W9" s="6" t="str">
        <f aca="false">IF(COUNTA(B9:V9)=0,"",IF(OR(B9="",C9="",D9="",F9="",G9="",H9="",I9="",L9="",M9=""),"ناقص",IF(AND(ISNUMBER(F9),ISNUMBER(H9)),"OK","السنة/السعر لازم أرقام")))</f>
        <v>OK</v>
      </c>
      <c r="X9" s="6" t="str">
        <f aca="false">IF(B9="","",B9&amp;" "&amp;C9&amp;" "&amp;D9&amp;" "&amp;E9&amp;" "&amp;F9&amp;" "&amp;G9&amp;" "&amp;I9&amp;" "&amp;L9&amp;" "&amp;M9&amp;" سعر "&amp;H9&amp;" جنيه "&amp;U9)</f>
        <v>Kia كيا Seltos Entry سيلتوس الفئة الأولى 2027 جديد SUV أوتوماتيك بنزين سعر 1369900 جنيه موديل 2027، تكييف، ABS</v>
      </c>
    </row>
    <row r="10" customFormat="false" ht="35.05" hidden="false" customHeight="false" outlineLevel="0" collapsed="false">
      <c r="A10" s="6" t="s">
        <v>115</v>
      </c>
      <c r="B10" s="7" t="s">
        <v>110</v>
      </c>
      <c r="C10" s="6" t="str">
        <f aca="false">IF(B10="","",IFERROR(INDEX(Lists!$K$2:$K$60,MATCH(B10,Lists!$J$2:$J$60,0)),""))</f>
        <v>كيا</v>
      </c>
      <c r="D10" s="7" t="s">
        <v>116</v>
      </c>
      <c r="E10" s="7" t="s">
        <v>117</v>
      </c>
      <c r="F10" s="7" t="n">
        <v>2027</v>
      </c>
      <c r="G10" s="7" t="s">
        <v>76</v>
      </c>
      <c r="H10" s="8" t="n">
        <v>1674900</v>
      </c>
      <c r="I10" s="7" t="s">
        <v>113</v>
      </c>
      <c r="J10" s="9" t="n">
        <v>1600</v>
      </c>
      <c r="K10" s="7" t="n">
        <v>177</v>
      </c>
      <c r="L10" s="7" t="s">
        <v>78</v>
      </c>
      <c r="M10" s="7" t="s">
        <v>79</v>
      </c>
      <c r="N10" s="7" t="n">
        <v>8</v>
      </c>
      <c r="O10" s="7" t="n">
        <v>5</v>
      </c>
      <c r="P10" s="7" t="s">
        <v>81</v>
      </c>
      <c r="Q10" s="7" t="s">
        <v>81</v>
      </c>
      <c r="R10" s="7" t="s">
        <v>81</v>
      </c>
      <c r="S10" s="7" t="s">
        <v>81</v>
      </c>
      <c r="T10" s="7" t="s">
        <v>81</v>
      </c>
      <c r="U10" s="7" t="s">
        <v>114</v>
      </c>
      <c r="V10" s="7" t="s">
        <v>98</v>
      </c>
      <c r="W10" s="6" t="str">
        <f aca="false">IF(COUNTA(B10:V10)=0,"",IF(OR(B10="",C10="",D10="",F10="",G10="",H10="",I10="",L10="",M10=""),"ناقص",IF(AND(ISNUMBER(F10),ISNUMBER(H10)),"OK","السنة/السعر لازم أرقام")))</f>
        <v>OK</v>
      </c>
      <c r="X10" s="6" t="str">
        <f aca="false">IF(B10="","",B10&amp;" "&amp;C10&amp;" "&amp;D10&amp;" "&amp;E10&amp;" "&amp;F10&amp;" "&amp;G10&amp;" "&amp;I10&amp;" "&amp;L10&amp;" "&amp;M10&amp;" سعر "&amp;H10&amp;" جنيه "&amp;U10)</f>
        <v>Kia كيا Seltos Top سيلتوس الفئة الأعلى 2027 جديد SUV أوتوماتيك بنزين سعر 1674900 جنيه موديل 2027، تكييف، ABS</v>
      </c>
    </row>
    <row r="11" customFormat="false" ht="35.05" hidden="false" customHeight="false" outlineLevel="0" collapsed="false">
      <c r="A11" s="6" t="s">
        <v>118</v>
      </c>
      <c r="B11" s="7" t="s">
        <v>119</v>
      </c>
      <c r="C11" s="6" t="str">
        <f aca="false">IF(B11="","",IFERROR(INDEX(Lists!$K$2:$K$60,MATCH(B11,Lists!$J$2:$J$60,0)),""))</f>
        <v>مازدا</v>
      </c>
      <c r="D11" s="7" t="s">
        <v>120</v>
      </c>
      <c r="E11" s="7" t="s">
        <v>121</v>
      </c>
      <c r="F11" s="7" t="n">
        <v>2027</v>
      </c>
      <c r="G11" s="7" t="s">
        <v>76</v>
      </c>
      <c r="H11" s="8" t="n">
        <v>1355000</v>
      </c>
      <c r="I11" s="7" t="s">
        <v>105</v>
      </c>
      <c r="J11" s="9" t="n">
        <v>2000</v>
      </c>
      <c r="K11" s="7" t="n">
        <v>148</v>
      </c>
      <c r="L11" s="7" t="s">
        <v>78</v>
      </c>
      <c r="M11" s="7" t="s">
        <v>79</v>
      </c>
      <c r="N11" s="7" t="n">
        <v>7.6</v>
      </c>
      <c r="O11" s="7" t="n">
        <v>5</v>
      </c>
      <c r="P11" s="7" t="s">
        <v>81</v>
      </c>
      <c r="Q11" s="7" t="s">
        <v>81</v>
      </c>
      <c r="R11" s="7" t="s">
        <v>81</v>
      </c>
      <c r="S11" s="7" t="s">
        <v>81</v>
      </c>
      <c r="T11" s="7" t="s">
        <v>81</v>
      </c>
      <c r="U11" s="7" t="s">
        <v>114</v>
      </c>
      <c r="V11" s="7" t="s">
        <v>98</v>
      </c>
      <c r="W11" s="6" t="str">
        <f aca="false">IF(COUNTA(B11:V11)=0,"",IF(OR(B11="",C11="",D11="",F11="",G11="",H11="",I11="",L11="",M11=""),"ناقص",IF(AND(ISNUMBER(F11),ISNUMBER(H11)),"OK","السنة/السعر لازم أرقام")))</f>
        <v>OK</v>
      </c>
      <c r="X11" s="6" t="str">
        <f aca="false">IF(B11="","",B11&amp;" "&amp;C11&amp;" "&amp;D11&amp;" "&amp;E11&amp;" "&amp;F11&amp;" "&amp;G11&amp;" "&amp;I11&amp;" "&amp;L11&amp;" "&amp;M11&amp;" سعر "&amp;H11&amp;" جنيه "&amp;U11)</f>
        <v>Mazda مازدا CX-3 سي إكس 3 2027 جديد كروس أوفر أوتوماتيك بنزين سعر 1355000 جنيه موديل 2027، تكييف، ABS</v>
      </c>
    </row>
    <row r="12" customFormat="false" ht="35.05" hidden="false" customHeight="false" outlineLevel="0" collapsed="false">
      <c r="A12" s="6" t="s">
        <v>122</v>
      </c>
      <c r="B12" s="7" t="s">
        <v>123</v>
      </c>
      <c r="C12" s="6" t="str">
        <f aca="false">IF(B12="","",IFERROR(INDEX(Lists!$K$2:$K$60,MATCH(B12,Lists!$J$2:$J$60,0)),""))</f>
        <v>نيسان</v>
      </c>
      <c r="D12" s="7" t="s">
        <v>124</v>
      </c>
      <c r="E12" s="7" t="s">
        <v>125</v>
      </c>
      <c r="F12" s="7" t="n">
        <v>2026</v>
      </c>
      <c r="G12" s="7" t="s">
        <v>76</v>
      </c>
      <c r="H12" s="8" t="n">
        <v>819999</v>
      </c>
      <c r="I12" s="7" t="s">
        <v>105</v>
      </c>
      <c r="J12" s="9" t="n">
        <v>1000</v>
      </c>
      <c r="K12" s="7" t="n">
        <v>100</v>
      </c>
      <c r="L12" s="7" t="s">
        <v>78</v>
      </c>
      <c r="M12" s="7" t="s">
        <v>79</v>
      </c>
      <c r="N12" s="7" t="n">
        <v>6</v>
      </c>
      <c r="O12" s="7" t="n">
        <v>5</v>
      </c>
      <c r="P12" s="7" t="s">
        <v>80</v>
      </c>
      <c r="Q12" s="7" t="s">
        <v>81</v>
      </c>
      <c r="R12" s="7" t="s">
        <v>80</v>
      </c>
      <c r="S12" s="7" t="s">
        <v>80</v>
      </c>
      <c r="T12" s="7" t="s">
        <v>81</v>
      </c>
      <c r="U12" s="7" t="s">
        <v>126</v>
      </c>
      <c r="V12" s="7" t="s">
        <v>98</v>
      </c>
      <c r="W12" s="6" t="str">
        <f aca="false">IF(COUNTA(B12:V12)=0,"",IF(OR(B12="",C12="",D12="",F12="",G12="",H12="",I12="",L12="",M12=""),"ناقص",IF(AND(ISNUMBER(F12),ISNUMBER(H12)),"OK","السنة/السعر لازم أرقام")))</f>
        <v>OK</v>
      </c>
      <c r="X12" s="6" t="str">
        <f aca="false">IF(B12="","",B12&amp;" "&amp;C12&amp;" "&amp;D12&amp;" "&amp;E12&amp;" "&amp;F12&amp;" "&amp;G12&amp;" "&amp;I12&amp;" "&amp;L12&amp;" "&amp;M12&amp;" سعر "&amp;H12&amp;" جنيه "&amp;U12)</f>
        <v>Nissan نيسان Magnite Visia ماجنيت فيزيا 2026 جديد كروس أوفر أوتوماتيك بنزين سعر 819999 جنيه الفئة الأقل، تكييف، ABS</v>
      </c>
    </row>
    <row r="13" customFormat="false" ht="35.05" hidden="false" customHeight="false" outlineLevel="0" collapsed="false">
      <c r="A13" s="6" t="s">
        <v>127</v>
      </c>
      <c r="B13" s="7" t="s">
        <v>123</v>
      </c>
      <c r="C13" s="6" t="str">
        <f aca="false">IF(B13="","",IFERROR(INDEX(Lists!$K$2:$K$60,MATCH(B13,Lists!$J$2:$J$60,0)),""))</f>
        <v>نيسان</v>
      </c>
      <c r="D13" s="7" t="s">
        <v>128</v>
      </c>
      <c r="E13" s="7" t="s">
        <v>129</v>
      </c>
      <c r="F13" s="7" t="n">
        <v>2026</v>
      </c>
      <c r="G13" s="7" t="s">
        <v>76</v>
      </c>
      <c r="H13" s="8" t="n">
        <v>899999</v>
      </c>
      <c r="I13" s="7" t="s">
        <v>105</v>
      </c>
      <c r="J13" s="9" t="n">
        <v>1000</v>
      </c>
      <c r="K13" s="7" t="n">
        <v>100</v>
      </c>
      <c r="L13" s="7" t="s">
        <v>78</v>
      </c>
      <c r="M13" s="7" t="s">
        <v>79</v>
      </c>
      <c r="N13" s="7" t="n">
        <v>6</v>
      </c>
      <c r="O13" s="7" t="n">
        <v>5</v>
      </c>
      <c r="P13" s="7" t="s">
        <v>80</v>
      </c>
      <c r="Q13" s="7" t="s">
        <v>81</v>
      </c>
      <c r="R13" s="7" t="s">
        <v>81</v>
      </c>
      <c r="S13" s="7" t="s">
        <v>80</v>
      </c>
      <c r="T13" s="7" t="s">
        <v>81</v>
      </c>
      <c r="U13" s="7" t="s">
        <v>130</v>
      </c>
      <c r="V13" s="7" t="s">
        <v>98</v>
      </c>
      <c r="W13" s="6" t="str">
        <f aca="false">IF(COUNTA(B13:V13)=0,"",IF(OR(B13="",C13="",D13="",F13="",G13="",H13="",I13="",L13="",M13=""),"ناقص",IF(AND(ISNUMBER(F13),ISNUMBER(H13)),"OK","السنة/السعر لازم أرقام")))</f>
        <v>OK</v>
      </c>
      <c r="X13" s="6" t="str">
        <f aca="false">IF(B13="","",B13&amp;" "&amp;C13&amp;" "&amp;D13&amp;" "&amp;E13&amp;" "&amp;F13&amp;" "&amp;G13&amp;" "&amp;I13&amp;" "&amp;L13&amp;" "&amp;M13&amp;" سعر "&amp;H13&amp;" جنيه "&amp;U13)</f>
        <v>Nissan نيسان Magnite Tekna+ ماجنيت تيكنا بلس 2026 جديد كروس أوفر أوتوماتيك بنزين سعر 899999 جنيه الفئة الأعلى، تكييف، ABS</v>
      </c>
    </row>
    <row r="14" customFormat="false" ht="35.05" hidden="false" customHeight="false" outlineLevel="0" collapsed="false">
      <c r="A14" s="6" t="s">
        <v>131</v>
      </c>
      <c r="B14" s="7" t="s">
        <v>132</v>
      </c>
      <c r="C14" s="6" t="str">
        <f aca="false">IF(B14="","",IFERROR(INDEX(Lists!$K$2:$K$60,MATCH(B14,Lists!$J$2:$J$60,0)),""))</f>
        <v>سكودا</v>
      </c>
      <c r="D14" s="7" t="s">
        <v>133</v>
      </c>
      <c r="E14" s="7" t="s">
        <v>134</v>
      </c>
      <c r="F14" s="7" t="n">
        <v>2027</v>
      </c>
      <c r="G14" s="7" t="s">
        <v>76</v>
      </c>
      <c r="H14" s="8" t="n">
        <v>1825000</v>
      </c>
      <c r="I14" s="7" t="s">
        <v>77</v>
      </c>
      <c r="J14" s="9" t="n">
        <v>1400</v>
      </c>
      <c r="K14" s="7" t="n">
        <v>150</v>
      </c>
      <c r="L14" s="7" t="s">
        <v>135</v>
      </c>
      <c r="M14" s="7" t="s">
        <v>79</v>
      </c>
      <c r="N14" s="7" t="n">
        <v>6</v>
      </c>
      <c r="O14" s="7" t="n">
        <v>5</v>
      </c>
      <c r="P14" s="7" t="s">
        <v>80</v>
      </c>
      <c r="Q14" s="7" t="s">
        <v>81</v>
      </c>
      <c r="R14" s="7" t="s">
        <v>81</v>
      </c>
      <c r="S14" s="7" t="s">
        <v>80</v>
      </c>
      <c r="T14" s="7" t="s">
        <v>81</v>
      </c>
      <c r="U14" s="7" t="s">
        <v>136</v>
      </c>
      <c r="V14" s="7" t="s">
        <v>98</v>
      </c>
      <c r="W14" s="6" t="str">
        <f aca="false">IF(COUNTA(B14:V14)=0,"",IF(OR(B14="",C14="",D14="",F14="",G14="",H14="",I14="",L14="",M14=""),"ناقص",IF(AND(ISNUMBER(F14),ISNUMBER(H14)),"OK","السنة/السعر لازم أرقام")))</f>
        <v>OK</v>
      </c>
      <c r="X14" s="6" t="str">
        <f aca="false">IF(B14="","",B14&amp;" "&amp;C14&amp;" "&amp;D14&amp;" "&amp;E14&amp;" "&amp;F14&amp;" "&amp;G14&amp;" "&amp;I14&amp;" "&amp;L14&amp;" "&amp;M14&amp;" سعر "&amp;H14&amp;" جنيه "&amp;U14)</f>
        <v>Skoda سكودا Octavia Loft أوكتافيا لوفت 2027 جديد سيدان DCT بنزين سعر 1825000 جنيه شاشة 10 بوصة وApple CarPlay، ثبات إلكتروني ESC، تكييف، ABS</v>
      </c>
    </row>
    <row r="15" customFormat="false" ht="35.05" hidden="false" customHeight="false" outlineLevel="0" collapsed="false">
      <c r="A15" s="6" t="s">
        <v>137</v>
      </c>
      <c r="B15" s="7" t="s">
        <v>132</v>
      </c>
      <c r="C15" s="6" t="str">
        <f aca="false">IF(B15="","",IFERROR(INDEX(Lists!$K$2:$K$60,MATCH(B15,Lists!$J$2:$J$60,0)),""))</f>
        <v>سكودا</v>
      </c>
      <c r="D15" s="7" t="s">
        <v>138</v>
      </c>
      <c r="E15" s="7" t="s">
        <v>139</v>
      </c>
      <c r="F15" s="7" t="n">
        <v>2027</v>
      </c>
      <c r="G15" s="7" t="s">
        <v>76</v>
      </c>
      <c r="H15" s="8" t="n">
        <v>2250000</v>
      </c>
      <c r="I15" s="7" t="s">
        <v>77</v>
      </c>
      <c r="J15" s="9" t="n">
        <v>1400</v>
      </c>
      <c r="K15" s="7" t="n">
        <v>150</v>
      </c>
      <c r="L15" s="7" t="s">
        <v>135</v>
      </c>
      <c r="M15" s="7" t="s">
        <v>79</v>
      </c>
      <c r="N15" s="7" t="n">
        <v>6</v>
      </c>
      <c r="O15" s="7" t="n">
        <v>5</v>
      </c>
      <c r="P15" s="7" t="s">
        <v>81</v>
      </c>
      <c r="Q15" s="7" t="s">
        <v>81</v>
      </c>
      <c r="R15" s="7" t="s">
        <v>81</v>
      </c>
      <c r="S15" s="7" t="s">
        <v>81</v>
      </c>
      <c r="T15" s="7" t="s">
        <v>81</v>
      </c>
      <c r="U15" s="7" t="s">
        <v>136</v>
      </c>
      <c r="V15" s="7" t="s">
        <v>98</v>
      </c>
      <c r="W15" s="6" t="str">
        <f aca="false">IF(COUNTA(B15:V15)=0,"",IF(OR(B15="",C15="",D15="",F15="",G15="",H15="",I15="",L15="",M15=""),"ناقص",IF(AND(ISNUMBER(F15),ISNUMBER(H15)),"OK","السنة/السعر لازم أرقام")))</f>
        <v>OK</v>
      </c>
      <c r="X15" s="6" t="str">
        <f aca="false">IF(B15="","",B15&amp;" "&amp;C15&amp;" "&amp;D15&amp;" "&amp;E15&amp;" "&amp;F15&amp;" "&amp;G15&amp;" "&amp;I15&amp;" "&amp;L15&amp;" "&amp;M15&amp;" سعر "&amp;H15&amp;" جنيه "&amp;U15)</f>
        <v>Skoda سكودا Octavia Suite أوكتافيا سويت 2027 جديد سيدان DCT بنزين سعر 2250000 جنيه شاشة 10 بوصة وApple CarPlay، ثبات إلكتروني ESC، تكييف، ABS</v>
      </c>
    </row>
    <row r="16" customFormat="false" ht="35.05" hidden="false" customHeight="false" outlineLevel="0" collapsed="false">
      <c r="A16" s="6" t="s">
        <v>140</v>
      </c>
      <c r="B16" s="7" t="s">
        <v>141</v>
      </c>
      <c r="C16" s="6" t="str">
        <f aca="false">IF(B16="","",IFERROR(INDEX(Lists!$K$2:$K$60,MATCH(B16,Lists!$J$2:$J$60,0)),""))</f>
        <v>إم جي</v>
      </c>
      <c r="D16" s="7" t="s">
        <v>142</v>
      </c>
      <c r="E16" s="7" t="s">
        <v>143</v>
      </c>
      <c r="F16" s="7" t="n">
        <v>2027</v>
      </c>
      <c r="G16" s="7" t="s">
        <v>76</v>
      </c>
      <c r="H16" s="8" t="n">
        <v>890000</v>
      </c>
      <c r="I16" s="7" t="s">
        <v>77</v>
      </c>
      <c r="J16" s="9" t="n">
        <v>1500</v>
      </c>
      <c r="K16" s="7" t="n">
        <v>114</v>
      </c>
      <c r="L16" s="7" t="s">
        <v>78</v>
      </c>
      <c r="M16" s="7" t="s">
        <v>79</v>
      </c>
      <c r="N16" s="7" t="n">
        <v>7</v>
      </c>
      <c r="O16" s="7" t="n">
        <v>5</v>
      </c>
      <c r="P16" s="7" t="s">
        <v>80</v>
      </c>
      <c r="Q16" s="7" t="s">
        <v>81</v>
      </c>
      <c r="R16" s="7" t="s">
        <v>80</v>
      </c>
      <c r="S16" s="7" t="s">
        <v>80</v>
      </c>
      <c r="T16" s="7" t="s">
        <v>81</v>
      </c>
      <c r="U16" s="7" t="s">
        <v>144</v>
      </c>
      <c r="V16" s="7" t="s">
        <v>98</v>
      </c>
      <c r="W16" s="6" t="str">
        <f aca="false">IF(COUNTA(B16:V16)=0,"",IF(OR(B16="",C16="",D16="",F16="",G16="",H16="",I16="",L16="",M16=""),"ناقص",IF(AND(ISNUMBER(F16),ISNUMBER(H16)),"OK","السنة/السعر لازم أرقام")))</f>
        <v>OK</v>
      </c>
      <c r="X16" s="6" t="str">
        <f aca="false">IF(B16="","",B16&amp;" "&amp;C16&amp;" "&amp;D16&amp;" "&amp;E16&amp;" "&amp;F16&amp;" "&amp;G16&amp;" "&amp;I16&amp;" "&amp;L16&amp;" "&amp;M16&amp;" سعر "&amp;H16&amp;" جنيه "&amp;U16)</f>
        <v>MG إم جي MG5 Entry إم جي 5 الفئة الأولى 2027 جديد سيدان أوتوماتيك بنزين سعر 890000 جنيه تكييف، زجاج كهربائي، قفل مركزي، ABS، مرايات كهربائية، حساسات ركن خلفية</v>
      </c>
    </row>
    <row r="17" customFormat="false" ht="35.05" hidden="false" customHeight="false" outlineLevel="0" collapsed="false">
      <c r="A17" s="6" t="s">
        <v>145</v>
      </c>
      <c r="B17" s="7" t="s">
        <v>141</v>
      </c>
      <c r="C17" s="6" t="str">
        <f aca="false">IF(B17="","",IFERROR(INDEX(Lists!$K$2:$K$60,MATCH(B17,Lists!$J$2:$J$60,0)),""))</f>
        <v>إم جي</v>
      </c>
      <c r="D17" s="7" t="s">
        <v>146</v>
      </c>
      <c r="E17" s="7" t="s">
        <v>147</v>
      </c>
      <c r="F17" s="7" t="n">
        <v>2027</v>
      </c>
      <c r="G17" s="7" t="s">
        <v>76</v>
      </c>
      <c r="H17" s="8" t="n">
        <v>990000</v>
      </c>
      <c r="I17" s="7" t="s">
        <v>77</v>
      </c>
      <c r="J17" s="9" t="n">
        <v>1500</v>
      </c>
      <c r="K17" s="7" t="n">
        <v>114</v>
      </c>
      <c r="L17" s="7" t="s">
        <v>78</v>
      </c>
      <c r="M17" s="7" t="s">
        <v>79</v>
      </c>
      <c r="N17" s="7" t="n">
        <v>7</v>
      </c>
      <c r="O17" s="7" t="n">
        <v>5</v>
      </c>
      <c r="P17" s="7" t="s">
        <v>81</v>
      </c>
      <c r="Q17" s="7" t="s">
        <v>81</v>
      </c>
      <c r="R17" s="7" t="s">
        <v>81</v>
      </c>
      <c r="S17" s="7" t="s">
        <v>80</v>
      </c>
      <c r="T17" s="7" t="s">
        <v>81</v>
      </c>
      <c r="U17" s="7" t="s">
        <v>148</v>
      </c>
      <c r="V17" s="7" t="s">
        <v>98</v>
      </c>
      <c r="W17" s="6" t="str">
        <f aca="false">IF(COUNTA(B17:V17)=0,"",IF(OR(B17="",C17="",D17="",F17="",G17="",H17="",I17="",L17="",M17=""),"ناقص",IF(AND(ISNUMBER(F17),ISNUMBER(H17)),"OK","السنة/السعر لازم أرقام")))</f>
        <v>OK</v>
      </c>
      <c r="X17" s="6" t="str">
        <f aca="false">IF(B17="","",B17&amp;" "&amp;C17&amp;" "&amp;D17&amp;" "&amp;E17&amp;" "&amp;F17&amp;" "&amp;G17&amp;" "&amp;I17&amp;" "&amp;L17&amp;" "&amp;M17&amp;" سعر "&amp;H17&amp;" جنيه "&amp;U17)</f>
        <v>MG إم جي MG5 Top إم جي 5 الفئة الأعلى 2027 جديد سيدان أوتوماتيك بنزين سعر 990000 جنيه تكييف، زجاج كهربائي، قفل مركزي، ABS، مرايات كهربائية، حساسات ركن خلفية، جنوط ألومنيوم، تحكم في الثبات ESP</v>
      </c>
    </row>
    <row r="18" customFormat="false" ht="35.05" hidden="false" customHeight="false" outlineLevel="0" collapsed="false">
      <c r="A18" s="6" t="s">
        <v>149</v>
      </c>
      <c r="B18" s="7" t="s">
        <v>141</v>
      </c>
      <c r="C18" s="6" t="str">
        <f aca="false">IF(B18="","",IFERROR(INDEX(Lists!$K$2:$K$60,MATCH(B18,Lists!$J$2:$J$60,0)),""))</f>
        <v>إم جي</v>
      </c>
      <c r="D18" s="7" t="s">
        <v>150</v>
      </c>
      <c r="E18" s="7" t="s">
        <v>151</v>
      </c>
      <c r="F18" s="7" t="n">
        <v>2026</v>
      </c>
      <c r="G18" s="7" t="s">
        <v>76</v>
      </c>
      <c r="H18" s="8" t="n">
        <v>1165000</v>
      </c>
      <c r="I18" s="7" t="s">
        <v>105</v>
      </c>
      <c r="J18" s="9" t="n">
        <v>1500</v>
      </c>
      <c r="K18" s="7" t="n">
        <v>114</v>
      </c>
      <c r="L18" s="7" t="s">
        <v>78</v>
      </c>
      <c r="M18" s="7" t="s">
        <v>79</v>
      </c>
      <c r="N18" s="7" t="n">
        <v>7.2</v>
      </c>
      <c r="O18" s="7" t="n">
        <v>5</v>
      </c>
      <c r="P18" s="7" t="s">
        <v>81</v>
      </c>
      <c r="Q18" s="7" t="s">
        <v>81</v>
      </c>
      <c r="R18" s="7" t="s">
        <v>81</v>
      </c>
      <c r="S18" s="7" t="s">
        <v>80</v>
      </c>
      <c r="T18" s="7" t="s">
        <v>81</v>
      </c>
      <c r="U18" s="7" t="s">
        <v>148</v>
      </c>
      <c r="V18" s="7" t="s">
        <v>98</v>
      </c>
      <c r="W18" s="6" t="str">
        <f aca="false">IF(COUNTA(B18:V18)=0,"",IF(OR(B18="",C18="",D18="",F18="",G18="",H18="",I18="",L18="",M18=""),"ناقص",IF(AND(ISNUMBER(F18),ISNUMBER(H18)),"OK","السنة/السعر لازم أرقام")))</f>
        <v>OK</v>
      </c>
      <c r="X18" s="6" t="str">
        <f aca="false">IF(B18="","",B18&amp;" "&amp;C18&amp;" "&amp;D18&amp;" "&amp;E18&amp;" "&amp;F18&amp;" "&amp;G18&amp;" "&amp;I18&amp;" "&amp;L18&amp;" "&amp;M18&amp;" سعر "&amp;H18&amp;" جنيه "&amp;U18)</f>
        <v>MG إم جي ZS Plus زد إس بلس 2026 جديد كروس أوفر أوتوماتيك بنزين سعر 1165000 جنيه تكييف، زجاج كهربائي، قفل مركزي، ABS، مرايات كهربائية، حساسات ركن خلفية، جنوط ألومنيوم، تحكم في الثبات ESP</v>
      </c>
    </row>
    <row r="19" customFormat="false" ht="35.05" hidden="false" customHeight="false" outlineLevel="0" collapsed="false">
      <c r="A19" s="6" t="s">
        <v>152</v>
      </c>
      <c r="B19" s="7" t="s">
        <v>141</v>
      </c>
      <c r="C19" s="6" t="str">
        <f aca="false">IF(B19="","",IFERROR(INDEX(Lists!$K$2:$K$60,MATCH(B19,Lists!$J$2:$J$60,0)),""))</f>
        <v>إم جي</v>
      </c>
      <c r="D19" s="7" t="s">
        <v>153</v>
      </c>
      <c r="E19" s="7" t="s">
        <v>154</v>
      </c>
      <c r="F19" s="7" t="n">
        <v>2026</v>
      </c>
      <c r="G19" s="7" t="s">
        <v>76</v>
      </c>
      <c r="H19" s="8" t="n">
        <v>1175000</v>
      </c>
      <c r="I19" s="7" t="s">
        <v>77</v>
      </c>
      <c r="J19" s="9" t="n">
        <v>1500</v>
      </c>
      <c r="K19" s="7" t="n">
        <v>169</v>
      </c>
      <c r="L19" s="7" t="s">
        <v>78</v>
      </c>
      <c r="M19" s="7" t="s">
        <v>79</v>
      </c>
      <c r="N19" s="7" t="n">
        <v>7.4</v>
      </c>
      <c r="O19" s="7" t="n">
        <v>5</v>
      </c>
      <c r="P19" s="7" t="s">
        <v>81</v>
      </c>
      <c r="Q19" s="7" t="s">
        <v>81</v>
      </c>
      <c r="R19" s="7" t="s">
        <v>81</v>
      </c>
      <c r="S19" s="7" t="s">
        <v>81</v>
      </c>
      <c r="T19" s="7" t="s">
        <v>81</v>
      </c>
      <c r="U19" s="7" t="s">
        <v>155</v>
      </c>
      <c r="V19" s="7" t="s">
        <v>98</v>
      </c>
      <c r="W19" s="6" t="str">
        <f aca="false">IF(COUNTA(B19:V19)=0,"",IF(OR(B19="",C19="",D19="",F19="",G19="",H19="",I19="",L19="",M19=""),"ناقص",IF(AND(ISNUMBER(F19),ISNUMBER(H19)),"OK","السنة/السعر لازم أرقام")))</f>
        <v>OK</v>
      </c>
      <c r="X19" s="6" t="str">
        <f aca="false">IF(B19="","",B19&amp;" "&amp;C19&amp;" "&amp;D19&amp;" "&amp;E19&amp;" "&amp;F19&amp;" "&amp;G19&amp;" "&amp;I19&amp;" "&amp;L19&amp;" "&amp;M19&amp;" سعر "&amp;H19&amp;" جنيه "&amp;U19)</f>
        <v>MG إم جي GT جي تي 2026 جديد سيدان أوتوماتيك بنزين سعر 1175000 جنيه الفئة الأعلى المتاحة، تكييف، ABS</v>
      </c>
    </row>
    <row r="20" customFormat="false" ht="35.05" hidden="false" customHeight="false" outlineLevel="0" collapsed="false">
      <c r="A20" s="6" t="s">
        <v>156</v>
      </c>
      <c r="B20" s="7" t="s">
        <v>141</v>
      </c>
      <c r="C20" s="6" t="str">
        <f aca="false">IF(B20="","",IFERROR(INDEX(Lists!$K$2:$K$60,MATCH(B20,Lists!$J$2:$J$60,0)),""))</f>
        <v>إم جي</v>
      </c>
      <c r="D20" s="7" t="s">
        <v>157</v>
      </c>
      <c r="E20" s="7" t="s">
        <v>158</v>
      </c>
      <c r="F20" s="7" t="n">
        <v>2026</v>
      </c>
      <c r="G20" s="7" t="s">
        <v>76</v>
      </c>
      <c r="H20" s="8" t="n">
        <v>1325000</v>
      </c>
      <c r="I20" s="7" t="s">
        <v>159</v>
      </c>
      <c r="J20" s="9" t="n">
        <v>1500</v>
      </c>
      <c r="K20" s="7" t="n">
        <v>169</v>
      </c>
      <c r="L20" s="7" t="s">
        <v>78</v>
      </c>
      <c r="M20" s="7" t="s">
        <v>79</v>
      </c>
      <c r="N20" s="7" t="n">
        <v>9</v>
      </c>
      <c r="O20" s="7" t="n">
        <v>7</v>
      </c>
      <c r="P20" s="7" t="s">
        <v>80</v>
      </c>
      <c r="Q20" s="7" t="s">
        <v>81</v>
      </c>
      <c r="R20" s="7" t="s">
        <v>81</v>
      </c>
      <c r="S20" s="7" t="s">
        <v>80</v>
      </c>
      <c r="T20" s="7" t="s">
        <v>81</v>
      </c>
      <c r="U20" s="7" t="s">
        <v>144</v>
      </c>
      <c r="V20" s="7" t="s">
        <v>98</v>
      </c>
      <c r="W20" s="6" t="str">
        <f aca="false">IF(COUNTA(B20:V20)=0,"",IF(OR(B20="",C20="",D20="",F20="",G20="",H20="",I20="",L20="",M20=""),"ناقص",IF(AND(ISNUMBER(F20),ISNUMBER(H20)),"OK","السنة/السعر لازم أرقام")))</f>
        <v>OK</v>
      </c>
      <c r="X20" s="6" t="str">
        <f aca="false">IF(B20="","",B20&amp;" "&amp;C20&amp;" "&amp;D20&amp;" "&amp;E20&amp;" "&amp;F20&amp;" "&amp;G20&amp;" "&amp;I20&amp;" "&amp;L20&amp;" "&amp;M20&amp;" سعر "&amp;H20&amp;" جنيه "&amp;U20)</f>
        <v>MG إم جي G50 Plus G50 بلس 2026 جديد ميني فان أوتوماتيك بنزين سعر 1325000 جنيه تكييف، زجاج كهربائي، قفل مركزي، ABS، مرايات كهربائية، حساسات ركن خلفية</v>
      </c>
    </row>
    <row r="21" customFormat="false" ht="35.05" hidden="false" customHeight="false" outlineLevel="0" collapsed="false">
      <c r="A21" s="6" t="s">
        <v>160</v>
      </c>
      <c r="B21" s="7" t="s">
        <v>141</v>
      </c>
      <c r="C21" s="6" t="str">
        <f aca="false">IF(B21="","",IFERROR(INDEX(Lists!$K$2:$K$60,MATCH(B21,Lists!$J$2:$J$60,0)),""))</f>
        <v>إم جي</v>
      </c>
      <c r="D21" s="7" t="s">
        <v>161</v>
      </c>
      <c r="E21" s="7" t="s">
        <v>162</v>
      </c>
      <c r="F21" s="7" t="n">
        <v>2026</v>
      </c>
      <c r="G21" s="7" t="s">
        <v>76</v>
      </c>
      <c r="H21" s="8" t="n">
        <v>1425000</v>
      </c>
      <c r="I21" s="7" t="s">
        <v>105</v>
      </c>
      <c r="J21" s="9" t="n">
        <v>1500</v>
      </c>
      <c r="K21" s="7" t="n">
        <v>168</v>
      </c>
      <c r="L21" s="7" t="s">
        <v>78</v>
      </c>
      <c r="M21" s="7" t="s">
        <v>79</v>
      </c>
      <c r="N21" s="7" t="n">
        <v>7.5</v>
      </c>
      <c r="O21" s="7" t="n">
        <v>5</v>
      </c>
      <c r="P21" s="7" t="s">
        <v>81</v>
      </c>
      <c r="Q21" s="7" t="s">
        <v>81</v>
      </c>
      <c r="R21" s="7" t="s">
        <v>81</v>
      </c>
      <c r="S21" s="7" t="s">
        <v>81</v>
      </c>
      <c r="T21" s="7" t="s">
        <v>81</v>
      </c>
      <c r="U21" s="7" t="s">
        <v>148</v>
      </c>
      <c r="V21" s="7" t="s">
        <v>98</v>
      </c>
      <c r="W21" s="6" t="str">
        <f aca="false">IF(COUNTA(B21:V21)=0,"",IF(OR(B21="",C21="",D21="",F21="",G21="",H21="",I21="",L21="",M21=""),"ناقص",IF(AND(ISNUMBER(F21),ISNUMBER(H21)),"OK","السنة/السعر لازم أرقام")))</f>
        <v>OK</v>
      </c>
      <c r="X21" s="6" t="str">
        <f aca="false">IF(B21="","",B21&amp;" "&amp;C21&amp;" "&amp;D21&amp;" "&amp;E21&amp;" "&amp;F21&amp;" "&amp;G21&amp;" "&amp;I21&amp;" "&amp;L21&amp;" "&amp;M21&amp;" سعر "&amp;H21&amp;" جنيه "&amp;U21)</f>
        <v>MG إم جي One ون 2026 جديد كروس أوفر أوتوماتيك بنزين سعر 1425000 جنيه تكييف، زجاج كهربائي، قفل مركزي، ABS، مرايات كهربائية، حساسات ركن خلفية، جنوط ألومنيوم، تحكم في الثبات ESP</v>
      </c>
    </row>
    <row r="22" customFormat="false" ht="35.05" hidden="false" customHeight="false" outlineLevel="0" collapsed="false">
      <c r="A22" s="6" t="s">
        <v>163</v>
      </c>
      <c r="B22" s="7" t="s">
        <v>141</v>
      </c>
      <c r="C22" s="6" t="str">
        <f aca="false">IF(B22="","",IFERROR(INDEX(Lists!$K$2:$K$60,MATCH(B22,Lists!$J$2:$J$60,0)),""))</f>
        <v>إم جي</v>
      </c>
      <c r="D22" s="7" t="s">
        <v>164</v>
      </c>
      <c r="E22" s="7" t="s">
        <v>165</v>
      </c>
      <c r="F22" s="7" t="n">
        <v>2027</v>
      </c>
      <c r="G22" s="7" t="s">
        <v>76</v>
      </c>
      <c r="H22" s="8" t="n">
        <v>1475000</v>
      </c>
      <c r="I22" s="7" t="s">
        <v>113</v>
      </c>
      <c r="J22" s="9" t="n">
        <v>1500</v>
      </c>
      <c r="K22" s="7" t="n">
        <v>169</v>
      </c>
      <c r="L22" s="7" t="s">
        <v>78</v>
      </c>
      <c r="M22" s="7" t="s">
        <v>79</v>
      </c>
      <c r="N22" s="7" t="n">
        <v>8</v>
      </c>
      <c r="O22" s="7" t="n">
        <v>5</v>
      </c>
      <c r="P22" s="7" t="s">
        <v>81</v>
      </c>
      <c r="Q22" s="7" t="s">
        <v>81</v>
      </c>
      <c r="R22" s="7" t="s">
        <v>81</v>
      </c>
      <c r="S22" s="7" t="s">
        <v>81</v>
      </c>
      <c r="T22" s="7" t="s">
        <v>81</v>
      </c>
      <c r="U22" s="7" t="s">
        <v>114</v>
      </c>
      <c r="V22" s="7" t="s">
        <v>98</v>
      </c>
      <c r="W22" s="6" t="str">
        <f aca="false">IF(COUNTA(B22:V22)=0,"",IF(OR(B22="",C22="",D22="",F22="",G22="",H22="",I22="",L22="",M22=""),"ناقص",IF(AND(ISNUMBER(F22),ISNUMBER(H22)),"OK","السنة/السعر لازم أرقام")))</f>
        <v>OK</v>
      </c>
      <c r="X22" s="6" t="str">
        <f aca="false">IF(B22="","",B22&amp;" "&amp;C22&amp;" "&amp;D22&amp;" "&amp;E22&amp;" "&amp;F22&amp;" "&amp;G22&amp;" "&amp;I22&amp;" "&amp;L22&amp;" "&amp;M22&amp;" سعر "&amp;H22&amp;" جنيه "&amp;U22)</f>
        <v>MG إم جي RX5+ RX5 بلس 2027 جديد SUV أوتوماتيك بنزين سعر 1475000 جنيه موديل 2027، تكييف، ABS</v>
      </c>
    </row>
    <row r="23" customFormat="false" ht="35.05" hidden="false" customHeight="false" outlineLevel="0" collapsed="false">
      <c r="A23" s="6" t="s">
        <v>166</v>
      </c>
      <c r="B23" s="7" t="s">
        <v>141</v>
      </c>
      <c r="C23" s="6" t="str">
        <f aca="false">IF(B23="","",IFERROR(INDEX(Lists!$K$2:$K$60,MATCH(B23,Lists!$J$2:$J$60,0)),""))</f>
        <v>إم جي</v>
      </c>
      <c r="D23" s="7" t="s">
        <v>167</v>
      </c>
      <c r="E23" s="7" t="s">
        <v>168</v>
      </c>
      <c r="F23" s="7" t="n">
        <v>2027</v>
      </c>
      <c r="G23" s="7" t="s">
        <v>76</v>
      </c>
      <c r="H23" s="8" t="n">
        <v>1575000</v>
      </c>
      <c r="I23" s="7" t="s">
        <v>113</v>
      </c>
      <c r="J23" s="9" t="n">
        <v>1500</v>
      </c>
      <c r="K23" s="7" t="n">
        <v>162</v>
      </c>
      <c r="L23" s="7" t="s">
        <v>135</v>
      </c>
      <c r="M23" s="7" t="s">
        <v>79</v>
      </c>
      <c r="N23" s="7" t="n">
        <v>8</v>
      </c>
      <c r="O23" s="7" t="n">
        <v>5</v>
      </c>
      <c r="P23" s="7" t="s">
        <v>81</v>
      </c>
      <c r="Q23" s="7" t="s">
        <v>81</v>
      </c>
      <c r="R23" s="7" t="s">
        <v>81</v>
      </c>
      <c r="S23" s="7" t="s">
        <v>81</v>
      </c>
      <c r="T23" s="7" t="s">
        <v>81</v>
      </c>
      <c r="U23" s="7" t="s">
        <v>114</v>
      </c>
      <c r="V23" s="7" t="s">
        <v>98</v>
      </c>
      <c r="W23" s="6" t="str">
        <f aca="false">IF(COUNTA(B23:V23)=0,"",IF(OR(B23="",C23="",D23="",F23="",G23="",H23="",I23="",L23="",M23=""),"ناقص",IF(AND(ISNUMBER(F23),ISNUMBER(H23)),"OK","السنة/السعر لازم أرقام")))</f>
        <v>OK</v>
      </c>
      <c r="X23" s="6" t="str">
        <f aca="false">IF(B23="","",B23&amp;" "&amp;C23&amp;" "&amp;D23&amp;" "&amp;E23&amp;" "&amp;F23&amp;" "&amp;G23&amp;" "&amp;I23&amp;" "&amp;L23&amp;" "&amp;M23&amp;" سعر "&amp;H23&amp;" جنيه "&amp;U23)</f>
        <v>MG إم جي HS AS33 HS بنزين 2027 جديد SUV DCT بنزين سعر 1575000 جنيه موديل 2027، تكييف، ABS</v>
      </c>
    </row>
    <row r="24" customFormat="false" ht="35.05" hidden="false" customHeight="false" outlineLevel="0" collapsed="false">
      <c r="A24" s="6" t="s">
        <v>169</v>
      </c>
      <c r="B24" s="7" t="s">
        <v>141</v>
      </c>
      <c r="C24" s="6" t="str">
        <f aca="false">IF(B24="","",IFERROR(INDEX(Lists!$K$2:$K$60,MATCH(B24,Lists!$J$2:$J$60,0)),""))</f>
        <v>إم جي</v>
      </c>
      <c r="D24" s="7" t="s">
        <v>170</v>
      </c>
      <c r="E24" s="7" t="s">
        <v>171</v>
      </c>
      <c r="F24" s="7" t="n">
        <v>2027</v>
      </c>
      <c r="G24" s="7" t="s">
        <v>76</v>
      </c>
      <c r="H24" s="8" t="n">
        <v>1650000</v>
      </c>
      <c r="I24" s="7" t="s">
        <v>113</v>
      </c>
      <c r="J24" s="9" t="n">
        <v>1500</v>
      </c>
      <c r="K24" s="7" t="n">
        <v>208</v>
      </c>
      <c r="L24" s="7" t="s">
        <v>78</v>
      </c>
      <c r="M24" s="7" t="s">
        <v>91</v>
      </c>
      <c r="N24" s="7" t="n">
        <v>5.5</v>
      </c>
      <c r="O24" s="7" t="n">
        <v>5</v>
      </c>
      <c r="P24" s="7" t="s">
        <v>81</v>
      </c>
      <c r="Q24" s="7" t="s">
        <v>81</v>
      </c>
      <c r="R24" s="7" t="s">
        <v>81</v>
      </c>
      <c r="S24" s="7" t="s">
        <v>81</v>
      </c>
      <c r="T24" s="7" t="s">
        <v>81</v>
      </c>
      <c r="U24" s="7" t="s">
        <v>172</v>
      </c>
      <c r="V24" s="7" t="s">
        <v>98</v>
      </c>
      <c r="W24" s="6" t="str">
        <f aca="false">IF(COUNTA(B24:V24)=0,"",IF(OR(B24="",C24="",D24="",F24="",G24="",H24="",I24="",L24="",M24=""),"ناقص",IF(AND(ISNUMBER(F24),ISNUMBER(H24)),"OK","السنة/السعر لازم أرقام")))</f>
        <v>OK</v>
      </c>
      <c r="X24" s="6" t="str">
        <f aca="false">IF(B24="","",B24&amp;" "&amp;C24&amp;" "&amp;D24&amp;" "&amp;E24&amp;" "&amp;F24&amp;" "&amp;G24&amp;" "&amp;I24&amp;" "&amp;L24&amp;" "&amp;M24&amp;" سعر "&amp;H24&amp;" جنيه "&amp;U24)</f>
        <v>MG إم جي HS HEV HS هايبرد 2027 جديد SUV أوتوماتيك هايبرد سعر 1650000 جنيه محرك هايبرد، موديل 2027، تكييف، ABS</v>
      </c>
    </row>
    <row r="25" customFormat="false" ht="35.05" hidden="false" customHeight="false" outlineLevel="0" collapsed="false">
      <c r="A25" s="6" t="s">
        <v>173</v>
      </c>
      <c r="B25" s="7" t="s">
        <v>141</v>
      </c>
      <c r="C25" s="6" t="str">
        <f aca="false">IF(B25="","",IFERROR(INDEX(Lists!$K$2:$K$60,MATCH(B25,Lists!$J$2:$J$60,0)),""))</f>
        <v>إم جي</v>
      </c>
      <c r="D25" s="7" t="s">
        <v>174</v>
      </c>
      <c r="E25" s="7" t="s">
        <v>175</v>
      </c>
      <c r="F25" s="7" t="n">
        <v>2026</v>
      </c>
      <c r="G25" s="7" t="s">
        <v>76</v>
      </c>
      <c r="H25" s="8" t="n">
        <v>1750000</v>
      </c>
      <c r="I25" s="7" t="s">
        <v>77</v>
      </c>
      <c r="J25" s="9" t="n">
        <v>2000</v>
      </c>
      <c r="K25" s="7" t="n">
        <v>224</v>
      </c>
      <c r="L25" s="7" t="s">
        <v>78</v>
      </c>
      <c r="M25" s="7" t="s">
        <v>79</v>
      </c>
      <c r="N25" s="7" t="n">
        <v>9</v>
      </c>
      <c r="O25" s="7" t="n">
        <v>5</v>
      </c>
      <c r="P25" s="7" t="s">
        <v>81</v>
      </c>
      <c r="Q25" s="7" t="s">
        <v>81</v>
      </c>
      <c r="R25" s="7" t="s">
        <v>81</v>
      </c>
      <c r="S25" s="7" t="s">
        <v>81</v>
      </c>
      <c r="T25" s="7" t="s">
        <v>81</v>
      </c>
      <c r="U25" s="7" t="s">
        <v>148</v>
      </c>
      <c r="V25" s="7" t="s">
        <v>98</v>
      </c>
      <c r="W25" s="6" t="str">
        <f aca="false">IF(COUNTA(B25:V25)=0,"",IF(OR(B25="",C25="",D25="",F25="",G25="",H25="",I25="",L25="",M25=""),"ناقص",IF(AND(ISNUMBER(F25),ISNUMBER(H25)),"OK","السنة/السعر لازم أرقام")))</f>
        <v>OK</v>
      </c>
      <c r="X25" s="6" t="str">
        <f aca="false">IF(B25="","",B25&amp;" "&amp;C25&amp;" "&amp;D25&amp;" "&amp;E25&amp;" "&amp;F25&amp;" "&amp;G25&amp;" "&amp;I25&amp;" "&amp;L25&amp;" "&amp;M25&amp;" سعر "&amp;H25&amp;" جنيه "&amp;U25)</f>
        <v>MG إم جي 7 Trophy إم جي 7 تروفي 2026 جديد سيدان أوتوماتيك بنزين سعر 1750000 جنيه تكييف، زجاج كهربائي، قفل مركزي، ABS، مرايات كهربائية، حساسات ركن خلفية، جنوط ألومنيوم، تحكم في الثبات ESP</v>
      </c>
    </row>
    <row r="26" customFormat="false" ht="35.05" hidden="false" customHeight="false" outlineLevel="0" collapsed="false">
      <c r="A26" s="6" t="s">
        <v>176</v>
      </c>
      <c r="B26" s="7" t="s">
        <v>141</v>
      </c>
      <c r="C26" s="6" t="str">
        <f aca="false">IF(B26="","",IFERROR(INDEX(Lists!$K$2:$K$60,MATCH(B26,Lists!$J$2:$J$60,0)),""))</f>
        <v>إم جي</v>
      </c>
      <c r="D26" s="7" t="s">
        <v>177</v>
      </c>
      <c r="E26" s="7" t="s">
        <v>177</v>
      </c>
      <c r="F26" s="7" t="n">
        <v>2026</v>
      </c>
      <c r="G26" s="7" t="s">
        <v>76</v>
      </c>
      <c r="H26" s="8" t="n">
        <v>1960000</v>
      </c>
      <c r="I26" s="7" t="s">
        <v>113</v>
      </c>
      <c r="J26" s="9" t="n">
        <v>2000</v>
      </c>
      <c r="K26" s="7" t="n">
        <v>224</v>
      </c>
      <c r="L26" s="7" t="s">
        <v>78</v>
      </c>
      <c r="M26" s="7" t="s">
        <v>79</v>
      </c>
      <c r="N26" s="7" t="n">
        <v>10</v>
      </c>
      <c r="O26" s="7" t="n">
        <v>7</v>
      </c>
      <c r="P26" s="7" t="s">
        <v>81</v>
      </c>
      <c r="Q26" s="7" t="s">
        <v>81</v>
      </c>
      <c r="R26" s="7" t="s">
        <v>81</v>
      </c>
      <c r="S26" s="7" t="s">
        <v>81</v>
      </c>
      <c r="T26" s="7" t="s">
        <v>81</v>
      </c>
      <c r="U26" s="7" t="s">
        <v>148</v>
      </c>
      <c r="V26" s="7" t="s">
        <v>98</v>
      </c>
      <c r="W26" s="6" t="str">
        <f aca="false">IF(COUNTA(B26:V26)=0,"",IF(OR(B26="",C26="",D26="",F26="",G26="",H26="",I26="",L26="",M26=""),"ناقص",IF(AND(ISNUMBER(F26),ISNUMBER(H26)),"OK","السنة/السعر لازم أرقام")))</f>
        <v>OK</v>
      </c>
      <c r="X26" s="6" t="str">
        <f aca="false">IF(B26="","",B26&amp;" "&amp;C26&amp;" "&amp;D26&amp;" "&amp;E26&amp;" "&amp;F26&amp;" "&amp;G26&amp;" "&amp;I26&amp;" "&amp;L26&amp;" "&amp;M26&amp;" سعر "&amp;H26&amp;" جنيه "&amp;U26)</f>
        <v>MG إم جي RX9 RX9 2026 جديد SUV أوتوماتيك بنزين سعر 1960000 جنيه تكييف، زجاج كهربائي، قفل مركزي، ABS، مرايات كهربائية، حساسات ركن خلفية، جنوط ألومنيوم، تحكم في الثبات ESP</v>
      </c>
    </row>
    <row r="27" customFormat="false" ht="35.05" hidden="false" customHeight="false" outlineLevel="0" collapsed="false">
      <c r="A27" s="6" t="s">
        <v>178</v>
      </c>
      <c r="B27" s="7" t="s">
        <v>179</v>
      </c>
      <c r="C27" s="6" t="str">
        <f aca="false">IF(B27="","",IFERROR(INDEX(Lists!$K$2:$K$60,MATCH(B27,Lists!$J$2:$J$60,0)),""))</f>
        <v>ديبال</v>
      </c>
      <c r="D27" s="7" t="s">
        <v>180</v>
      </c>
      <c r="E27" s="7" t="s">
        <v>181</v>
      </c>
      <c r="F27" s="7" t="n">
        <v>2026</v>
      </c>
      <c r="G27" s="7" t="s">
        <v>76</v>
      </c>
      <c r="H27" s="8" t="n">
        <v>1625000</v>
      </c>
      <c r="I27" s="7" t="s">
        <v>105</v>
      </c>
      <c r="J27" s="9" t="n">
        <v>1500</v>
      </c>
      <c r="K27" s="7" t="n">
        <v>218</v>
      </c>
      <c r="L27" s="7" t="s">
        <v>78</v>
      </c>
      <c r="M27" s="7" t="s">
        <v>91</v>
      </c>
      <c r="N27" s="7" t="n">
        <v>2</v>
      </c>
      <c r="O27" s="7" t="n">
        <v>5</v>
      </c>
      <c r="P27" s="7" t="s">
        <v>81</v>
      </c>
      <c r="Q27" s="7" t="s">
        <v>81</v>
      </c>
      <c r="R27" s="7" t="s">
        <v>81</v>
      </c>
      <c r="S27" s="7" t="s">
        <v>81</v>
      </c>
      <c r="T27" s="7" t="s">
        <v>81</v>
      </c>
      <c r="U27" s="7" t="s">
        <v>182</v>
      </c>
      <c r="V27" s="7" t="s">
        <v>98</v>
      </c>
      <c r="W27" s="6" t="str">
        <f aca="false">IF(COUNTA(B27:V27)=0,"",IF(OR(B27="",C27="",D27="",F27="",G27="",H27="",I27="",L27="",M27=""),"ناقص",IF(AND(ISNUMBER(F27),ISNUMBER(H27)),"OK","السنة/السعر لازم أرقام")))</f>
        <v>OK</v>
      </c>
      <c r="X27" s="6" t="str">
        <f aca="false">IF(B27="","",B27&amp;" "&amp;C27&amp;" "&amp;D27&amp;" "&amp;E27&amp;" "&amp;F27&amp;" "&amp;G27&amp;" "&amp;I27&amp;" "&amp;L27&amp;" "&amp;M27&amp;" سعر "&amp;H27&amp;" جنيه "&amp;U27)</f>
        <v>Deepal ديبال S05 REEV S05 مدى ممتد 2026 جديد كروس أوفر أوتوماتيك هايبرد سعر 1625000 جنيه نسخة المدى الممتد REEV، تكييف، ABS</v>
      </c>
    </row>
    <row r="28" customFormat="false" ht="35.05" hidden="false" customHeight="false" outlineLevel="0" collapsed="false">
      <c r="A28" s="6" t="s">
        <v>183</v>
      </c>
      <c r="B28" s="7" t="s">
        <v>179</v>
      </c>
      <c r="C28" s="6" t="str">
        <f aca="false">IF(B28="","",IFERROR(INDEX(Lists!$K$2:$K$60,MATCH(B28,Lists!$J$2:$J$60,0)),""))</f>
        <v>ديبال</v>
      </c>
      <c r="D28" s="7" t="s">
        <v>184</v>
      </c>
      <c r="E28" s="7" t="s">
        <v>185</v>
      </c>
      <c r="F28" s="7" t="n">
        <v>2026</v>
      </c>
      <c r="G28" s="7" t="s">
        <v>76</v>
      </c>
      <c r="H28" s="8" t="n">
        <v>1775000</v>
      </c>
      <c r="I28" s="7" t="s">
        <v>105</v>
      </c>
      <c r="J28" s="9" t="n">
        <v>0</v>
      </c>
      <c r="K28" s="7" t="n">
        <v>218</v>
      </c>
      <c r="L28" s="7" t="s">
        <v>78</v>
      </c>
      <c r="M28" s="7" t="s">
        <v>186</v>
      </c>
      <c r="N28" s="7" t="n">
        <v>0</v>
      </c>
      <c r="O28" s="7" t="n">
        <v>5</v>
      </c>
      <c r="P28" s="7" t="s">
        <v>81</v>
      </c>
      <c r="Q28" s="7" t="s">
        <v>81</v>
      </c>
      <c r="R28" s="7" t="s">
        <v>81</v>
      </c>
      <c r="S28" s="7" t="s">
        <v>81</v>
      </c>
      <c r="T28" s="7" t="s">
        <v>81</v>
      </c>
      <c r="U28" s="7" t="s">
        <v>187</v>
      </c>
      <c r="V28" s="7" t="s">
        <v>98</v>
      </c>
      <c r="W28" s="6" t="str">
        <f aca="false">IF(COUNTA(B28:V28)=0,"",IF(OR(B28="",C28="",D28="",F28="",G28="",H28="",I28="",L28="",M28=""),"ناقص",IF(AND(ISNUMBER(F28),ISNUMBER(H28)),"OK","السنة/السعر لازم أرقام")))</f>
        <v>OK</v>
      </c>
      <c r="X28" s="6" t="str">
        <f aca="false">IF(B28="","",B28&amp;" "&amp;C28&amp;" "&amp;D28&amp;" "&amp;E28&amp;" "&amp;F28&amp;" "&amp;G28&amp;" "&amp;I28&amp;" "&amp;L28&amp;" "&amp;M28&amp;" سعر "&amp;H28&amp;" جنيه "&amp;U28)</f>
        <v>Deepal ديبال S05 BEV S05 كهرباء 2026 جديد كروس أوفر أوتوماتيك كهرباء سعر 1775000 جنيه كهربائية بالكامل BEV، تكييف، ABS</v>
      </c>
    </row>
    <row r="29" customFormat="false" ht="46.25" hidden="false" customHeight="false" outlineLevel="0" collapsed="false">
      <c r="A29" s="6" t="s">
        <v>188</v>
      </c>
      <c r="B29" s="7" t="s">
        <v>189</v>
      </c>
      <c r="C29" s="6" t="str">
        <f aca="false">IF(B29="","",IFERROR(INDEX(Lists!$K$2:$K$60,MATCH(B29,Lists!$J$2:$J$60,0)),""))</f>
        <v>شانجان</v>
      </c>
      <c r="D29" s="7" t="s">
        <v>190</v>
      </c>
      <c r="E29" s="7" t="s">
        <v>191</v>
      </c>
      <c r="F29" s="7" t="n">
        <v>2026</v>
      </c>
      <c r="G29" s="7" t="s">
        <v>76</v>
      </c>
      <c r="H29" s="8" t="n">
        <v>1500000</v>
      </c>
      <c r="I29" s="7" t="s">
        <v>113</v>
      </c>
      <c r="J29" s="9" t="n">
        <v>1500</v>
      </c>
      <c r="K29" s="7" t="n">
        <v>178</v>
      </c>
      <c r="L29" s="7" t="s">
        <v>78</v>
      </c>
      <c r="M29" s="7" t="s">
        <v>79</v>
      </c>
      <c r="N29" s="7" t="n">
        <v>8</v>
      </c>
      <c r="O29" s="7" t="n">
        <v>5</v>
      </c>
      <c r="P29" s="7" t="s">
        <v>81</v>
      </c>
      <c r="Q29" s="7" t="s">
        <v>81</v>
      </c>
      <c r="R29" s="7" t="s">
        <v>81</v>
      </c>
      <c r="S29" s="7" t="s">
        <v>80</v>
      </c>
      <c r="T29" s="7" t="s">
        <v>81</v>
      </c>
      <c r="U29" s="7" t="s">
        <v>148</v>
      </c>
      <c r="V29" s="7" t="s">
        <v>98</v>
      </c>
      <c r="W29" s="6" t="str">
        <f aca="false">IF(COUNTA(B29:V29)=0,"",IF(OR(B29="",C29="",D29="",F29="",G29="",H29="",I29="",L29="",M29=""),"ناقص",IF(AND(ISNUMBER(F29),ISNUMBER(H29)),"OK","السنة/السعر لازم أرقام")))</f>
        <v>OK</v>
      </c>
      <c r="X29" s="6" t="str">
        <f aca="false">IF(B29="","",B29&amp;" "&amp;C29&amp;" "&amp;D29&amp;" "&amp;E29&amp;" "&amp;F29&amp;" "&amp;G29&amp;" "&amp;I29&amp;" "&amp;L29&amp;" "&amp;M29&amp;" سعر "&amp;H29&amp;" جنيه "&amp;U29)</f>
        <v>Changan شانجان CS75 Plus Premium CS75 بلس بريميوم 2026 جديد SUV أوتوماتيك بنزين سعر 1500000 جنيه تكييف، زجاج كهربائي، قفل مركزي، ABS، مرايات كهربائية، حساسات ركن خلفية، جنوط ألومنيوم، تحكم في الثبات ESP</v>
      </c>
    </row>
    <row r="30" customFormat="false" ht="46.25" hidden="false" customHeight="false" outlineLevel="0" collapsed="false">
      <c r="A30" s="6" t="s">
        <v>192</v>
      </c>
      <c r="B30" s="7" t="s">
        <v>189</v>
      </c>
      <c r="C30" s="6" t="str">
        <f aca="false">IF(B30="","",IFERROR(INDEX(Lists!$K$2:$K$60,MATCH(B30,Lists!$J$2:$J$60,0)),""))</f>
        <v>شانجان</v>
      </c>
      <c r="D30" s="7" t="s">
        <v>193</v>
      </c>
      <c r="E30" s="7" t="s">
        <v>194</v>
      </c>
      <c r="F30" s="7" t="n">
        <v>2026</v>
      </c>
      <c r="G30" s="7" t="s">
        <v>76</v>
      </c>
      <c r="H30" s="8" t="n">
        <v>1650000</v>
      </c>
      <c r="I30" s="7" t="s">
        <v>113</v>
      </c>
      <c r="J30" s="9" t="n">
        <v>1500</v>
      </c>
      <c r="K30" s="7" t="n">
        <v>178</v>
      </c>
      <c r="L30" s="7" t="s">
        <v>78</v>
      </c>
      <c r="M30" s="7" t="s">
        <v>79</v>
      </c>
      <c r="N30" s="7" t="n">
        <v>8</v>
      </c>
      <c r="O30" s="7" t="n">
        <v>5</v>
      </c>
      <c r="P30" s="7" t="s">
        <v>81</v>
      </c>
      <c r="Q30" s="7" t="s">
        <v>81</v>
      </c>
      <c r="R30" s="7" t="s">
        <v>81</v>
      </c>
      <c r="S30" s="7" t="s">
        <v>81</v>
      </c>
      <c r="T30" s="7" t="s">
        <v>81</v>
      </c>
      <c r="U30" s="7" t="s">
        <v>148</v>
      </c>
      <c r="V30" s="7" t="s">
        <v>98</v>
      </c>
      <c r="W30" s="6" t="str">
        <f aca="false">IF(COUNTA(B30:V30)=0,"",IF(OR(B30="",C30="",D30="",F30="",G30="",H30="",I30="",L30="",M30=""),"ناقص",IF(AND(ISNUMBER(F30),ISNUMBER(H30)),"OK","السنة/السعر لازم أرقام")))</f>
        <v>OK</v>
      </c>
      <c r="X30" s="6" t="str">
        <f aca="false">IF(B30="","",B30&amp;" "&amp;C30&amp;" "&amp;D30&amp;" "&amp;E30&amp;" "&amp;F30&amp;" "&amp;G30&amp;" "&amp;I30&amp;" "&amp;L30&amp;" "&amp;M30&amp;" سعر "&amp;H30&amp;" جنيه "&amp;U30)</f>
        <v>Changan شانجان CS75 Plus Flagship CS75 بلس فلاج شيب 2026 جديد SUV أوتوماتيك بنزين سعر 1650000 جنيه تكييف، زجاج كهربائي، قفل مركزي، ABS، مرايات كهربائية، حساسات ركن خلفية، جنوط ألومنيوم، تحكم في الثبات ESP</v>
      </c>
    </row>
    <row r="31" customFormat="false" ht="35.05" hidden="false" customHeight="false" outlineLevel="0" collapsed="false">
      <c r="A31" s="6" t="s">
        <v>195</v>
      </c>
      <c r="B31" s="7" t="s">
        <v>189</v>
      </c>
      <c r="C31" s="6" t="str">
        <f aca="false">IF(B31="","",IFERROR(INDEX(Lists!$K$2:$K$60,MATCH(B31,Lists!$J$2:$J$60,0)),""))</f>
        <v>شانجان</v>
      </c>
      <c r="D31" s="7" t="s">
        <v>196</v>
      </c>
      <c r="E31" s="7" t="s">
        <v>197</v>
      </c>
      <c r="F31" s="7" t="n">
        <v>2026</v>
      </c>
      <c r="G31" s="7" t="s">
        <v>76</v>
      </c>
      <c r="H31" s="8" t="n">
        <v>1145000</v>
      </c>
      <c r="I31" s="7" t="s">
        <v>105</v>
      </c>
      <c r="J31" s="9" t="n">
        <v>1500</v>
      </c>
      <c r="K31" s="7" t="n">
        <v>178</v>
      </c>
      <c r="L31" s="7" t="s">
        <v>78</v>
      </c>
      <c r="M31" s="7" t="s">
        <v>79</v>
      </c>
      <c r="N31" s="7" t="n">
        <v>7.5</v>
      </c>
      <c r="O31" s="7" t="n">
        <v>5</v>
      </c>
      <c r="P31" s="7" t="s">
        <v>80</v>
      </c>
      <c r="Q31" s="7" t="s">
        <v>81</v>
      </c>
      <c r="R31" s="7" t="s">
        <v>81</v>
      </c>
      <c r="S31" s="7" t="s">
        <v>80</v>
      </c>
      <c r="T31" s="7" t="s">
        <v>81</v>
      </c>
      <c r="U31" s="7" t="s">
        <v>97</v>
      </c>
      <c r="V31" s="7" t="s">
        <v>98</v>
      </c>
      <c r="W31" s="6" t="str">
        <f aca="false">IF(COUNTA(B31:V31)=0,"",IF(OR(B31="",C31="",D31="",F31="",G31="",H31="",I31="",L31="",M31=""),"ناقص",IF(AND(ISNUMBER(F31),ISNUMBER(H31)),"OK","السنة/السعر لازم أرقام")))</f>
        <v>OK</v>
      </c>
      <c r="X31" s="6" t="str">
        <f aca="false">IF(B31="","",B31&amp;" "&amp;C31&amp;" "&amp;D31&amp;" "&amp;E31&amp;" "&amp;F31&amp;" "&amp;G31&amp;" "&amp;I31&amp;" "&amp;L31&amp;" "&amp;M31&amp;" سعر "&amp;H31&amp;" جنيه "&amp;U31)</f>
        <v>Changan شانجان CS55 Plus Elite CS55 بلس إيليت 2026 جديد كروس أوفر أوتوماتيك بنزين سعر 1145000 جنيه مجمعة محليًا، تكييف، ABS</v>
      </c>
    </row>
    <row r="32" customFormat="false" ht="35.05" hidden="false" customHeight="false" outlineLevel="0" collapsed="false">
      <c r="A32" s="6" t="s">
        <v>198</v>
      </c>
      <c r="B32" s="7" t="s">
        <v>189</v>
      </c>
      <c r="C32" s="6" t="str">
        <f aca="false">IF(B32="","",IFERROR(INDEX(Lists!$K$2:$K$60,MATCH(B32,Lists!$J$2:$J$60,0)),""))</f>
        <v>شانجان</v>
      </c>
      <c r="D32" s="7" t="s">
        <v>199</v>
      </c>
      <c r="E32" s="7" t="s">
        <v>200</v>
      </c>
      <c r="F32" s="7" t="n">
        <v>2026</v>
      </c>
      <c r="G32" s="7" t="s">
        <v>76</v>
      </c>
      <c r="H32" s="8" t="n">
        <v>1275000</v>
      </c>
      <c r="I32" s="7" t="s">
        <v>105</v>
      </c>
      <c r="J32" s="9" t="n">
        <v>1500</v>
      </c>
      <c r="K32" s="7" t="n">
        <v>178</v>
      </c>
      <c r="L32" s="7" t="s">
        <v>78</v>
      </c>
      <c r="M32" s="7" t="s">
        <v>79</v>
      </c>
      <c r="N32" s="7" t="n">
        <v>7.5</v>
      </c>
      <c r="O32" s="7" t="n">
        <v>5</v>
      </c>
      <c r="P32" s="7" t="s">
        <v>81</v>
      </c>
      <c r="Q32" s="7" t="s">
        <v>81</v>
      </c>
      <c r="R32" s="7" t="s">
        <v>81</v>
      </c>
      <c r="S32" s="7" t="s">
        <v>80</v>
      </c>
      <c r="T32" s="7" t="s">
        <v>81</v>
      </c>
      <c r="U32" s="7" t="s">
        <v>97</v>
      </c>
      <c r="V32" s="7" t="s">
        <v>98</v>
      </c>
      <c r="W32" s="6" t="str">
        <f aca="false">IF(COUNTA(B32:V32)=0,"",IF(OR(B32="",C32="",D32="",F32="",G32="",H32="",I32="",L32="",M32=""),"ناقص",IF(AND(ISNUMBER(F32),ISNUMBER(H32)),"OK","السنة/السعر لازم أرقام")))</f>
        <v>OK</v>
      </c>
      <c r="X32" s="6" t="str">
        <f aca="false">IF(B32="","",B32&amp;" "&amp;C32&amp;" "&amp;D32&amp;" "&amp;E32&amp;" "&amp;F32&amp;" "&amp;G32&amp;" "&amp;I32&amp;" "&amp;L32&amp;" "&amp;M32&amp;" سعر "&amp;H32&amp;" جنيه "&amp;U32)</f>
        <v>Changan شانجان CS55 Plus Premium CS55 بلس بريميوم 2026 جديد كروس أوفر أوتوماتيك بنزين سعر 1275000 جنيه مجمعة محليًا، تكييف، ABS</v>
      </c>
    </row>
    <row r="33" customFormat="false" ht="35.05" hidden="false" customHeight="false" outlineLevel="0" collapsed="false">
      <c r="A33" s="6" t="s">
        <v>201</v>
      </c>
      <c r="B33" s="7" t="s">
        <v>189</v>
      </c>
      <c r="C33" s="6" t="str">
        <f aca="false">IF(B33="","",IFERROR(INDEX(Lists!$K$2:$K$60,MATCH(B33,Lists!$J$2:$J$60,0)),""))</f>
        <v>شانجان</v>
      </c>
      <c r="D33" s="7" t="s">
        <v>202</v>
      </c>
      <c r="E33" s="7" t="s">
        <v>203</v>
      </c>
      <c r="F33" s="7" t="n">
        <v>2026</v>
      </c>
      <c r="G33" s="7" t="s">
        <v>76</v>
      </c>
      <c r="H33" s="8" t="n">
        <v>1350000</v>
      </c>
      <c r="I33" s="7" t="s">
        <v>77</v>
      </c>
      <c r="J33" s="9" t="n">
        <v>1500</v>
      </c>
      <c r="K33" s="7" t="n">
        <v>189</v>
      </c>
      <c r="L33" s="7" t="s">
        <v>78</v>
      </c>
      <c r="M33" s="7" t="s">
        <v>79</v>
      </c>
      <c r="N33" s="7" t="n">
        <v>7.5</v>
      </c>
      <c r="O33" s="7" t="n">
        <v>5</v>
      </c>
      <c r="P33" s="7" t="s">
        <v>81</v>
      </c>
      <c r="Q33" s="7" t="s">
        <v>81</v>
      </c>
      <c r="R33" s="7" t="s">
        <v>81</v>
      </c>
      <c r="S33" s="7" t="s">
        <v>81</v>
      </c>
      <c r="T33" s="7" t="s">
        <v>81</v>
      </c>
      <c r="U33" s="7" t="s">
        <v>204</v>
      </c>
      <c r="V33" s="7" t="s">
        <v>98</v>
      </c>
      <c r="W33" s="6" t="str">
        <f aca="false">IF(COUNTA(B33:V33)=0,"",IF(OR(B33="",C33="",D33="",F33="",G33="",H33="",I33="",L33="",M33=""),"ناقص",IF(AND(ISNUMBER(F33),ISNUMBER(H33)),"OK","السنة/السعر لازم أرقام")))</f>
        <v>OK</v>
      </c>
      <c r="X33" s="6" t="str">
        <f aca="false">IF(B33="","",B33&amp;" "&amp;C33&amp;" "&amp;D33&amp;" "&amp;E33&amp;" "&amp;F33&amp;" "&amp;G33&amp;" "&amp;I33&amp;" "&amp;L33&amp;" "&amp;M33&amp;" سعر "&amp;H33&amp;" جنيه "&amp;U33)</f>
        <v>Changan شانجان UNI-V Flagship يوني في فلاج شيب 2026 جديد سيدان أوتوماتيك بنزين سعر 1350000 جنيه فئة وحيدة، تكييف، ABS</v>
      </c>
    </row>
    <row r="34" customFormat="false" ht="35.05" hidden="false" customHeight="false" outlineLevel="0" collapsed="false">
      <c r="A34" s="6" t="s">
        <v>205</v>
      </c>
      <c r="B34" s="7" t="s">
        <v>206</v>
      </c>
      <c r="C34" s="6" t="str">
        <f aca="false">IF(B34="","",IFERROR(INDEX(Lists!$K$2:$K$60,MATCH(B34,Lists!$J$2:$J$60,0)),""))</f>
        <v>هافال</v>
      </c>
      <c r="D34" s="7" t="s">
        <v>207</v>
      </c>
      <c r="E34" s="7" t="s">
        <v>208</v>
      </c>
      <c r="F34" s="7" t="n">
        <v>2026</v>
      </c>
      <c r="G34" s="7" t="s">
        <v>76</v>
      </c>
      <c r="H34" s="8" t="n">
        <v>1310000</v>
      </c>
      <c r="I34" s="7" t="s">
        <v>113</v>
      </c>
      <c r="J34" s="9" t="n">
        <v>1500</v>
      </c>
      <c r="K34" s="7" t="n">
        <v>170</v>
      </c>
      <c r="L34" s="7" t="s">
        <v>135</v>
      </c>
      <c r="M34" s="7" t="s">
        <v>79</v>
      </c>
      <c r="N34" s="7" t="n">
        <v>8</v>
      </c>
      <c r="O34" s="7" t="n">
        <v>5</v>
      </c>
      <c r="P34" s="7" t="s">
        <v>81</v>
      </c>
      <c r="Q34" s="7" t="s">
        <v>81</v>
      </c>
      <c r="R34" s="7" t="s">
        <v>81</v>
      </c>
      <c r="S34" s="7" t="s">
        <v>81</v>
      </c>
      <c r="T34" s="7" t="s">
        <v>81</v>
      </c>
      <c r="U34" s="7" t="s">
        <v>148</v>
      </c>
      <c r="V34" s="7" t="s">
        <v>98</v>
      </c>
      <c r="W34" s="6" t="str">
        <f aca="false">IF(COUNTA(B34:V34)=0,"",IF(OR(B34="",C34="",D34="",F34="",G34="",H34="",I34="",L34="",M34=""),"ناقص",IF(AND(ISNUMBER(F34),ISNUMBER(H34)),"OK","السنة/السعر لازم أرقام")))</f>
        <v>OK</v>
      </c>
      <c r="X34" s="6" t="str">
        <f aca="false">IF(B34="","",B34&amp;" "&amp;C34&amp;" "&amp;D34&amp;" "&amp;E34&amp;" "&amp;F34&amp;" "&amp;G34&amp;" "&amp;I34&amp;" "&amp;L34&amp;" "&amp;M34&amp;" سعر "&amp;H34&amp;" جنيه "&amp;U34)</f>
        <v>Haval هافال H6 Platinum H6 بلاتينيوم 2026 جديد SUV DCT بنزين سعر 1310000 جنيه تكييف، زجاج كهربائي، قفل مركزي، ABS، مرايات كهربائية، حساسات ركن خلفية، جنوط ألومنيوم، تحكم في الثبات ESP</v>
      </c>
    </row>
    <row r="35" customFormat="false" ht="35.05" hidden="false" customHeight="false" outlineLevel="0" collapsed="false">
      <c r="A35" s="6" t="s">
        <v>209</v>
      </c>
      <c r="B35" s="7" t="s">
        <v>206</v>
      </c>
      <c r="C35" s="6" t="str">
        <f aca="false">IF(B35="","",IFERROR(INDEX(Lists!$K$2:$K$60,MATCH(B35,Lists!$J$2:$J$60,0)),""))</f>
        <v>هافال</v>
      </c>
      <c r="D35" s="7" t="s">
        <v>210</v>
      </c>
      <c r="E35" s="7" t="s">
        <v>211</v>
      </c>
      <c r="F35" s="7" t="n">
        <v>2026</v>
      </c>
      <c r="G35" s="7" t="s">
        <v>76</v>
      </c>
      <c r="H35" s="8" t="n">
        <v>1500000</v>
      </c>
      <c r="I35" s="7" t="s">
        <v>113</v>
      </c>
      <c r="J35" s="9" t="n">
        <v>1500</v>
      </c>
      <c r="K35" s="7" t="n">
        <v>170</v>
      </c>
      <c r="L35" s="7" t="s">
        <v>135</v>
      </c>
      <c r="M35" s="7" t="s">
        <v>79</v>
      </c>
      <c r="N35" s="7" t="n">
        <v>8</v>
      </c>
      <c r="O35" s="7" t="n">
        <v>5</v>
      </c>
      <c r="P35" s="7" t="s">
        <v>81</v>
      </c>
      <c r="Q35" s="7" t="s">
        <v>81</v>
      </c>
      <c r="R35" s="7" t="s">
        <v>81</v>
      </c>
      <c r="S35" s="7" t="s">
        <v>81</v>
      </c>
      <c r="T35" s="7" t="s">
        <v>81</v>
      </c>
      <c r="U35" s="7" t="s">
        <v>148</v>
      </c>
      <c r="V35" s="7" t="s">
        <v>98</v>
      </c>
      <c r="W35" s="6" t="str">
        <f aca="false">IF(COUNTA(B35:V35)=0,"",IF(OR(B35="",C35="",D35="",F35="",G35="",H35="",I35="",L35="",M35=""),"ناقص",IF(AND(ISNUMBER(F35),ISNUMBER(H35)),"OK","السنة/السعر لازم أرقام")))</f>
        <v>OK</v>
      </c>
      <c r="X35" s="6" t="str">
        <f aca="false">IF(B35="","",B35&amp;" "&amp;C35&amp;" "&amp;D35&amp;" "&amp;E35&amp;" "&amp;F35&amp;" "&amp;G35&amp;" "&amp;I35&amp;" "&amp;L35&amp;" "&amp;M35&amp;" سعر "&amp;H35&amp;" جنيه "&amp;U35)</f>
        <v>Haval هافال H6 Ultra H6 ألترا 2026 جديد SUV DCT بنزين سعر 1500000 جنيه تكييف، زجاج كهربائي، قفل مركزي، ABS، مرايات كهربائية، حساسات ركن خلفية، جنوط ألومنيوم، تحكم في الثبات ESP</v>
      </c>
    </row>
    <row r="36" customFormat="false" ht="35.05" hidden="false" customHeight="false" outlineLevel="0" collapsed="false">
      <c r="A36" s="6" t="s">
        <v>212</v>
      </c>
      <c r="B36" s="7" t="s">
        <v>206</v>
      </c>
      <c r="C36" s="6" t="str">
        <f aca="false">IF(B36="","",IFERROR(INDEX(Lists!$K$2:$K$60,MATCH(B36,Lists!$J$2:$J$60,0)),""))</f>
        <v>هافال</v>
      </c>
      <c r="D36" s="7" t="s">
        <v>213</v>
      </c>
      <c r="E36" s="7" t="s">
        <v>214</v>
      </c>
      <c r="F36" s="7" t="n">
        <v>2027</v>
      </c>
      <c r="G36" s="7" t="s">
        <v>76</v>
      </c>
      <c r="H36" s="8" t="n">
        <v>1740000</v>
      </c>
      <c r="I36" s="7" t="s">
        <v>113</v>
      </c>
      <c r="J36" s="9" t="n">
        <v>1500</v>
      </c>
      <c r="K36" s="7" t="n">
        <v>238</v>
      </c>
      <c r="L36" s="7" t="s">
        <v>78</v>
      </c>
      <c r="M36" s="7" t="s">
        <v>91</v>
      </c>
      <c r="N36" s="7" t="n">
        <v>6</v>
      </c>
      <c r="O36" s="7" t="n">
        <v>5</v>
      </c>
      <c r="P36" s="7" t="s">
        <v>81</v>
      </c>
      <c r="Q36" s="7" t="s">
        <v>81</v>
      </c>
      <c r="R36" s="7" t="s">
        <v>81</v>
      </c>
      <c r="S36" s="7" t="s">
        <v>81</v>
      </c>
      <c r="T36" s="7" t="s">
        <v>81</v>
      </c>
      <c r="U36" s="7" t="s">
        <v>215</v>
      </c>
      <c r="V36" s="7" t="s">
        <v>98</v>
      </c>
      <c r="W36" s="6" t="str">
        <f aca="false">IF(COUNTA(B36:V36)=0,"",IF(OR(B36="",C36="",D36="",F36="",G36="",H36="",I36="",L36="",M36=""),"ناقص",IF(AND(ISNUMBER(F36),ISNUMBER(H36)),"OK","السنة/السعر لازم أرقام")))</f>
        <v>OK</v>
      </c>
      <c r="X36" s="6" t="str">
        <f aca="false">IF(B36="","",B36&amp;" "&amp;C36&amp;" "&amp;D36&amp;" "&amp;E36&amp;" "&amp;F36&amp;" "&amp;G36&amp;" "&amp;I36&amp;" "&amp;L36&amp;" "&amp;M36&amp;" سعر "&amp;H36&amp;" جنيه "&amp;U36)</f>
        <v>Haval هافال H7 Ultra Black H7 ألترا بلاك 2027 جديد SUV أوتوماتيك هايبرد سعر 1740000 جنيه نظام دفع هايبرد، تكييف، ABS</v>
      </c>
    </row>
    <row r="37" customFormat="false" ht="35.05" hidden="false" customHeight="false" outlineLevel="0" collapsed="false">
      <c r="A37" s="6" t="s">
        <v>216</v>
      </c>
      <c r="B37" s="7" t="s">
        <v>206</v>
      </c>
      <c r="C37" s="6" t="str">
        <f aca="false">IF(B37="","",IFERROR(INDEX(Lists!$K$2:$K$60,MATCH(B37,Lists!$J$2:$J$60,0)),""))</f>
        <v>هافال</v>
      </c>
      <c r="D37" s="7" t="s">
        <v>217</v>
      </c>
      <c r="E37" s="7" t="s">
        <v>218</v>
      </c>
      <c r="F37" s="7" t="n">
        <v>2027</v>
      </c>
      <c r="G37" s="7" t="s">
        <v>76</v>
      </c>
      <c r="H37" s="8" t="n">
        <v>1000000</v>
      </c>
      <c r="I37" s="7" t="s">
        <v>105</v>
      </c>
      <c r="J37" s="9" t="n">
        <v>1500</v>
      </c>
      <c r="K37" s="7" t="n">
        <v>143</v>
      </c>
      <c r="L37" s="7" t="s">
        <v>78</v>
      </c>
      <c r="M37" s="7" t="s">
        <v>79</v>
      </c>
      <c r="N37" s="7" t="n">
        <v>7.5</v>
      </c>
      <c r="O37" s="7" t="n">
        <v>5</v>
      </c>
      <c r="P37" s="7" t="s">
        <v>80</v>
      </c>
      <c r="Q37" s="7" t="s">
        <v>81</v>
      </c>
      <c r="R37" s="7" t="s">
        <v>81</v>
      </c>
      <c r="S37" s="7" t="s">
        <v>80</v>
      </c>
      <c r="T37" s="7" t="s">
        <v>81</v>
      </c>
      <c r="U37" s="7" t="s">
        <v>97</v>
      </c>
      <c r="V37" s="7" t="s">
        <v>98</v>
      </c>
      <c r="W37" s="6" t="str">
        <f aca="false">IF(COUNTA(B37:V37)=0,"",IF(OR(B37="",C37="",D37="",F37="",G37="",H37="",I37="",L37="",M37=""),"ناقص",IF(AND(ISNUMBER(F37),ISNUMBER(H37)),"OK","السنة/السعر لازم أرقام")))</f>
        <v>OK</v>
      </c>
      <c r="X37" s="6" t="str">
        <f aca="false">IF(B37="","",B37&amp;" "&amp;C37&amp;" "&amp;D37&amp;" "&amp;E37&amp;" "&amp;F37&amp;" "&amp;G37&amp;" "&amp;I37&amp;" "&amp;L37&amp;" "&amp;M37&amp;" سعر "&amp;H37&amp;" جنيه "&amp;U37)</f>
        <v>Haval هافال Jolion Standard جوليان ستاندرد 2027 جديد كروس أوفر أوتوماتيك بنزين سعر 1000000 جنيه مجمعة محليًا، تكييف، ABS</v>
      </c>
    </row>
    <row r="38" customFormat="false" ht="35.05" hidden="false" customHeight="false" outlineLevel="0" collapsed="false">
      <c r="A38" s="6" t="s">
        <v>219</v>
      </c>
      <c r="B38" s="7" t="s">
        <v>206</v>
      </c>
      <c r="C38" s="6" t="str">
        <f aca="false">IF(B38="","",IFERROR(INDEX(Lists!$K$2:$K$60,MATCH(B38,Lists!$J$2:$J$60,0)),""))</f>
        <v>هافال</v>
      </c>
      <c r="D38" s="7" t="s">
        <v>220</v>
      </c>
      <c r="E38" s="7" t="s">
        <v>221</v>
      </c>
      <c r="F38" s="7" t="n">
        <v>2027</v>
      </c>
      <c r="G38" s="7" t="s">
        <v>76</v>
      </c>
      <c r="H38" s="8" t="n">
        <v>1155000</v>
      </c>
      <c r="I38" s="7" t="s">
        <v>105</v>
      </c>
      <c r="J38" s="9" t="n">
        <v>1500</v>
      </c>
      <c r="K38" s="7" t="n">
        <v>143</v>
      </c>
      <c r="L38" s="7" t="s">
        <v>78</v>
      </c>
      <c r="M38" s="7" t="s">
        <v>79</v>
      </c>
      <c r="N38" s="7" t="n">
        <v>7.5</v>
      </c>
      <c r="O38" s="7" t="n">
        <v>5</v>
      </c>
      <c r="P38" s="7" t="s">
        <v>81</v>
      </c>
      <c r="Q38" s="7" t="s">
        <v>81</v>
      </c>
      <c r="R38" s="7" t="s">
        <v>81</v>
      </c>
      <c r="S38" s="7" t="s">
        <v>81</v>
      </c>
      <c r="T38" s="7" t="s">
        <v>81</v>
      </c>
      <c r="U38" s="7" t="s">
        <v>97</v>
      </c>
      <c r="V38" s="7" t="s">
        <v>98</v>
      </c>
      <c r="W38" s="6" t="str">
        <f aca="false">IF(COUNTA(B38:V38)=0,"",IF(OR(B38="",C38="",D38="",F38="",G38="",H38="",I38="",L38="",M38=""),"ناقص",IF(AND(ISNUMBER(F38),ISNUMBER(H38)),"OK","السنة/السعر لازم أرقام")))</f>
        <v>OK</v>
      </c>
      <c r="X38" s="6" t="str">
        <f aca="false">IF(B38="","",B38&amp;" "&amp;C38&amp;" "&amp;D38&amp;" "&amp;E38&amp;" "&amp;F38&amp;" "&amp;G38&amp;" "&amp;I38&amp;" "&amp;L38&amp;" "&amp;M38&amp;" سعر "&amp;H38&amp;" جنيه "&amp;U38)</f>
        <v>Haval هافال Jolion High Deluxe جوليان هاي ديلوكس 2027 جديد كروس أوفر أوتوماتيك بنزين سعر 1155000 جنيه مجمعة محليًا، تكييف، ABS</v>
      </c>
    </row>
    <row r="39" customFormat="false" ht="35.05" hidden="false" customHeight="false" outlineLevel="0" collapsed="false">
      <c r="A39" s="6" t="s">
        <v>222</v>
      </c>
      <c r="B39" s="7" t="s">
        <v>223</v>
      </c>
      <c r="C39" s="6" t="str">
        <f aca="false">IF(B39="","",IFERROR(INDEX(Lists!$K$2:$K$60,MATCH(B39,Lists!$J$2:$J$60,0)),""))</f>
        <v>شيري</v>
      </c>
      <c r="D39" s="7" t="s">
        <v>224</v>
      </c>
      <c r="E39" s="7" t="s">
        <v>225</v>
      </c>
      <c r="F39" s="7" t="n">
        <v>2027</v>
      </c>
      <c r="G39" s="7" t="s">
        <v>76</v>
      </c>
      <c r="H39" s="8" t="n">
        <v>690000</v>
      </c>
      <c r="I39" s="7" t="s">
        <v>77</v>
      </c>
      <c r="J39" s="9" t="n">
        <v>1500</v>
      </c>
      <c r="K39" s="7" t="n">
        <v>113</v>
      </c>
      <c r="L39" s="7" t="s">
        <v>78</v>
      </c>
      <c r="M39" s="7" t="s">
        <v>79</v>
      </c>
      <c r="N39" s="7" t="n">
        <v>6.8</v>
      </c>
      <c r="O39" s="7" t="n">
        <v>5</v>
      </c>
      <c r="P39" s="7" t="s">
        <v>80</v>
      </c>
      <c r="Q39" s="7" t="s">
        <v>80</v>
      </c>
      <c r="R39" s="7" t="s">
        <v>80</v>
      </c>
      <c r="S39" s="7" t="s">
        <v>80</v>
      </c>
      <c r="T39" s="7" t="s">
        <v>81</v>
      </c>
      <c r="U39" s="7" t="s">
        <v>226</v>
      </c>
      <c r="V39" s="7" t="s">
        <v>98</v>
      </c>
      <c r="W39" s="6" t="str">
        <f aca="false">IF(COUNTA(B39:V39)=0,"",IF(OR(B39="",C39="",D39="",F39="",G39="",H39="",I39="",L39="",M39=""),"ناقص",IF(AND(ISNUMBER(F39),ISNUMBER(H39)),"OK","السنة/السعر لازم أرقام")))</f>
        <v>OK</v>
      </c>
      <c r="X39" s="6" t="str">
        <f aca="false">IF(B39="","",B39&amp;" "&amp;C39&amp;" "&amp;D39&amp;" "&amp;E39&amp;" "&amp;F39&amp;" "&amp;G39&amp;" "&amp;I39&amp;" "&amp;L39&amp;" "&amp;M39&amp;" سعر "&amp;H39&amp;" جنيه "&amp;U39)</f>
        <v>Chery شيري Arrizo 5 Basic أريزو 5 بيسك 2027 جديد سيدان أوتوماتيك بنزين سعر 690000 جنيه أرخص فئة، تكييف، ABS</v>
      </c>
    </row>
    <row r="40" customFormat="false" ht="35.05" hidden="false" customHeight="false" outlineLevel="0" collapsed="false">
      <c r="A40" s="6" t="s">
        <v>227</v>
      </c>
      <c r="B40" s="7" t="s">
        <v>223</v>
      </c>
      <c r="C40" s="6" t="str">
        <f aca="false">IF(B40="","",IFERROR(INDEX(Lists!$K$2:$K$60,MATCH(B40,Lists!$J$2:$J$60,0)),""))</f>
        <v>شيري</v>
      </c>
      <c r="D40" s="7" t="s">
        <v>228</v>
      </c>
      <c r="E40" s="7" t="s">
        <v>229</v>
      </c>
      <c r="F40" s="7" t="n">
        <v>2027</v>
      </c>
      <c r="G40" s="7" t="s">
        <v>76</v>
      </c>
      <c r="H40" s="8" t="n">
        <v>775000</v>
      </c>
      <c r="I40" s="7" t="s">
        <v>77</v>
      </c>
      <c r="J40" s="9" t="n">
        <v>1500</v>
      </c>
      <c r="K40" s="7" t="n">
        <v>113</v>
      </c>
      <c r="L40" s="7" t="s">
        <v>230</v>
      </c>
      <c r="M40" s="7" t="s">
        <v>79</v>
      </c>
      <c r="N40" s="7" t="n">
        <v>6.8</v>
      </c>
      <c r="O40" s="7" t="n">
        <v>5</v>
      </c>
      <c r="P40" s="7" t="s">
        <v>80</v>
      </c>
      <c r="Q40" s="7" t="s">
        <v>81</v>
      </c>
      <c r="R40" s="7" t="s">
        <v>80</v>
      </c>
      <c r="S40" s="7" t="s">
        <v>80</v>
      </c>
      <c r="T40" s="7" t="s">
        <v>81</v>
      </c>
      <c r="U40" s="7" t="s">
        <v>144</v>
      </c>
      <c r="V40" s="7" t="s">
        <v>98</v>
      </c>
      <c r="W40" s="6" t="str">
        <f aca="false">IF(COUNTA(B40:V40)=0,"",IF(OR(B40="",C40="",D40="",F40="",G40="",H40="",I40="",L40="",M40=""),"ناقص",IF(AND(ISNUMBER(F40),ISNUMBER(H40)),"OK","السنة/السعر لازم أرقام")))</f>
        <v>OK</v>
      </c>
      <c r="X40" s="6" t="str">
        <f aca="false">IF(B40="","",B40&amp;" "&amp;C40&amp;" "&amp;D40&amp;" "&amp;E40&amp;" "&amp;F40&amp;" "&amp;G40&amp;" "&amp;I40&amp;" "&amp;L40&amp;" "&amp;M40&amp;" سعر "&amp;H40&amp;" جنيه "&amp;U40)</f>
        <v>Chery شيري Arrizo 5 CVT Comfort أريزو 5 كومفورت 2027 جديد سيدان CVT بنزين سعر 775000 جنيه تكييف، زجاج كهربائي، قفل مركزي، ABS، مرايات كهربائية، حساسات ركن خلفية</v>
      </c>
    </row>
    <row r="41" customFormat="false" ht="35.05" hidden="false" customHeight="false" outlineLevel="0" collapsed="false">
      <c r="A41" s="6" t="s">
        <v>231</v>
      </c>
      <c r="B41" s="7" t="s">
        <v>223</v>
      </c>
      <c r="C41" s="6" t="str">
        <f aca="false">IF(B41="","",IFERROR(INDEX(Lists!$K$2:$K$60,MATCH(B41,Lists!$J$2:$J$60,0)),""))</f>
        <v>شيري</v>
      </c>
      <c r="D41" s="7" t="s">
        <v>232</v>
      </c>
      <c r="E41" s="7" t="s">
        <v>233</v>
      </c>
      <c r="F41" s="7" t="n">
        <v>2027</v>
      </c>
      <c r="G41" s="7" t="s">
        <v>76</v>
      </c>
      <c r="H41" s="8" t="n">
        <v>1090000</v>
      </c>
      <c r="I41" s="7" t="s">
        <v>113</v>
      </c>
      <c r="J41" s="9" t="n">
        <v>1500</v>
      </c>
      <c r="K41" s="7" t="n">
        <v>147</v>
      </c>
      <c r="L41" s="7" t="s">
        <v>78</v>
      </c>
      <c r="M41" s="7" t="s">
        <v>79</v>
      </c>
      <c r="N41" s="7" t="n">
        <v>7.8</v>
      </c>
      <c r="O41" s="7" t="n">
        <v>5</v>
      </c>
      <c r="P41" s="7" t="s">
        <v>80</v>
      </c>
      <c r="Q41" s="7" t="s">
        <v>81</v>
      </c>
      <c r="R41" s="7" t="s">
        <v>81</v>
      </c>
      <c r="S41" s="7" t="s">
        <v>80</v>
      </c>
      <c r="T41" s="7" t="s">
        <v>81</v>
      </c>
      <c r="U41" s="7" t="s">
        <v>144</v>
      </c>
      <c r="V41" s="7" t="s">
        <v>98</v>
      </c>
      <c r="W41" s="6" t="str">
        <f aca="false">IF(COUNTA(B41:V41)=0,"",IF(OR(B41="",C41="",D41="",F41="",G41="",H41="",I41="",L41="",M41=""),"ناقص",IF(AND(ISNUMBER(F41),ISNUMBER(H41)),"OK","السنة/السعر لازم أرقام")))</f>
        <v>OK</v>
      </c>
      <c r="X41" s="6" t="str">
        <f aca="false">IF(B41="","",B41&amp;" "&amp;C41&amp;" "&amp;D41&amp;" "&amp;E41&amp;" "&amp;F41&amp;" "&amp;G41&amp;" "&amp;I41&amp;" "&amp;L41&amp;" "&amp;M41&amp;" سعر "&amp;H41&amp;" جنيه "&amp;U41)</f>
        <v>Chery شيري Tiggo 7 Pro Comfort تيجو 7 برو كومفورت 2027 جديد SUV أوتوماتيك بنزين سعر 1090000 جنيه تكييف، زجاج كهربائي، قفل مركزي، ABS، مرايات كهربائية، حساسات ركن خلفية</v>
      </c>
    </row>
    <row r="42" customFormat="false" ht="46.25" hidden="false" customHeight="false" outlineLevel="0" collapsed="false">
      <c r="A42" s="6" t="s">
        <v>234</v>
      </c>
      <c r="B42" s="7" t="s">
        <v>223</v>
      </c>
      <c r="C42" s="6" t="str">
        <f aca="false">IF(B42="","",IFERROR(INDEX(Lists!$K$2:$K$60,MATCH(B42,Lists!$J$2:$J$60,0)),""))</f>
        <v>شيري</v>
      </c>
      <c r="D42" s="7" t="s">
        <v>235</v>
      </c>
      <c r="E42" s="7" t="s">
        <v>236</v>
      </c>
      <c r="F42" s="7" t="n">
        <v>2027</v>
      </c>
      <c r="G42" s="7" t="s">
        <v>76</v>
      </c>
      <c r="H42" s="8" t="n">
        <v>1190000</v>
      </c>
      <c r="I42" s="7" t="s">
        <v>113</v>
      </c>
      <c r="J42" s="9" t="n">
        <v>1500</v>
      </c>
      <c r="K42" s="7" t="n">
        <v>147</v>
      </c>
      <c r="L42" s="7" t="s">
        <v>78</v>
      </c>
      <c r="M42" s="7" t="s">
        <v>79</v>
      </c>
      <c r="N42" s="7" t="n">
        <v>7.8</v>
      </c>
      <c r="O42" s="7" t="n">
        <v>5</v>
      </c>
      <c r="P42" s="7" t="s">
        <v>81</v>
      </c>
      <c r="Q42" s="7" t="s">
        <v>81</v>
      </c>
      <c r="R42" s="7" t="s">
        <v>81</v>
      </c>
      <c r="S42" s="7" t="s">
        <v>81</v>
      </c>
      <c r="T42" s="7" t="s">
        <v>81</v>
      </c>
      <c r="U42" s="7" t="s">
        <v>148</v>
      </c>
      <c r="V42" s="7" t="s">
        <v>98</v>
      </c>
      <c r="W42" s="6" t="str">
        <f aca="false">IF(COUNTA(B42:V42)=0,"",IF(OR(B42="",C42="",D42="",F42="",G42="",H42="",I42="",L42="",M42=""),"ناقص",IF(AND(ISNUMBER(F42),ISNUMBER(H42)),"OK","السنة/السعر لازم أرقام")))</f>
        <v>OK</v>
      </c>
      <c r="X42" s="6" t="str">
        <f aca="false">IF(B42="","",B42&amp;" "&amp;C42&amp;" "&amp;D42&amp;" "&amp;E42&amp;" "&amp;F42&amp;" "&amp;G42&amp;" "&amp;I42&amp;" "&amp;L42&amp;" "&amp;M42&amp;" سعر "&amp;H42&amp;" جنيه "&amp;U42)</f>
        <v>Chery شيري Tiggo 7 Pro Luxury تيجو 7 برو لاكشري 2027 جديد SUV أوتوماتيك بنزين سعر 1190000 جنيه تكييف، زجاج كهربائي، قفل مركزي، ABS، مرايات كهربائية، حساسات ركن خلفية، جنوط ألومنيوم، تحكم في الثبات ESP</v>
      </c>
    </row>
    <row r="43" customFormat="false" ht="35.05" hidden="false" customHeight="false" outlineLevel="0" collapsed="false">
      <c r="A43" s="6" t="s">
        <v>237</v>
      </c>
      <c r="B43" s="7" t="s">
        <v>223</v>
      </c>
      <c r="C43" s="6" t="str">
        <f aca="false">IF(B43="","",IFERROR(INDEX(Lists!$K$2:$K$60,MATCH(B43,Lists!$J$2:$J$60,0)),""))</f>
        <v>شيري</v>
      </c>
      <c r="D43" s="7" t="s">
        <v>238</v>
      </c>
      <c r="E43" s="7" t="s">
        <v>239</v>
      </c>
      <c r="F43" s="7" t="n">
        <v>2027</v>
      </c>
      <c r="G43" s="7" t="s">
        <v>76</v>
      </c>
      <c r="H43" s="8" t="n">
        <v>1180000</v>
      </c>
      <c r="I43" s="7" t="s">
        <v>113</v>
      </c>
      <c r="J43" s="9" t="n">
        <v>1500</v>
      </c>
      <c r="K43" s="7" t="n">
        <v>147</v>
      </c>
      <c r="L43" s="7" t="s">
        <v>78</v>
      </c>
      <c r="M43" s="7" t="s">
        <v>79</v>
      </c>
      <c r="N43" s="7" t="n">
        <v>8</v>
      </c>
      <c r="O43" s="7" t="n">
        <v>7</v>
      </c>
      <c r="P43" s="7" t="s">
        <v>80</v>
      </c>
      <c r="Q43" s="7" t="s">
        <v>81</v>
      </c>
      <c r="R43" s="7" t="s">
        <v>81</v>
      </c>
      <c r="S43" s="7" t="s">
        <v>80</v>
      </c>
      <c r="T43" s="7" t="s">
        <v>81</v>
      </c>
      <c r="U43" s="7" t="s">
        <v>144</v>
      </c>
      <c r="V43" s="7" t="s">
        <v>98</v>
      </c>
      <c r="W43" s="6" t="str">
        <f aca="false">IF(COUNTA(B43:V43)=0,"",IF(OR(B43="",C43="",D43="",F43="",G43="",H43="",I43="",L43="",M43=""),"ناقص",IF(AND(ISNUMBER(F43),ISNUMBER(H43)),"OK","السنة/السعر لازم أرقام")))</f>
        <v>OK</v>
      </c>
      <c r="X43" s="6" t="str">
        <f aca="false">IF(B43="","",B43&amp;" "&amp;C43&amp;" "&amp;D43&amp;" "&amp;E43&amp;" "&amp;F43&amp;" "&amp;G43&amp;" "&amp;I43&amp;" "&amp;L43&amp;" "&amp;M43&amp;" سعر "&amp;H43&amp;" جنيه "&amp;U43)</f>
        <v>Chery شيري Tiggo 8 Comfort 7 Seats تيجو 8 كومفورت 7 مقاعد 2027 جديد SUV أوتوماتيك بنزين سعر 1180000 جنيه تكييف، زجاج كهربائي، قفل مركزي، ABS، مرايات كهربائية، حساسات ركن خلفية</v>
      </c>
    </row>
    <row r="44" customFormat="false" ht="46.25" hidden="false" customHeight="false" outlineLevel="0" collapsed="false">
      <c r="A44" s="6" t="s">
        <v>240</v>
      </c>
      <c r="B44" s="7" t="s">
        <v>223</v>
      </c>
      <c r="C44" s="6" t="str">
        <f aca="false">IF(B44="","",IFERROR(INDEX(Lists!$K$2:$K$60,MATCH(B44,Lists!$J$2:$J$60,0)),""))</f>
        <v>شيري</v>
      </c>
      <c r="D44" s="7" t="s">
        <v>241</v>
      </c>
      <c r="E44" s="7" t="s">
        <v>242</v>
      </c>
      <c r="F44" s="7" t="n">
        <v>2027</v>
      </c>
      <c r="G44" s="7" t="s">
        <v>76</v>
      </c>
      <c r="H44" s="8" t="n">
        <v>1240000</v>
      </c>
      <c r="I44" s="7" t="s">
        <v>113</v>
      </c>
      <c r="J44" s="9" t="n">
        <v>1600</v>
      </c>
      <c r="K44" s="7" t="n">
        <v>186</v>
      </c>
      <c r="L44" s="7" t="s">
        <v>78</v>
      </c>
      <c r="M44" s="7" t="s">
        <v>79</v>
      </c>
      <c r="N44" s="7" t="n">
        <v>8.5</v>
      </c>
      <c r="O44" s="7" t="n">
        <v>5</v>
      </c>
      <c r="P44" s="7" t="s">
        <v>81</v>
      </c>
      <c r="Q44" s="7" t="s">
        <v>81</v>
      </c>
      <c r="R44" s="7" t="s">
        <v>81</v>
      </c>
      <c r="S44" s="7" t="s">
        <v>81</v>
      </c>
      <c r="T44" s="7" t="s">
        <v>81</v>
      </c>
      <c r="U44" s="7" t="s">
        <v>148</v>
      </c>
      <c r="V44" s="7" t="s">
        <v>98</v>
      </c>
      <c r="W44" s="6" t="str">
        <f aca="false">IF(COUNTA(B44:V44)=0,"",IF(OR(B44="",C44="",D44="",F44="",G44="",H44="",I44="",L44="",M44=""),"ناقص",IF(AND(ISNUMBER(F44),ISNUMBER(H44)),"OK","السنة/السعر لازم أرقام")))</f>
        <v>OK</v>
      </c>
      <c r="X44" s="6" t="str">
        <f aca="false">IF(B44="","",B44&amp;" "&amp;C44&amp;" "&amp;D44&amp;" "&amp;E44&amp;" "&amp;F44&amp;" "&amp;G44&amp;" "&amp;I44&amp;" "&amp;L44&amp;" "&amp;M44&amp;" سعر "&amp;H44&amp;" جنيه "&amp;U44)</f>
        <v>Chery شيري Tiggo 8 Luxury 5 Seats تيجو 8 لاكشري 5 مقاعد 2027 جديد SUV أوتوماتيك بنزين سعر 1240000 جنيه تكييف، زجاج كهربائي، قفل مركزي، ABS، مرايات كهربائية، حساسات ركن خلفية، جنوط ألومنيوم، تحكم في الثبات ESP</v>
      </c>
    </row>
    <row r="45" customFormat="false" ht="46.25" hidden="false" customHeight="false" outlineLevel="0" collapsed="false">
      <c r="A45" s="6" t="s">
        <v>243</v>
      </c>
      <c r="B45" s="7" t="s">
        <v>223</v>
      </c>
      <c r="C45" s="6" t="str">
        <f aca="false">IF(B45="","",IFERROR(INDEX(Lists!$K$2:$K$60,MATCH(B45,Lists!$J$2:$J$60,0)),""))</f>
        <v>شيري</v>
      </c>
      <c r="D45" s="7" t="s">
        <v>244</v>
      </c>
      <c r="E45" s="7" t="s">
        <v>245</v>
      </c>
      <c r="F45" s="7" t="n">
        <v>2027</v>
      </c>
      <c r="G45" s="7" t="s">
        <v>76</v>
      </c>
      <c r="H45" s="8" t="n">
        <v>1280000</v>
      </c>
      <c r="I45" s="7" t="s">
        <v>113</v>
      </c>
      <c r="J45" s="9" t="n">
        <v>1600</v>
      </c>
      <c r="K45" s="7" t="n">
        <v>186</v>
      </c>
      <c r="L45" s="7" t="s">
        <v>78</v>
      </c>
      <c r="M45" s="7" t="s">
        <v>79</v>
      </c>
      <c r="N45" s="7" t="n">
        <v>8.5</v>
      </c>
      <c r="O45" s="7" t="n">
        <v>7</v>
      </c>
      <c r="P45" s="7" t="s">
        <v>81</v>
      </c>
      <c r="Q45" s="7" t="s">
        <v>81</v>
      </c>
      <c r="R45" s="7" t="s">
        <v>81</v>
      </c>
      <c r="S45" s="7" t="s">
        <v>81</v>
      </c>
      <c r="T45" s="7" t="s">
        <v>81</v>
      </c>
      <c r="U45" s="7" t="s">
        <v>148</v>
      </c>
      <c r="V45" s="7" t="s">
        <v>98</v>
      </c>
      <c r="W45" s="6" t="str">
        <f aca="false">IF(COUNTA(B45:V45)=0,"",IF(OR(B45="",C45="",D45="",F45="",G45="",H45="",I45="",L45="",M45=""),"ناقص",IF(AND(ISNUMBER(F45),ISNUMBER(H45)),"OK","السنة/السعر لازم أرقام")))</f>
        <v>OK</v>
      </c>
      <c r="X45" s="6" t="str">
        <f aca="false">IF(B45="","",B45&amp;" "&amp;C45&amp;" "&amp;D45&amp;" "&amp;E45&amp;" "&amp;F45&amp;" "&amp;G45&amp;" "&amp;I45&amp;" "&amp;L45&amp;" "&amp;M45&amp;" سعر "&amp;H45&amp;" جنيه "&amp;U45)</f>
        <v>Chery شيري Tiggo 8 Luxury 7 Seats تيجو 8 لاكشري 7 مقاعد 2027 جديد SUV أوتوماتيك بنزين سعر 1280000 جنيه تكييف، زجاج كهربائي، قفل مركزي، ABS، مرايات كهربائية، حساسات ركن خلفية، جنوط ألومنيوم، تحكم في الثبات ESP</v>
      </c>
    </row>
    <row r="46" customFormat="false" ht="23.85" hidden="false" customHeight="false" outlineLevel="0" collapsed="false">
      <c r="A46" s="6" t="s">
        <v>246</v>
      </c>
      <c r="B46" s="7" t="s">
        <v>73</v>
      </c>
      <c r="C46" s="6" t="str">
        <f aca="false">IF(B46="","",IFERROR(INDEX(Lists!$K$2:$K$60,MATCH(B46,Lists!$J$2:$J$60,0)),""))</f>
        <v>تويوتا</v>
      </c>
      <c r="D46" s="7" t="s">
        <v>247</v>
      </c>
      <c r="E46" s="7" t="s">
        <v>248</v>
      </c>
      <c r="F46" s="7" t="n">
        <v>2005</v>
      </c>
      <c r="G46" s="7" t="s">
        <v>249</v>
      </c>
      <c r="H46" s="8" t="n">
        <v>520000</v>
      </c>
      <c r="I46" s="7" t="s">
        <v>77</v>
      </c>
      <c r="J46" s="9" t="n">
        <v>1600</v>
      </c>
      <c r="K46" s="7" t="n">
        <v>110</v>
      </c>
      <c r="L46" s="7" t="s">
        <v>250</v>
      </c>
      <c r="M46" s="7" t="s">
        <v>79</v>
      </c>
      <c r="N46" s="7" t="n">
        <v>8.8</v>
      </c>
      <c r="O46" s="7" t="n">
        <v>5</v>
      </c>
      <c r="P46" s="7" t="s">
        <v>80</v>
      </c>
      <c r="Q46" s="7" t="s">
        <v>80</v>
      </c>
      <c r="R46" s="7" t="s">
        <v>80</v>
      </c>
      <c r="S46" s="7" t="s">
        <v>80</v>
      </c>
      <c r="T46" s="7" t="s">
        <v>80</v>
      </c>
      <c r="U46" s="7" t="s">
        <v>251</v>
      </c>
      <c r="V46" s="7" t="s">
        <v>252</v>
      </c>
      <c r="W46" s="6" t="str">
        <f aca="false">IF(COUNTA(B46:V46)=0,"",IF(OR(B46="",C46="",D46="",F46="",G46="",H46="",I46="",L46="",M46=""),"ناقص",IF(AND(ISNUMBER(F46),ISNUMBER(H46)),"OK","السنة/السعر لازم أرقام")))</f>
        <v>OK</v>
      </c>
      <c r="X46" s="6" t="str">
        <f aca="false">IF(B46="","",B46&amp;" "&amp;C46&amp;" "&amp;D46&amp;" "&amp;E46&amp;" "&amp;F46&amp;" "&amp;G46&amp;" "&amp;I46&amp;" "&amp;L46&amp;" "&amp;M46&amp;" سعر "&amp;H46&amp;" جنيه "&amp;U46)</f>
        <v>Toyota تويوتا Corolla E120 كورولا E120 2005 مستعمل سيدان مانيوال بنزين سعر 520000 جنيه تكييف، زجاج كهربائي، قفل مركزي</v>
      </c>
    </row>
    <row r="47" customFormat="false" ht="23.85" hidden="false" customHeight="false" outlineLevel="0" collapsed="false">
      <c r="A47" s="6" t="s">
        <v>253</v>
      </c>
      <c r="B47" s="7" t="s">
        <v>73</v>
      </c>
      <c r="C47" s="6" t="str">
        <f aca="false">IF(B47="","",IFERROR(INDEX(Lists!$K$2:$K$60,MATCH(B47,Lists!$J$2:$J$60,0)),""))</f>
        <v>تويوتا</v>
      </c>
      <c r="D47" s="7" t="s">
        <v>254</v>
      </c>
      <c r="E47" s="7" t="s">
        <v>255</v>
      </c>
      <c r="F47" s="7" t="n">
        <v>2010</v>
      </c>
      <c r="G47" s="7" t="s">
        <v>249</v>
      </c>
      <c r="H47" s="8" t="n">
        <v>600000</v>
      </c>
      <c r="I47" s="7" t="s">
        <v>77</v>
      </c>
      <c r="J47" s="9" t="n">
        <v>1600</v>
      </c>
      <c r="K47" s="7" t="n">
        <v>124</v>
      </c>
      <c r="L47" s="7" t="s">
        <v>78</v>
      </c>
      <c r="M47" s="7" t="s">
        <v>79</v>
      </c>
      <c r="N47" s="7" t="n">
        <v>8.2</v>
      </c>
      <c r="O47" s="7" t="n">
        <v>5</v>
      </c>
      <c r="P47" s="7" t="s">
        <v>80</v>
      </c>
      <c r="Q47" s="7" t="s">
        <v>80</v>
      </c>
      <c r="R47" s="7" t="s">
        <v>80</v>
      </c>
      <c r="S47" s="7" t="s">
        <v>80</v>
      </c>
      <c r="T47" s="7" t="s">
        <v>80</v>
      </c>
      <c r="U47" s="7" t="s">
        <v>256</v>
      </c>
      <c r="V47" s="7" t="s">
        <v>252</v>
      </c>
      <c r="W47" s="6" t="str">
        <f aca="false">IF(COUNTA(B47:V47)=0,"",IF(OR(B47="",C47="",D47="",F47="",G47="",H47="",I47="",L47="",M47=""),"ناقص",IF(AND(ISNUMBER(F47),ISNUMBER(H47)),"OK","السنة/السعر لازم أرقام")))</f>
        <v>OK</v>
      </c>
      <c r="X47" s="6" t="str">
        <f aca="false">IF(B47="","",B47&amp;" "&amp;C47&amp;" "&amp;D47&amp;" "&amp;E47&amp;" "&amp;F47&amp;" "&amp;G47&amp;" "&amp;I47&amp;" "&amp;L47&amp;" "&amp;M47&amp;" سعر "&amp;H47&amp;" جنيه "&amp;U47)</f>
        <v>Toyota تويوتا Corolla E140 كورولا E140 2010 مستعمل سيدان أوتوماتيك بنزين سعر 600000 جنيه تكييف، زجاج كهربائي، قفل مركزي، ABS</v>
      </c>
    </row>
    <row r="48" customFormat="false" ht="35.05" hidden="false" customHeight="false" outlineLevel="0" collapsed="false">
      <c r="A48" s="6" t="s">
        <v>257</v>
      </c>
      <c r="B48" s="7" t="s">
        <v>73</v>
      </c>
      <c r="C48" s="6" t="str">
        <f aca="false">IF(B48="","",IFERROR(INDEX(Lists!$K$2:$K$60,MATCH(B48,Lists!$J$2:$J$60,0)),""))</f>
        <v>تويوتا</v>
      </c>
      <c r="D48" s="7" t="s">
        <v>258</v>
      </c>
      <c r="E48" s="7" t="s">
        <v>259</v>
      </c>
      <c r="F48" s="7" t="n">
        <v>2013</v>
      </c>
      <c r="G48" s="7" t="s">
        <v>249</v>
      </c>
      <c r="H48" s="8" t="n">
        <v>700000</v>
      </c>
      <c r="I48" s="7" t="s">
        <v>77</v>
      </c>
      <c r="J48" s="9" t="n">
        <v>1600</v>
      </c>
      <c r="K48" s="7" t="n">
        <v>124</v>
      </c>
      <c r="L48" s="7" t="s">
        <v>78</v>
      </c>
      <c r="M48" s="7" t="s">
        <v>79</v>
      </c>
      <c r="N48" s="7" t="n">
        <v>7.8</v>
      </c>
      <c r="O48" s="7" t="n">
        <v>5</v>
      </c>
      <c r="P48" s="7" t="s">
        <v>80</v>
      </c>
      <c r="Q48" s="7" t="s">
        <v>80</v>
      </c>
      <c r="R48" s="7" t="s">
        <v>80</v>
      </c>
      <c r="S48" s="7" t="s">
        <v>80</v>
      </c>
      <c r="T48" s="7" t="s">
        <v>80</v>
      </c>
      <c r="U48" s="7" t="s">
        <v>144</v>
      </c>
      <c r="V48" s="7" t="s">
        <v>252</v>
      </c>
      <c r="W48" s="6" t="str">
        <f aca="false">IF(COUNTA(B48:V48)=0,"",IF(OR(B48="",C48="",D48="",F48="",G48="",H48="",I48="",L48="",M48=""),"ناقص",IF(AND(ISNUMBER(F48),ISNUMBER(H48)),"OK","السنة/السعر لازم أرقام")))</f>
        <v>OK</v>
      </c>
      <c r="X48" s="6" t="str">
        <f aca="false">IF(B48="","",B48&amp;" "&amp;C48&amp;" "&amp;D48&amp;" "&amp;E48&amp;" "&amp;F48&amp;" "&amp;G48&amp;" "&amp;I48&amp;" "&amp;L48&amp;" "&amp;M48&amp;" سعر "&amp;H48&amp;" جنيه "&amp;U48)</f>
        <v>Toyota تويوتا Corolla E150 كورولا E150 2013 مستعمل سيدان أوتوماتيك بنزين سعر 700000 جنيه تكييف، زجاج كهربائي، قفل مركزي، ABS، مرايات كهربائية، حساسات ركن خلفية</v>
      </c>
    </row>
    <row r="49" customFormat="false" ht="35.05" hidden="false" customHeight="false" outlineLevel="0" collapsed="false">
      <c r="A49" s="6" t="s">
        <v>260</v>
      </c>
      <c r="B49" s="7" t="s">
        <v>73</v>
      </c>
      <c r="C49" s="6" t="str">
        <f aca="false">IF(B49="","",IFERROR(INDEX(Lists!$K$2:$K$60,MATCH(B49,Lists!$J$2:$J$60,0)),""))</f>
        <v>تويوتا</v>
      </c>
      <c r="D49" s="7" t="s">
        <v>261</v>
      </c>
      <c r="E49" s="7" t="s">
        <v>262</v>
      </c>
      <c r="F49" s="7" t="n">
        <v>2017</v>
      </c>
      <c r="G49" s="7" t="s">
        <v>249</v>
      </c>
      <c r="H49" s="8" t="n">
        <v>900000</v>
      </c>
      <c r="I49" s="7" t="s">
        <v>77</v>
      </c>
      <c r="J49" s="9" t="n">
        <v>1600</v>
      </c>
      <c r="K49" s="7" t="n">
        <v>132</v>
      </c>
      <c r="L49" s="7" t="s">
        <v>230</v>
      </c>
      <c r="M49" s="7" t="s">
        <v>79</v>
      </c>
      <c r="N49" s="7" t="n">
        <v>7.2</v>
      </c>
      <c r="O49" s="7" t="n">
        <v>5</v>
      </c>
      <c r="P49" s="7" t="s">
        <v>80</v>
      </c>
      <c r="Q49" s="7" t="s">
        <v>80</v>
      </c>
      <c r="R49" s="7" t="s">
        <v>81</v>
      </c>
      <c r="S49" s="7" t="s">
        <v>80</v>
      </c>
      <c r="T49" s="7" t="s">
        <v>81</v>
      </c>
      <c r="U49" s="7" t="s">
        <v>144</v>
      </c>
      <c r="V49" s="7" t="s">
        <v>252</v>
      </c>
      <c r="W49" s="6" t="str">
        <f aca="false">IF(COUNTA(B49:V49)=0,"",IF(OR(B49="",C49="",D49="",F49="",G49="",H49="",I49="",L49="",M49=""),"ناقص",IF(AND(ISNUMBER(F49),ISNUMBER(H49)),"OK","السنة/السعر لازم أرقام")))</f>
        <v>OK</v>
      </c>
      <c r="X49" s="6" t="str">
        <f aca="false">IF(B49="","",B49&amp;" "&amp;C49&amp;" "&amp;D49&amp;" "&amp;E49&amp;" "&amp;F49&amp;" "&amp;G49&amp;" "&amp;I49&amp;" "&amp;L49&amp;" "&amp;M49&amp;" سعر "&amp;H49&amp;" جنيه "&amp;U49)</f>
        <v>Toyota تويوتا Corolla E170 كورولا E170 2017 مستعمل سيدان CVT بنزين سعر 900000 جنيه تكييف، زجاج كهربائي، قفل مركزي، ABS، مرايات كهربائية، حساسات ركن خلفية</v>
      </c>
    </row>
    <row r="50" customFormat="false" ht="35.05" hidden="false" customHeight="false" outlineLevel="0" collapsed="false">
      <c r="A50" s="6" t="s">
        <v>263</v>
      </c>
      <c r="B50" s="7" t="s">
        <v>73</v>
      </c>
      <c r="C50" s="6" t="str">
        <f aca="false">IF(B50="","",IFERROR(INDEX(Lists!$K$2:$K$60,MATCH(B50,Lists!$J$2:$J$60,0)),""))</f>
        <v>تويوتا</v>
      </c>
      <c r="D50" s="7" t="s">
        <v>264</v>
      </c>
      <c r="E50" s="7" t="s">
        <v>265</v>
      </c>
      <c r="F50" s="7" t="n">
        <v>2021</v>
      </c>
      <c r="G50" s="7" t="s">
        <v>249</v>
      </c>
      <c r="H50" s="8" t="n">
        <v>1050000</v>
      </c>
      <c r="I50" s="7" t="s">
        <v>77</v>
      </c>
      <c r="J50" s="9" t="n">
        <v>1600</v>
      </c>
      <c r="K50" s="7" t="n">
        <v>122</v>
      </c>
      <c r="L50" s="7" t="s">
        <v>230</v>
      </c>
      <c r="M50" s="7" t="s">
        <v>79</v>
      </c>
      <c r="N50" s="7" t="n">
        <v>6.8</v>
      </c>
      <c r="O50" s="7" t="n">
        <v>5</v>
      </c>
      <c r="P50" s="7" t="s">
        <v>81</v>
      </c>
      <c r="Q50" s="7" t="s">
        <v>81</v>
      </c>
      <c r="R50" s="7" t="s">
        <v>81</v>
      </c>
      <c r="S50" s="7" t="s">
        <v>81</v>
      </c>
      <c r="T50" s="7" t="s">
        <v>81</v>
      </c>
      <c r="U50" s="7" t="s">
        <v>148</v>
      </c>
      <c r="V50" s="7" t="s">
        <v>266</v>
      </c>
      <c r="W50" s="6" t="str">
        <f aca="false">IF(COUNTA(B50:V50)=0,"",IF(OR(B50="",C50="",D50="",F50="",G50="",H50="",I50="",L50="",M50=""),"ناقص",IF(AND(ISNUMBER(F50),ISNUMBER(H50)),"OK","السنة/السعر لازم أرقام")))</f>
        <v>OK</v>
      </c>
      <c r="X50" s="6" t="str">
        <f aca="false">IF(B50="","",B50&amp;" "&amp;C50&amp;" "&amp;D50&amp;" "&amp;E50&amp;" "&amp;F50&amp;" "&amp;G50&amp;" "&amp;I50&amp;" "&amp;L50&amp;" "&amp;M50&amp;" سعر "&amp;H50&amp;" جنيه "&amp;U50)</f>
        <v>Toyota تويوتا Corolla E210 كورولا E210 2021 مستعمل سيدان CVT بنزين سعر 1050000 جنيه تكييف، زجاج كهربائي، قفل مركزي، ABS، مرايات كهربائية، حساسات ركن خلفية، جنوط ألومنيوم، تحكم في الثبات ESP</v>
      </c>
    </row>
    <row r="51" customFormat="false" ht="35.05" hidden="false" customHeight="false" outlineLevel="0" collapsed="false">
      <c r="A51" s="6" t="s">
        <v>267</v>
      </c>
      <c r="B51" s="7" t="s">
        <v>73</v>
      </c>
      <c r="C51" s="6" t="str">
        <f aca="false">IF(B51="","",IFERROR(INDEX(Lists!$K$2:$K$60,MATCH(B51,Lists!$J$2:$J$60,0)),""))</f>
        <v>تويوتا</v>
      </c>
      <c r="D51" s="7" t="s">
        <v>268</v>
      </c>
      <c r="E51" s="7" t="s">
        <v>269</v>
      </c>
      <c r="F51" s="7" t="n">
        <v>2017</v>
      </c>
      <c r="G51" s="7" t="s">
        <v>249</v>
      </c>
      <c r="H51" s="8" t="n">
        <v>650000</v>
      </c>
      <c r="I51" s="7" t="s">
        <v>270</v>
      </c>
      <c r="J51" s="9" t="n">
        <v>1500</v>
      </c>
      <c r="K51" s="7" t="n">
        <v>107</v>
      </c>
      <c r="L51" s="7" t="s">
        <v>230</v>
      </c>
      <c r="M51" s="7" t="s">
        <v>79</v>
      </c>
      <c r="N51" s="7" t="n">
        <v>6.5</v>
      </c>
      <c r="O51" s="7" t="n">
        <v>5</v>
      </c>
      <c r="P51" s="7" t="s">
        <v>80</v>
      </c>
      <c r="Q51" s="7" t="s">
        <v>80</v>
      </c>
      <c r="R51" s="7" t="s">
        <v>81</v>
      </c>
      <c r="S51" s="7" t="s">
        <v>80</v>
      </c>
      <c r="T51" s="7" t="s">
        <v>81</v>
      </c>
      <c r="U51" s="7" t="s">
        <v>144</v>
      </c>
      <c r="V51" s="7" t="s">
        <v>266</v>
      </c>
      <c r="W51" s="6" t="str">
        <f aca="false">IF(COUNTA(B51:V51)=0,"",IF(OR(B51="",C51="",D51="",F51="",G51="",H51="",I51="",L51="",M51=""),"ناقص",IF(AND(ISNUMBER(F51),ISNUMBER(H51)),"OK","السنة/السعر لازم أرقام")))</f>
        <v>OK</v>
      </c>
      <c r="X51" s="6" t="str">
        <f aca="false">IF(B51="","",B51&amp;" "&amp;C51&amp;" "&amp;D51&amp;" "&amp;E51&amp;" "&amp;F51&amp;" "&amp;G51&amp;" "&amp;I51&amp;" "&amp;L51&amp;" "&amp;M51&amp;" سعر "&amp;H51&amp;" جنيه "&amp;U51)</f>
        <v>Toyota تويوتا Yaris XP150 يارس XP150 2017 مستعمل هاتشباك CVT بنزين سعر 650000 جنيه تكييف، زجاج كهربائي، قفل مركزي، ABS، مرايات كهربائية، حساسات ركن خلفية</v>
      </c>
    </row>
    <row r="52" customFormat="false" ht="35.05" hidden="false" customHeight="false" outlineLevel="0" collapsed="false">
      <c r="A52" s="6" t="s">
        <v>271</v>
      </c>
      <c r="B52" s="7" t="s">
        <v>73</v>
      </c>
      <c r="C52" s="6" t="str">
        <f aca="false">IF(B52="","",IFERROR(INDEX(Lists!$K$2:$K$60,MATCH(B52,Lists!$J$2:$J$60,0)),""))</f>
        <v>تويوتا</v>
      </c>
      <c r="D52" s="7" t="s">
        <v>272</v>
      </c>
      <c r="E52" s="7" t="s">
        <v>273</v>
      </c>
      <c r="F52" s="7" t="n">
        <v>2021</v>
      </c>
      <c r="G52" s="7" t="s">
        <v>249</v>
      </c>
      <c r="H52" s="8" t="n">
        <v>900000</v>
      </c>
      <c r="I52" s="7" t="s">
        <v>270</v>
      </c>
      <c r="J52" s="9" t="n">
        <v>1500</v>
      </c>
      <c r="K52" s="7" t="n">
        <v>106</v>
      </c>
      <c r="L52" s="7" t="s">
        <v>230</v>
      </c>
      <c r="M52" s="7" t="s">
        <v>79</v>
      </c>
      <c r="N52" s="7" t="n">
        <v>6.2</v>
      </c>
      <c r="O52" s="7" t="n">
        <v>5</v>
      </c>
      <c r="P52" s="7" t="s">
        <v>80</v>
      </c>
      <c r="Q52" s="7" t="s">
        <v>81</v>
      </c>
      <c r="R52" s="7" t="s">
        <v>81</v>
      </c>
      <c r="S52" s="7" t="s">
        <v>80</v>
      </c>
      <c r="T52" s="7" t="s">
        <v>81</v>
      </c>
      <c r="U52" s="7" t="s">
        <v>144</v>
      </c>
      <c r="V52" s="7" t="s">
        <v>266</v>
      </c>
      <c r="W52" s="6" t="str">
        <f aca="false">IF(COUNTA(B52:V52)=0,"",IF(OR(B52="",C52="",D52="",F52="",G52="",H52="",I52="",L52="",M52=""),"ناقص",IF(AND(ISNUMBER(F52),ISNUMBER(H52)),"OK","السنة/السعر لازم أرقام")))</f>
        <v>OK</v>
      </c>
      <c r="X52" s="6" t="str">
        <f aca="false">IF(B52="","",B52&amp;" "&amp;C52&amp;" "&amp;D52&amp;" "&amp;E52&amp;" "&amp;F52&amp;" "&amp;G52&amp;" "&amp;I52&amp;" "&amp;L52&amp;" "&amp;M52&amp;" سعر "&amp;H52&amp;" جنيه "&amp;U52)</f>
        <v>Toyota تويوتا Yaris XP210 يارس XP210 2021 مستعمل هاتشباك CVT بنزين سعر 900000 جنيه تكييف، زجاج كهربائي، قفل مركزي، ABS، مرايات كهربائية، حساسات ركن خلفية</v>
      </c>
    </row>
    <row r="53" customFormat="false" ht="35.05" hidden="false" customHeight="false" outlineLevel="0" collapsed="false">
      <c r="A53" s="6" t="s">
        <v>274</v>
      </c>
      <c r="B53" s="7" t="s">
        <v>73</v>
      </c>
      <c r="C53" s="6" t="str">
        <f aca="false">IF(B53="","",IFERROR(INDEX(Lists!$K$2:$K$60,MATCH(B53,Lists!$J$2:$J$60,0)),""))</f>
        <v>تويوتا</v>
      </c>
      <c r="D53" s="7" t="s">
        <v>275</v>
      </c>
      <c r="E53" s="7" t="s">
        <v>276</v>
      </c>
      <c r="F53" s="7" t="n">
        <v>2014</v>
      </c>
      <c r="G53" s="7" t="s">
        <v>249</v>
      </c>
      <c r="H53" s="8" t="n">
        <v>1000000</v>
      </c>
      <c r="I53" s="7" t="s">
        <v>77</v>
      </c>
      <c r="J53" s="9" t="n">
        <v>2500</v>
      </c>
      <c r="K53" s="7" t="n">
        <v>181</v>
      </c>
      <c r="L53" s="7" t="s">
        <v>78</v>
      </c>
      <c r="M53" s="7" t="s">
        <v>79</v>
      </c>
      <c r="N53" s="7" t="n">
        <v>8.8</v>
      </c>
      <c r="O53" s="7" t="n">
        <v>5</v>
      </c>
      <c r="P53" s="7" t="s">
        <v>81</v>
      </c>
      <c r="Q53" s="7" t="s">
        <v>80</v>
      </c>
      <c r="R53" s="7" t="s">
        <v>81</v>
      </c>
      <c r="S53" s="7" t="s">
        <v>81</v>
      </c>
      <c r="T53" s="7" t="s">
        <v>81</v>
      </c>
      <c r="U53" s="7" t="s">
        <v>148</v>
      </c>
      <c r="V53" s="7" t="s">
        <v>266</v>
      </c>
      <c r="W53" s="6" t="str">
        <f aca="false">IF(COUNTA(B53:V53)=0,"",IF(OR(B53="",C53="",D53="",F53="",G53="",H53="",I53="",L53="",M53=""),"ناقص",IF(AND(ISNUMBER(F53),ISNUMBER(H53)),"OK","السنة/السعر لازم أرقام")))</f>
        <v>OK</v>
      </c>
      <c r="X53" s="6" t="str">
        <f aca="false">IF(B53="","",B53&amp;" "&amp;C53&amp;" "&amp;D53&amp;" "&amp;E53&amp;" "&amp;F53&amp;" "&amp;G53&amp;" "&amp;I53&amp;" "&amp;L53&amp;" "&amp;M53&amp;" سعر "&amp;H53&amp;" جنيه "&amp;U53)</f>
        <v>Toyota تويوتا Camry XV50 كامري XV50 2014 مستعمل سيدان أوتوماتيك بنزين سعر 1000000 جنيه تكييف، زجاج كهربائي، قفل مركزي، ABS، مرايات كهربائية، حساسات ركن خلفية، جنوط ألومنيوم، تحكم في الثبات ESP</v>
      </c>
    </row>
    <row r="54" customFormat="false" ht="35.05" hidden="false" customHeight="false" outlineLevel="0" collapsed="false">
      <c r="A54" s="6" t="s">
        <v>277</v>
      </c>
      <c r="B54" s="7" t="s">
        <v>73</v>
      </c>
      <c r="C54" s="6" t="str">
        <f aca="false">IF(B54="","",IFERROR(INDEX(Lists!$K$2:$K$60,MATCH(B54,Lists!$J$2:$J$60,0)),""))</f>
        <v>تويوتا</v>
      </c>
      <c r="D54" s="7" t="s">
        <v>278</v>
      </c>
      <c r="E54" s="7" t="s">
        <v>279</v>
      </c>
      <c r="F54" s="7" t="n">
        <v>2019</v>
      </c>
      <c r="G54" s="7" t="s">
        <v>249</v>
      </c>
      <c r="H54" s="8" t="n">
        <v>1900000</v>
      </c>
      <c r="I54" s="7" t="s">
        <v>77</v>
      </c>
      <c r="J54" s="9" t="n">
        <v>2500</v>
      </c>
      <c r="K54" s="7" t="n">
        <v>203</v>
      </c>
      <c r="L54" s="7" t="s">
        <v>78</v>
      </c>
      <c r="M54" s="7" t="s">
        <v>79</v>
      </c>
      <c r="N54" s="7" t="n">
        <v>7.8</v>
      </c>
      <c r="O54" s="7" t="n">
        <v>5</v>
      </c>
      <c r="P54" s="7" t="s">
        <v>81</v>
      </c>
      <c r="Q54" s="7" t="s">
        <v>81</v>
      </c>
      <c r="R54" s="7" t="s">
        <v>81</v>
      </c>
      <c r="S54" s="7" t="s">
        <v>81</v>
      </c>
      <c r="T54" s="7" t="s">
        <v>81</v>
      </c>
      <c r="U54" s="7" t="s">
        <v>148</v>
      </c>
      <c r="V54" s="7" t="s">
        <v>266</v>
      </c>
      <c r="W54" s="6" t="str">
        <f aca="false">IF(COUNTA(B54:V54)=0,"",IF(OR(B54="",C54="",D54="",F54="",G54="",H54="",I54="",L54="",M54=""),"ناقص",IF(AND(ISNUMBER(F54),ISNUMBER(H54)),"OK","السنة/السعر لازم أرقام")))</f>
        <v>OK</v>
      </c>
      <c r="X54" s="6" t="str">
        <f aca="false">IF(B54="","",B54&amp;" "&amp;C54&amp;" "&amp;D54&amp;" "&amp;E54&amp;" "&amp;F54&amp;" "&amp;G54&amp;" "&amp;I54&amp;" "&amp;L54&amp;" "&amp;M54&amp;" سعر "&amp;H54&amp;" جنيه "&amp;U54)</f>
        <v>Toyota تويوتا Camry XV70 كامري XV70 2019 مستعمل سيدان أوتوماتيك بنزين سعر 1900000 جنيه تكييف، زجاج كهربائي، قفل مركزي، ABS، مرايات كهربائية، حساسات ركن خلفية، جنوط ألومنيوم، تحكم في الثبات ESP</v>
      </c>
    </row>
    <row r="55" customFormat="false" ht="35.05" hidden="false" customHeight="false" outlineLevel="0" collapsed="false">
      <c r="A55" s="6" t="s">
        <v>280</v>
      </c>
      <c r="B55" s="7" t="s">
        <v>73</v>
      </c>
      <c r="C55" s="6" t="str">
        <f aca="false">IF(B55="","",IFERROR(INDEX(Lists!$K$2:$K$60,MATCH(B55,Lists!$J$2:$J$60,0)),""))</f>
        <v>تويوتا</v>
      </c>
      <c r="D55" s="7" t="s">
        <v>281</v>
      </c>
      <c r="E55" s="7" t="s">
        <v>282</v>
      </c>
      <c r="F55" s="7" t="n">
        <v>2010</v>
      </c>
      <c r="G55" s="7" t="s">
        <v>249</v>
      </c>
      <c r="H55" s="8" t="n">
        <v>700000</v>
      </c>
      <c r="I55" s="7" t="s">
        <v>113</v>
      </c>
      <c r="J55" s="9" t="n">
        <v>2400</v>
      </c>
      <c r="K55" s="7" t="n">
        <v>170</v>
      </c>
      <c r="L55" s="7" t="s">
        <v>78</v>
      </c>
      <c r="M55" s="7" t="s">
        <v>79</v>
      </c>
      <c r="N55" s="7" t="n">
        <v>9.5</v>
      </c>
      <c r="O55" s="7" t="n">
        <v>5</v>
      </c>
      <c r="P55" s="7" t="s">
        <v>80</v>
      </c>
      <c r="Q55" s="7" t="s">
        <v>80</v>
      </c>
      <c r="R55" s="7" t="s">
        <v>80</v>
      </c>
      <c r="S55" s="7" t="s">
        <v>80</v>
      </c>
      <c r="T55" s="7" t="s">
        <v>80</v>
      </c>
      <c r="U55" s="7" t="s">
        <v>256</v>
      </c>
      <c r="V55" s="7" t="s">
        <v>266</v>
      </c>
      <c r="W55" s="6" t="str">
        <f aca="false">IF(COUNTA(B55:V55)=0,"",IF(OR(B55="",C55="",D55="",F55="",G55="",H55="",I55="",L55="",M55=""),"ناقص",IF(AND(ISNUMBER(F55),ISNUMBER(H55)),"OK","السنة/السعر لازم أرقام")))</f>
        <v>OK</v>
      </c>
      <c r="X55" s="6" t="str">
        <f aca="false">IF(B55="","",B55&amp;" "&amp;C55&amp;" "&amp;D55&amp;" "&amp;E55&amp;" "&amp;F55&amp;" "&amp;G55&amp;" "&amp;I55&amp;" "&amp;L55&amp;" "&amp;M55&amp;" سعر "&amp;H55&amp;" جنيه "&amp;U55)</f>
        <v>Toyota تويوتا RAV4 XA30 راف فور XA30 2010 مستعمل SUV أوتوماتيك بنزين سعر 700000 جنيه تكييف، زجاج كهربائي، قفل مركزي، ABS</v>
      </c>
    </row>
    <row r="56" customFormat="false" ht="35.05" hidden="false" customHeight="false" outlineLevel="0" collapsed="false">
      <c r="A56" s="6" t="s">
        <v>283</v>
      </c>
      <c r="B56" s="7" t="s">
        <v>73</v>
      </c>
      <c r="C56" s="6" t="str">
        <f aca="false">IF(B56="","",IFERROR(INDEX(Lists!$K$2:$K$60,MATCH(B56,Lists!$J$2:$J$60,0)),""))</f>
        <v>تويوتا</v>
      </c>
      <c r="D56" s="7" t="s">
        <v>284</v>
      </c>
      <c r="E56" s="7" t="s">
        <v>285</v>
      </c>
      <c r="F56" s="7" t="n">
        <v>2015</v>
      </c>
      <c r="G56" s="7" t="s">
        <v>249</v>
      </c>
      <c r="H56" s="8" t="n">
        <v>1200000</v>
      </c>
      <c r="I56" s="7" t="s">
        <v>113</v>
      </c>
      <c r="J56" s="9" t="n">
        <v>2500</v>
      </c>
      <c r="K56" s="7" t="n">
        <v>176</v>
      </c>
      <c r="L56" s="7" t="s">
        <v>78</v>
      </c>
      <c r="M56" s="7" t="s">
        <v>79</v>
      </c>
      <c r="N56" s="7" t="n">
        <v>9</v>
      </c>
      <c r="O56" s="7" t="n">
        <v>5</v>
      </c>
      <c r="P56" s="7" t="s">
        <v>81</v>
      </c>
      <c r="Q56" s="7" t="s">
        <v>81</v>
      </c>
      <c r="R56" s="7" t="s">
        <v>81</v>
      </c>
      <c r="S56" s="7" t="s">
        <v>81</v>
      </c>
      <c r="T56" s="7" t="s">
        <v>81</v>
      </c>
      <c r="U56" s="7" t="s">
        <v>148</v>
      </c>
      <c r="V56" s="7" t="s">
        <v>266</v>
      </c>
      <c r="W56" s="6" t="str">
        <f aca="false">IF(COUNTA(B56:V56)=0,"",IF(OR(B56="",C56="",D56="",F56="",G56="",H56="",I56="",L56="",M56=""),"ناقص",IF(AND(ISNUMBER(F56),ISNUMBER(H56)),"OK","السنة/السعر لازم أرقام")))</f>
        <v>OK</v>
      </c>
      <c r="X56" s="6" t="str">
        <f aca="false">IF(B56="","",B56&amp;" "&amp;C56&amp;" "&amp;D56&amp;" "&amp;E56&amp;" "&amp;F56&amp;" "&amp;G56&amp;" "&amp;I56&amp;" "&amp;L56&amp;" "&amp;M56&amp;" سعر "&amp;H56&amp;" جنيه "&amp;U56)</f>
        <v>Toyota تويوتا RAV4 XA40 راف فور XA40 2015 مستعمل SUV أوتوماتيك بنزين سعر 1200000 جنيه تكييف، زجاج كهربائي، قفل مركزي، ABS، مرايات كهربائية، حساسات ركن خلفية، جنوط ألومنيوم، تحكم في الثبات ESP</v>
      </c>
    </row>
    <row r="57" customFormat="false" ht="35.05" hidden="false" customHeight="false" outlineLevel="0" collapsed="false">
      <c r="A57" s="6" t="s">
        <v>286</v>
      </c>
      <c r="B57" s="7" t="s">
        <v>73</v>
      </c>
      <c r="C57" s="6" t="str">
        <f aca="false">IF(B57="","",IFERROR(INDEX(Lists!$K$2:$K$60,MATCH(B57,Lists!$J$2:$J$60,0)),""))</f>
        <v>تويوتا</v>
      </c>
      <c r="D57" s="7" t="s">
        <v>287</v>
      </c>
      <c r="E57" s="7" t="s">
        <v>288</v>
      </c>
      <c r="F57" s="7" t="n">
        <v>2020</v>
      </c>
      <c r="G57" s="7" t="s">
        <v>249</v>
      </c>
      <c r="H57" s="8" t="n">
        <v>2100000</v>
      </c>
      <c r="I57" s="7" t="s">
        <v>113</v>
      </c>
      <c r="J57" s="9" t="n">
        <v>2000</v>
      </c>
      <c r="K57" s="7" t="n">
        <v>171</v>
      </c>
      <c r="L57" s="7" t="s">
        <v>230</v>
      </c>
      <c r="M57" s="7" t="s">
        <v>79</v>
      </c>
      <c r="N57" s="7" t="n">
        <v>7.8</v>
      </c>
      <c r="O57" s="7" t="n">
        <v>5</v>
      </c>
      <c r="P57" s="7" t="s">
        <v>81</v>
      </c>
      <c r="Q57" s="7" t="s">
        <v>81</v>
      </c>
      <c r="R57" s="7" t="s">
        <v>81</v>
      </c>
      <c r="S57" s="7" t="s">
        <v>81</v>
      </c>
      <c r="T57" s="7" t="s">
        <v>81</v>
      </c>
      <c r="U57" s="7" t="s">
        <v>148</v>
      </c>
      <c r="V57" s="7" t="s">
        <v>266</v>
      </c>
      <c r="W57" s="6" t="str">
        <f aca="false">IF(COUNTA(B57:V57)=0,"",IF(OR(B57="",C57="",D57="",F57="",G57="",H57="",I57="",L57="",M57=""),"ناقص",IF(AND(ISNUMBER(F57),ISNUMBER(H57)),"OK","السنة/السعر لازم أرقام")))</f>
        <v>OK</v>
      </c>
      <c r="X57" s="6" t="str">
        <f aca="false">IF(B57="","",B57&amp;" "&amp;C57&amp;" "&amp;D57&amp;" "&amp;E57&amp;" "&amp;F57&amp;" "&amp;G57&amp;" "&amp;I57&amp;" "&amp;L57&amp;" "&amp;M57&amp;" سعر "&amp;H57&amp;" جنيه "&amp;U57)</f>
        <v>Toyota تويوتا RAV4 XA50 راف فور XA50 2020 مستعمل SUV CVT بنزين سعر 2100000 جنيه تكييف، زجاج كهربائي، قفل مركزي، ABS، مرايات كهربائية، حساسات ركن خلفية، جنوط ألومنيوم، تحكم في الثبات ESP</v>
      </c>
    </row>
    <row r="58" customFormat="false" ht="46.25" hidden="false" customHeight="false" outlineLevel="0" collapsed="false">
      <c r="A58" s="6" t="s">
        <v>289</v>
      </c>
      <c r="B58" s="7" t="s">
        <v>73</v>
      </c>
      <c r="C58" s="6" t="str">
        <f aca="false">IF(B58="","",IFERROR(INDEX(Lists!$K$2:$K$60,MATCH(B58,Lists!$J$2:$J$60,0)),""))</f>
        <v>تويوتا</v>
      </c>
      <c r="D58" s="7" t="s">
        <v>290</v>
      </c>
      <c r="E58" s="7" t="s">
        <v>291</v>
      </c>
      <c r="F58" s="7" t="n">
        <v>2018</v>
      </c>
      <c r="G58" s="7" t="s">
        <v>249</v>
      </c>
      <c r="H58" s="8" t="n">
        <v>2400000</v>
      </c>
      <c r="I58" s="7" t="s">
        <v>113</v>
      </c>
      <c r="J58" s="9" t="n">
        <v>2700</v>
      </c>
      <c r="K58" s="7" t="n">
        <v>164</v>
      </c>
      <c r="L58" s="7" t="s">
        <v>78</v>
      </c>
      <c r="M58" s="7" t="s">
        <v>79</v>
      </c>
      <c r="N58" s="7" t="n">
        <v>11</v>
      </c>
      <c r="O58" s="7" t="n">
        <v>7</v>
      </c>
      <c r="P58" s="7" t="s">
        <v>81</v>
      </c>
      <c r="Q58" s="7" t="s">
        <v>81</v>
      </c>
      <c r="R58" s="7" t="s">
        <v>81</v>
      </c>
      <c r="S58" s="7" t="s">
        <v>81</v>
      </c>
      <c r="T58" s="7" t="s">
        <v>81</v>
      </c>
      <c r="U58" s="7" t="s">
        <v>148</v>
      </c>
      <c r="V58" s="7" t="s">
        <v>266</v>
      </c>
      <c r="W58" s="6" t="str">
        <f aca="false">IF(COUNTA(B58:V58)=0,"",IF(OR(B58="",C58="",D58="",F58="",G58="",H58="",I58="",L58="",M58=""),"ناقص",IF(AND(ISNUMBER(F58),ISNUMBER(H58)),"OK","السنة/السعر لازم أرقام")))</f>
        <v>OK</v>
      </c>
      <c r="X58" s="6" t="str">
        <f aca="false">IF(B58="","",B58&amp;" "&amp;C58&amp;" "&amp;D58&amp;" "&amp;E58&amp;" "&amp;F58&amp;" "&amp;G58&amp;" "&amp;I58&amp;" "&amp;L58&amp;" "&amp;M58&amp;" سعر "&amp;H58&amp;" جنيه "&amp;U58)</f>
        <v>Toyota تويوتا Fortuner AN160 فورتشنر AN160 2018 مستعمل SUV أوتوماتيك بنزين سعر 2400000 جنيه تكييف، زجاج كهربائي، قفل مركزي، ABS، مرايات كهربائية، حساسات ركن خلفية، جنوط ألومنيوم، تحكم في الثبات ESP</v>
      </c>
    </row>
    <row r="59" customFormat="false" ht="35.05" hidden="false" customHeight="false" outlineLevel="0" collapsed="false">
      <c r="A59" s="6" t="s">
        <v>292</v>
      </c>
      <c r="B59" s="7" t="s">
        <v>73</v>
      </c>
      <c r="C59" s="6" t="str">
        <f aca="false">IF(B59="","",IFERROR(INDEX(Lists!$K$2:$K$60,MATCH(B59,Lists!$J$2:$J$60,0)),""))</f>
        <v>تويوتا</v>
      </c>
      <c r="D59" s="7" t="s">
        <v>293</v>
      </c>
      <c r="E59" s="7" t="s">
        <v>294</v>
      </c>
      <c r="F59" s="7" t="n">
        <v>2017</v>
      </c>
      <c r="G59" s="7" t="s">
        <v>249</v>
      </c>
      <c r="H59" s="8" t="n">
        <v>1600000</v>
      </c>
      <c r="I59" s="7" t="s">
        <v>295</v>
      </c>
      <c r="J59" s="9" t="n">
        <v>2700</v>
      </c>
      <c r="K59" s="7" t="n">
        <v>164</v>
      </c>
      <c r="L59" s="7" t="s">
        <v>78</v>
      </c>
      <c r="M59" s="7" t="s">
        <v>79</v>
      </c>
      <c r="N59" s="7" t="n">
        <v>10.5</v>
      </c>
      <c r="O59" s="7" t="n">
        <v>5</v>
      </c>
      <c r="P59" s="7" t="s">
        <v>80</v>
      </c>
      <c r="Q59" s="7" t="s">
        <v>80</v>
      </c>
      <c r="R59" s="7" t="s">
        <v>81</v>
      </c>
      <c r="S59" s="7" t="s">
        <v>80</v>
      </c>
      <c r="T59" s="7" t="s">
        <v>81</v>
      </c>
      <c r="U59" s="7" t="s">
        <v>144</v>
      </c>
      <c r="V59" s="7" t="s">
        <v>266</v>
      </c>
      <c r="W59" s="6" t="str">
        <f aca="false">IF(COUNTA(B59:V59)=0,"",IF(OR(B59="",C59="",D59="",F59="",G59="",H59="",I59="",L59="",M59=""),"ناقص",IF(AND(ISNUMBER(F59),ISNUMBER(H59)),"OK","السنة/السعر لازم أرقام")))</f>
        <v>OK</v>
      </c>
      <c r="X59" s="6" t="str">
        <f aca="false">IF(B59="","",B59&amp;" "&amp;C59&amp;" "&amp;D59&amp;" "&amp;E59&amp;" "&amp;F59&amp;" "&amp;G59&amp;" "&amp;I59&amp;" "&amp;L59&amp;" "&amp;M59&amp;" سعر "&amp;H59&amp;" جنيه "&amp;U59)</f>
        <v>Toyota تويوتا Hilux AN120 هايلكس AN120 2017 مستعمل بيك أب أوتوماتيك بنزين سعر 1600000 جنيه تكييف، زجاج كهربائي، قفل مركزي، ABS، مرايات كهربائية، حساسات ركن خلفية</v>
      </c>
    </row>
    <row r="60" customFormat="false" ht="46.25" hidden="false" customHeight="false" outlineLevel="0" collapsed="false">
      <c r="A60" s="6" t="s">
        <v>296</v>
      </c>
      <c r="B60" s="7" t="s">
        <v>73</v>
      </c>
      <c r="C60" s="6" t="str">
        <f aca="false">IF(B60="","",IFERROR(INDEX(Lists!$K$2:$K$60,MATCH(B60,Lists!$J$2:$J$60,0)),""))</f>
        <v>تويوتا</v>
      </c>
      <c r="D60" s="7" t="s">
        <v>297</v>
      </c>
      <c r="E60" s="7" t="s">
        <v>298</v>
      </c>
      <c r="F60" s="7" t="n">
        <v>2016</v>
      </c>
      <c r="G60" s="7" t="s">
        <v>249</v>
      </c>
      <c r="H60" s="8" t="n">
        <v>4500000</v>
      </c>
      <c r="I60" s="7" t="s">
        <v>113</v>
      </c>
      <c r="J60" s="9" t="n">
        <v>4000</v>
      </c>
      <c r="K60" s="7" t="n">
        <v>276</v>
      </c>
      <c r="L60" s="7" t="s">
        <v>78</v>
      </c>
      <c r="M60" s="7" t="s">
        <v>79</v>
      </c>
      <c r="N60" s="7" t="n">
        <v>14</v>
      </c>
      <c r="O60" s="7" t="n">
        <v>7</v>
      </c>
      <c r="P60" s="7" t="s">
        <v>81</v>
      </c>
      <c r="Q60" s="7" t="s">
        <v>81</v>
      </c>
      <c r="R60" s="7" t="s">
        <v>81</v>
      </c>
      <c r="S60" s="7" t="s">
        <v>81</v>
      </c>
      <c r="T60" s="7" t="s">
        <v>81</v>
      </c>
      <c r="U60" s="7" t="s">
        <v>299</v>
      </c>
      <c r="V60" s="7" t="s">
        <v>266</v>
      </c>
      <c r="W60" s="6" t="str">
        <f aca="false">IF(COUNTA(B60:V60)=0,"",IF(OR(B60="",C60="",D60="",F60="",G60="",H60="",I60="",L60="",M60=""),"ناقص",IF(AND(ISNUMBER(F60),ISNUMBER(H60)),"OK","السنة/السعر لازم أرقام")))</f>
        <v>OK</v>
      </c>
      <c r="X60" s="6" t="str">
        <f aca="false">IF(B60="","",B60&amp;" "&amp;C60&amp;" "&amp;D60&amp;" "&amp;E60&amp;" "&amp;F60&amp;" "&amp;G60&amp;" "&amp;I60&amp;" "&amp;L60&amp;" "&amp;M60&amp;" سعر "&amp;H60&amp;" جنيه "&amp;U60)</f>
        <v>Toyota تويوتا Land Cruiser Prado J150 لاند كروزر برادو J150 2016 مستعمل SUV أوتوماتيك بنزين سعر 4500000 جنيه تكييف، زجاج كهربائي، قفل مركزي، ABS، مرايات كهربائية، حساسات ركن خلفية، جنوط ألومنيوم، تحكم في الثبات ESP، مقاعد كهربائية، إضاءة LED</v>
      </c>
    </row>
    <row r="61" customFormat="false" ht="35.05" hidden="false" customHeight="false" outlineLevel="0" collapsed="false">
      <c r="A61" s="6" t="s">
        <v>300</v>
      </c>
      <c r="B61" s="7" t="s">
        <v>73</v>
      </c>
      <c r="C61" s="6" t="str">
        <f aca="false">IF(B61="","",IFERROR(INDEX(Lists!$K$2:$K$60,MATCH(B61,Lists!$J$2:$J$60,0)),""))</f>
        <v>تويوتا</v>
      </c>
      <c r="D61" s="7" t="s">
        <v>301</v>
      </c>
      <c r="E61" s="7" t="s">
        <v>302</v>
      </c>
      <c r="F61" s="7" t="n">
        <v>2023</v>
      </c>
      <c r="G61" s="7" t="s">
        <v>249</v>
      </c>
      <c r="H61" s="8" t="n">
        <v>1800000</v>
      </c>
      <c r="I61" s="7" t="s">
        <v>105</v>
      </c>
      <c r="J61" s="9" t="n">
        <v>1800</v>
      </c>
      <c r="K61" s="7" t="n">
        <v>140</v>
      </c>
      <c r="L61" s="7" t="s">
        <v>230</v>
      </c>
      <c r="M61" s="7" t="s">
        <v>79</v>
      </c>
      <c r="N61" s="7" t="n">
        <v>7</v>
      </c>
      <c r="O61" s="7" t="n">
        <v>5</v>
      </c>
      <c r="P61" s="7" t="s">
        <v>81</v>
      </c>
      <c r="Q61" s="7" t="s">
        <v>81</v>
      </c>
      <c r="R61" s="7" t="s">
        <v>81</v>
      </c>
      <c r="S61" s="7" t="s">
        <v>81</v>
      </c>
      <c r="T61" s="7" t="s">
        <v>81</v>
      </c>
      <c r="U61" s="7" t="s">
        <v>148</v>
      </c>
      <c r="V61" s="7" t="s">
        <v>266</v>
      </c>
      <c r="W61" s="6" t="str">
        <f aca="false">IF(COUNTA(B61:V61)=0,"",IF(OR(B61="",C61="",D61="",F61="",G61="",H61="",I61="",L61="",M61=""),"ناقص",IF(AND(ISNUMBER(F61),ISNUMBER(H61)),"OK","السنة/السعر لازم أرقام")))</f>
        <v>OK</v>
      </c>
      <c r="X61" s="6" t="str">
        <f aca="false">IF(B61="","",B61&amp;" "&amp;C61&amp;" "&amp;D61&amp;" "&amp;E61&amp;" "&amp;F61&amp;" "&amp;G61&amp;" "&amp;I61&amp;" "&amp;L61&amp;" "&amp;M61&amp;" سعر "&amp;H61&amp;" جنيه "&amp;U61)</f>
        <v>Toyota تويوتا Corolla Cross كورولا كروس 2023 مستعمل كروس أوفر CVT بنزين سعر 1800000 جنيه تكييف، زجاج كهربائي، قفل مركزي، ABS، مرايات كهربائية، حساسات ركن خلفية، جنوط ألومنيوم، تحكم في الثبات ESP</v>
      </c>
    </row>
    <row r="62" customFormat="false" ht="35.05" hidden="false" customHeight="false" outlineLevel="0" collapsed="false">
      <c r="A62" s="6" t="s">
        <v>303</v>
      </c>
      <c r="B62" s="7" t="s">
        <v>94</v>
      </c>
      <c r="C62" s="6" t="str">
        <f aca="false">IF(B62="","",IFERROR(INDEX(Lists!$K$2:$K$60,MATCH(B62,Lists!$J$2:$J$60,0)),""))</f>
        <v>هيونداي</v>
      </c>
      <c r="D62" s="7" t="s">
        <v>304</v>
      </c>
      <c r="E62" s="7" t="s">
        <v>305</v>
      </c>
      <c r="F62" s="7" t="n">
        <v>2014</v>
      </c>
      <c r="G62" s="7" t="s">
        <v>249</v>
      </c>
      <c r="H62" s="8" t="n">
        <v>460000</v>
      </c>
      <c r="I62" s="7" t="s">
        <v>77</v>
      </c>
      <c r="J62" s="9" t="n">
        <v>1600</v>
      </c>
      <c r="K62" s="7" t="n">
        <v>123</v>
      </c>
      <c r="L62" s="7" t="s">
        <v>78</v>
      </c>
      <c r="M62" s="7" t="s">
        <v>79</v>
      </c>
      <c r="N62" s="7" t="n">
        <v>7.5</v>
      </c>
      <c r="O62" s="7" t="n">
        <v>5</v>
      </c>
      <c r="P62" s="7" t="s">
        <v>80</v>
      </c>
      <c r="Q62" s="7" t="s">
        <v>80</v>
      </c>
      <c r="R62" s="7" t="s">
        <v>80</v>
      </c>
      <c r="S62" s="7" t="s">
        <v>80</v>
      </c>
      <c r="T62" s="7" t="s">
        <v>80</v>
      </c>
      <c r="U62" s="7" t="s">
        <v>256</v>
      </c>
      <c r="V62" s="7" t="s">
        <v>266</v>
      </c>
      <c r="W62" s="6" t="str">
        <f aca="false">IF(COUNTA(B62:V62)=0,"",IF(OR(B62="",C62="",D62="",F62="",G62="",H62="",I62="",L62="",M62=""),"ناقص",IF(AND(ISNUMBER(F62),ISNUMBER(H62)),"OK","السنة/السعر لازم أرقام")))</f>
        <v>OK</v>
      </c>
      <c r="X62" s="6" t="str">
        <f aca="false">IF(B62="","",B62&amp;" "&amp;C62&amp;" "&amp;D62&amp;" "&amp;E62&amp;" "&amp;F62&amp;" "&amp;G62&amp;" "&amp;I62&amp;" "&amp;L62&amp;" "&amp;M62&amp;" سعر "&amp;H62&amp;" جنيه "&amp;U62)</f>
        <v>Hyundai هيونداي Accent RB أكسنت RB 2014 مستعمل سيدان أوتوماتيك بنزين سعر 460000 جنيه تكييف، زجاج كهربائي، قفل مركزي، ABS</v>
      </c>
    </row>
    <row r="63" customFormat="false" ht="35.05" hidden="false" customHeight="false" outlineLevel="0" collapsed="false">
      <c r="A63" s="6" t="s">
        <v>306</v>
      </c>
      <c r="B63" s="7" t="s">
        <v>94</v>
      </c>
      <c r="C63" s="6" t="str">
        <f aca="false">IF(B63="","",IFERROR(INDEX(Lists!$K$2:$K$60,MATCH(B63,Lists!$J$2:$J$60,0)),""))</f>
        <v>هيونداي</v>
      </c>
      <c r="D63" s="7" t="s">
        <v>307</v>
      </c>
      <c r="E63" s="7" t="s">
        <v>308</v>
      </c>
      <c r="F63" s="7" t="n">
        <v>2017</v>
      </c>
      <c r="G63" s="7" t="s">
        <v>249</v>
      </c>
      <c r="H63" s="8" t="n">
        <v>560000</v>
      </c>
      <c r="I63" s="7" t="s">
        <v>77</v>
      </c>
      <c r="J63" s="9" t="n">
        <v>1600</v>
      </c>
      <c r="K63" s="7" t="n">
        <v>123</v>
      </c>
      <c r="L63" s="7" t="s">
        <v>78</v>
      </c>
      <c r="M63" s="7" t="s">
        <v>79</v>
      </c>
      <c r="N63" s="7" t="n">
        <v>7.3</v>
      </c>
      <c r="O63" s="7" t="n">
        <v>5</v>
      </c>
      <c r="P63" s="7" t="s">
        <v>80</v>
      </c>
      <c r="Q63" s="7" t="s">
        <v>80</v>
      </c>
      <c r="R63" s="7" t="s">
        <v>81</v>
      </c>
      <c r="S63" s="7" t="s">
        <v>80</v>
      </c>
      <c r="T63" s="7" t="s">
        <v>81</v>
      </c>
      <c r="U63" s="7" t="s">
        <v>144</v>
      </c>
      <c r="V63" s="7" t="s">
        <v>266</v>
      </c>
      <c r="W63" s="6" t="str">
        <f aca="false">IF(COUNTA(B63:V63)=0,"",IF(OR(B63="",C63="",D63="",F63="",G63="",H63="",I63="",L63="",M63=""),"ناقص",IF(AND(ISNUMBER(F63),ISNUMBER(H63)),"OK","السنة/السعر لازم أرقام")))</f>
        <v>OK</v>
      </c>
      <c r="X63" s="6" t="str">
        <f aca="false">IF(B63="","",B63&amp;" "&amp;C63&amp;" "&amp;D63&amp;" "&amp;E63&amp;" "&amp;F63&amp;" "&amp;G63&amp;" "&amp;I63&amp;" "&amp;L63&amp;" "&amp;M63&amp;" سعر "&amp;H63&amp;" جنيه "&amp;U63)</f>
        <v>Hyundai هيونداي Accent RB Facelift أكسنت RB فيس ليفت 2017 مستعمل سيدان أوتوماتيك بنزين سعر 560000 جنيه تكييف، زجاج كهربائي، قفل مركزي، ABS، مرايات كهربائية، حساسات ركن خلفية</v>
      </c>
    </row>
    <row r="64" customFormat="false" ht="35.05" hidden="false" customHeight="false" outlineLevel="0" collapsed="false">
      <c r="A64" s="6" t="s">
        <v>309</v>
      </c>
      <c r="B64" s="7" t="s">
        <v>94</v>
      </c>
      <c r="C64" s="6" t="str">
        <f aca="false">IF(B64="","",IFERROR(INDEX(Lists!$K$2:$K$60,MATCH(B64,Lists!$J$2:$J$60,0)),""))</f>
        <v>هيونداي</v>
      </c>
      <c r="D64" s="7" t="s">
        <v>310</v>
      </c>
      <c r="E64" s="7" t="s">
        <v>311</v>
      </c>
      <c r="F64" s="7" t="n">
        <v>2020</v>
      </c>
      <c r="G64" s="7" t="s">
        <v>249</v>
      </c>
      <c r="H64" s="8" t="n">
        <v>750000</v>
      </c>
      <c r="I64" s="7" t="s">
        <v>77</v>
      </c>
      <c r="J64" s="9" t="n">
        <v>1600</v>
      </c>
      <c r="K64" s="7" t="n">
        <v>123</v>
      </c>
      <c r="L64" s="7" t="s">
        <v>78</v>
      </c>
      <c r="M64" s="7" t="s">
        <v>79</v>
      </c>
      <c r="N64" s="7" t="n">
        <v>7</v>
      </c>
      <c r="O64" s="7" t="n">
        <v>5</v>
      </c>
      <c r="P64" s="7" t="s">
        <v>80</v>
      </c>
      <c r="Q64" s="7" t="s">
        <v>81</v>
      </c>
      <c r="R64" s="7" t="s">
        <v>81</v>
      </c>
      <c r="S64" s="7" t="s">
        <v>80</v>
      </c>
      <c r="T64" s="7" t="s">
        <v>81</v>
      </c>
      <c r="U64" s="7" t="s">
        <v>144</v>
      </c>
      <c r="V64" s="7" t="s">
        <v>266</v>
      </c>
      <c r="W64" s="6" t="str">
        <f aca="false">IF(COUNTA(B64:V64)=0,"",IF(OR(B64="",C64="",D64="",F64="",G64="",H64="",I64="",L64="",M64=""),"ناقص",IF(AND(ISNUMBER(F64),ISNUMBER(H64)),"OK","السنة/السعر لازم أرقام")))</f>
        <v>OK</v>
      </c>
      <c r="X64" s="6" t="str">
        <f aca="false">IF(B64="","",B64&amp;" "&amp;C64&amp;" "&amp;D64&amp;" "&amp;E64&amp;" "&amp;F64&amp;" "&amp;G64&amp;" "&amp;I64&amp;" "&amp;L64&amp;" "&amp;M64&amp;" سعر "&amp;H64&amp;" جنيه "&amp;U64)</f>
        <v>Hyundai هيونداي Accent HC أكسنت HC 2020 مستعمل سيدان أوتوماتيك بنزين سعر 750000 جنيه تكييف، زجاج كهربائي، قفل مركزي، ABS، مرايات كهربائية، حساسات ركن خلفية</v>
      </c>
    </row>
    <row r="65" customFormat="false" ht="23.85" hidden="false" customHeight="false" outlineLevel="0" collapsed="false">
      <c r="A65" s="6" t="s">
        <v>312</v>
      </c>
      <c r="B65" s="7" t="s">
        <v>94</v>
      </c>
      <c r="C65" s="6" t="str">
        <f aca="false">IF(B65="","",IFERROR(INDEX(Lists!$K$2:$K$60,MATCH(B65,Lists!$J$2:$J$60,0)),""))</f>
        <v>هيونداي</v>
      </c>
      <c r="D65" s="7" t="s">
        <v>313</v>
      </c>
      <c r="E65" s="7" t="s">
        <v>314</v>
      </c>
      <c r="F65" s="7" t="n">
        <v>2010</v>
      </c>
      <c r="G65" s="7" t="s">
        <v>249</v>
      </c>
      <c r="H65" s="8" t="n">
        <v>230000</v>
      </c>
      <c r="I65" s="7" t="s">
        <v>77</v>
      </c>
      <c r="J65" s="9" t="n">
        <v>1400</v>
      </c>
      <c r="K65" s="7" t="n">
        <v>97</v>
      </c>
      <c r="L65" s="7" t="s">
        <v>250</v>
      </c>
      <c r="M65" s="7" t="s">
        <v>79</v>
      </c>
      <c r="N65" s="7" t="n">
        <v>7.5</v>
      </c>
      <c r="O65" s="7" t="n">
        <v>5</v>
      </c>
      <c r="P65" s="7" t="s">
        <v>80</v>
      </c>
      <c r="Q65" s="7" t="s">
        <v>80</v>
      </c>
      <c r="R65" s="7" t="s">
        <v>80</v>
      </c>
      <c r="S65" s="7" t="s">
        <v>80</v>
      </c>
      <c r="T65" s="7" t="s">
        <v>80</v>
      </c>
      <c r="U65" s="7" t="s">
        <v>256</v>
      </c>
      <c r="V65" s="7" t="s">
        <v>252</v>
      </c>
      <c r="W65" s="6" t="str">
        <f aca="false">IF(COUNTA(B65:V65)=0,"",IF(OR(B65="",C65="",D65="",F65="",G65="",H65="",I65="",L65="",M65=""),"ناقص",IF(AND(ISNUMBER(F65),ISNUMBER(H65)),"OK","السنة/السعر لازم أرقام")))</f>
        <v>OK</v>
      </c>
      <c r="X65" s="6" t="str">
        <f aca="false">IF(B65="","",B65&amp;" "&amp;C65&amp;" "&amp;D65&amp;" "&amp;E65&amp;" "&amp;F65&amp;" "&amp;G65&amp;" "&amp;I65&amp;" "&amp;L65&amp;" "&amp;M65&amp;" سعر "&amp;H65&amp;" جنيه "&amp;U65)</f>
        <v>Hyundai هيونداي Verna MC فيرنا MC 2010 مستعمل سيدان مانيوال بنزين سعر 230000 جنيه تكييف، زجاج كهربائي، قفل مركزي، ABS</v>
      </c>
    </row>
    <row r="66" customFormat="false" ht="35.05" hidden="false" customHeight="false" outlineLevel="0" collapsed="false">
      <c r="A66" s="6" t="s">
        <v>315</v>
      </c>
      <c r="B66" s="7" t="s">
        <v>94</v>
      </c>
      <c r="C66" s="6" t="str">
        <f aca="false">IF(B66="","",IFERROR(INDEX(Lists!$K$2:$K$60,MATCH(B66,Lists!$J$2:$J$60,0)),""))</f>
        <v>هيونداي</v>
      </c>
      <c r="D66" s="7" t="s">
        <v>316</v>
      </c>
      <c r="E66" s="7" t="s">
        <v>317</v>
      </c>
      <c r="F66" s="7" t="n">
        <v>2013</v>
      </c>
      <c r="G66" s="7" t="s">
        <v>249</v>
      </c>
      <c r="H66" s="8" t="n">
        <v>350000</v>
      </c>
      <c r="I66" s="7" t="s">
        <v>77</v>
      </c>
      <c r="J66" s="9" t="n">
        <v>1400</v>
      </c>
      <c r="K66" s="7" t="n">
        <v>107</v>
      </c>
      <c r="L66" s="7" t="s">
        <v>78</v>
      </c>
      <c r="M66" s="7" t="s">
        <v>79</v>
      </c>
      <c r="N66" s="7" t="n">
        <v>7.2</v>
      </c>
      <c r="O66" s="7" t="n">
        <v>5</v>
      </c>
      <c r="P66" s="7" t="s">
        <v>80</v>
      </c>
      <c r="Q66" s="7" t="s">
        <v>80</v>
      </c>
      <c r="R66" s="7" t="s">
        <v>80</v>
      </c>
      <c r="S66" s="7" t="s">
        <v>80</v>
      </c>
      <c r="T66" s="7" t="s">
        <v>80</v>
      </c>
      <c r="U66" s="7" t="s">
        <v>256</v>
      </c>
      <c r="V66" s="7" t="s">
        <v>266</v>
      </c>
      <c r="W66" s="6" t="str">
        <f aca="false">IF(COUNTA(B66:V66)=0,"",IF(OR(B66="",C66="",D66="",F66="",G66="",H66="",I66="",L66="",M66=""),"ناقص",IF(AND(ISNUMBER(F66),ISNUMBER(H66)),"OK","السنة/السعر لازم أرقام")))</f>
        <v>OK</v>
      </c>
      <c r="X66" s="6" t="str">
        <f aca="false">IF(B66="","",B66&amp;" "&amp;C66&amp;" "&amp;D66&amp;" "&amp;E66&amp;" "&amp;F66&amp;" "&amp;G66&amp;" "&amp;I66&amp;" "&amp;L66&amp;" "&amp;M66&amp;" سعر "&amp;H66&amp;" جنيه "&amp;U66)</f>
        <v>Hyundai هيونداي Verna RB فيرنا RB 2013 مستعمل سيدان أوتوماتيك بنزين سعر 350000 جنيه تكييف، زجاج كهربائي، قفل مركزي، ABS</v>
      </c>
    </row>
    <row r="67" customFormat="false" ht="35.05" hidden="false" customHeight="false" outlineLevel="0" collapsed="false">
      <c r="A67" s="6" t="s">
        <v>318</v>
      </c>
      <c r="B67" s="7" t="s">
        <v>94</v>
      </c>
      <c r="C67" s="6" t="str">
        <f aca="false">IF(B67="","",IFERROR(INDEX(Lists!$K$2:$K$60,MATCH(B67,Lists!$J$2:$J$60,0)),""))</f>
        <v>هيونداي</v>
      </c>
      <c r="D67" s="7" t="s">
        <v>319</v>
      </c>
      <c r="E67" s="7" t="s">
        <v>320</v>
      </c>
      <c r="F67" s="7" t="n">
        <v>2010</v>
      </c>
      <c r="G67" s="7" t="s">
        <v>249</v>
      </c>
      <c r="H67" s="8" t="n">
        <v>480000</v>
      </c>
      <c r="I67" s="7" t="s">
        <v>77</v>
      </c>
      <c r="J67" s="9" t="n">
        <v>1600</v>
      </c>
      <c r="K67" s="7" t="n">
        <v>121</v>
      </c>
      <c r="L67" s="7" t="s">
        <v>78</v>
      </c>
      <c r="M67" s="7" t="s">
        <v>79</v>
      </c>
      <c r="N67" s="7" t="n">
        <v>8</v>
      </c>
      <c r="O67" s="7" t="n">
        <v>5</v>
      </c>
      <c r="P67" s="7" t="s">
        <v>80</v>
      </c>
      <c r="Q67" s="7" t="s">
        <v>80</v>
      </c>
      <c r="R67" s="7" t="s">
        <v>80</v>
      </c>
      <c r="S67" s="7" t="s">
        <v>80</v>
      </c>
      <c r="T67" s="7" t="s">
        <v>80</v>
      </c>
      <c r="U67" s="7" t="s">
        <v>256</v>
      </c>
      <c r="V67" s="7" t="s">
        <v>266</v>
      </c>
      <c r="W67" s="6" t="str">
        <f aca="false">IF(COUNTA(B67:V67)=0,"",IF(OR(B67="",C67="",D67="",F67="",G67="",H67="",I67="",L67="",M67=""),"ناقص",IF(AND(ISNUMBER(F67),ISNUMBER(H67)),"OK","السنة/السعر لازم أرقام")))</f>
        <v>OK</v>
      </c>
      <c r="X67" s="6" t="str">
        <f aca="false">IF(B67="","",B67&amp;" "&amp;C67&amp;" "&amp;D67&amp;" "&amp;E67&amp;" "&amp;F67&amp;" "&amp;G67&amp;" "&amp;I67&amp;" "&amp;L67&amp;" "&amp;M67&amp;" سعر "&amp;H67&amp;" جنيه "&amp;U67)</f>
        <v>Hyundai هيونداي Elantra HD إلنترا HD 2010 مستعمل سيدان أوتوماتيك بنزين سعر 480000 جنيه تكييف، زجاج كهربائي، قفل مركزي، ABS</v>
      </c>
    </row>
    <row r="68" customFormat="false" ht="35.05" hidden="false" customHeight="false" outlineLevel="0" collapsed="false">
      <c r="A68" s="6" t="s">
        <v>321</v>
      </c>
      <c r="B68" s="7" t="s">
        <v>94</v>
      </c>
      <c r="C68" s="6" t="str">
        <f aca="false">IF(B68="","",IFERROR(INDEX(Lists!$K$2:$K$60,MATCH(B68,Lists!$J$2:$J$60,0)),""))</f>
        <v>هيونداي</v>
      </c>
      <c r="D68" s="7" t="s">
        <v>322</v>
      </c>
      <c r="E68" s="7" t="s">
        <v>323</v>
      </c>
      <c r="F68" s="7" t="n">
        <v>2013</v>
      </c>
      <c r="G68" s="7" t="s">
        <v>249</v>
      </c>
      <c r="H68" s="8" t="n">
        <v>640000</v>
      </c>
      <c r="I68" s="7" t="s">
        <v>77</v>
      </c>
      <c r="J68" s="9" t="n">
        <v>1600</v>
      </c>
      <c r="K68" s="7" t="n">
        <v>128</v>
      </c>
      <c r="L68" s="7" t="s">
        <v>78</v>
      </c>
      <c r="M68" s="7" t="s">
        <v>79</v>
      </c>
      <c r="N68" s="7" t="n">
        <v>7.8</v>
      </c>
      <c r="O68" s="7" t="n">
        <v>5</v>
      </c>
      <c r="P68" s="7" t="s">
        <v>80</v>
      </c>
      <c r="Q68" s="7" t="s">
        <v>80</v>
      </c>
      <c r="R68" s="7" t="s">
        <v>80</v>
      </c>
      <c r="S68" s="7" t="s">
        <v>80</v>
      </c>
      <c r="T68" s="7" t="s">
        <v>80</v>
      </c>
      <c r="U68" s="7" t="s">
        <v>144</v>
      </c>
      <c r="V68" s="7" t="s">
        <v>266</v>
      </c>
      <c r="W68" s="6" t="str">
        <f aca="false">IF(COUNTA(B68:V68)=0,"",IF(OR(B68="",C68="",D68="",F68="",G68="",H68="",I68="",L68="",M68=""),"ناقص",IF(AND(ISNUMBER(F68),ISNUMBER(H68)),"OK","السنة/السعر لازم أرقام")))</f>
        <v>OK</v>
      </c>
      <c r="X68" s="6" t="str">
        <f aca="false">IF(B68="","",B68&amp;" "&amp;C68&amp;" "&amp;D68&amp;" "&amp;E68&amp;" "&amp;F68&amp;" "&amp;G68&amp;" "&amp;I68&amp;" "&amp;L68&amp;" "&amp;M68&amp;" سعر "&amp;H68&amp;" جنيه "&amp;U68)</f>
        <v>Hyundai هيونداي Elantra MD إلنترا MD 2013 مستعمل سيدان أوتوماتيك بنزين سعر 640000 جنيه تكييف، زجاج كهربائي، قفل مركزي، ABS، مرايات كهربائية، حساسات ركن خلفية</v>
      </c>
    </row>
    <row r="69" customFormat="false" ht="35.05" hidden="false" customHeight="false" outlineLevel="0" collapsed="false">
      <c r="A69" s="6" t="s">
        <v>324</v>
      </c>
      <c r="B69" s="7" t="s">
        <v>94</v>
      </c>
      <c r="C69" s="6" t="str">
        <f aca="false">IF(B69="","",IFERROR(INDEX(Lists!$K$2:$K$60,MATCH(B69,Lists!$J$2:$J$60,0)),""))</f>
        <v>هيونداي</v>
      </c>
      <c r="D69" s="7" t="s">
        <v>325</v>
      </c>
      <c r="E69" s="7" t="s">
        <v>326</v>
      </c>
      <c r="F69" s="7" t="n">
        <v>2017</v>
      </c>
      <c r="G69" s="7" t="s">
        <v>249</v>
      </c>
      <c r="H69" s="8" t="n">
        <v>820000</v>
      </c>
      <c r="I69" s="7" t="s">
        <v>77</v>
      </c>
      <c r="J69" s="9" t="n">
        <v>1600</v>
      </c>
      <c r="K69" s="7" t="n">
        <v>128</v>
      </c>
      <c r="L69" s="7" t="s">
        <v>78</v>
      </c>
      <c r="M69" s="7" t="s">
        <v>79</v>
      </c>
      <c r="N69" s="7" t="n">
        <v>7.2</v>
      </c>
      <c r="O69" s="7" t="n">
        <v>5</v>
      </c>
      <c r="P69" s="7" t="s">
        <v>80</v>
      </c>
      <c r="Q69" s="7" t="s">
        <v>80</v>
      </c>
      <c r="R69" s="7" t="s">
        <v>81</v>
      </c>
      <c r="S69" s="7" t="s">
        <v>80</v>
      </c>
      <c r="T69" s="7" t="s">
        <v>81</v>
      </c>
      <c r="U69" s="7" t="s">
        <v>144</v>
      </c>
      <c r="V69" s="7" t="s">
        <v>266</v>
      </c>
      <c r="W69" s="6" t="str">
        <f aca="false">IF(COUNTA(B69:V69)=0,"",IF(OR(B69="",C69="",D69="",F69="",G69="",H69="",I69="",L69="",M69=""),"ناقص",IF(AND(ISNUMBER(F69),ISNUMBER(H69)),"OK","السنة/السعر لازم أرقام")))</f>
        <v>OK</v>
      </c>
      <c r="X69" s="6" t="str">
        <f aca="false">IF(B69="","",B69&amp;" "&amp;C69&amp;" "&amp;D69&amp;" "&amp;E69&amp;" "&amp;F69&amp;" "&amp;G69&amp;" "&amp;I69&amp;" "&amp;L69&amp;" "&amp;M69&amp;" سعر "&amp;H69&amp;" جنيه "&amp;U69)</f>
        <v>Hyundai هيونداي Elantra AD 1.6 إلنترا AD 1.6 2017 مستعمل سيدان أوتوماتيك بنزين سعر 820000 جنيه تكييف، زجاج كهربائي، قفل مركزي، ABS، مرايات كهربائية، حساسات ركن خلفية</v>
      </c>
    </row>
    <row r="70" customFormat="false" ht="35.05" hidden="false" customHeight="false" outlineLevel="0" collapsed="false">
      <c r="A70" s="6" t="s">
        <v>327</v>
      </c>
      <c r="B70" s="7" t="s">
        <v>94</v>
      </c>
      <c r="C70" s="6" t="str">
        <f aca="false">IF(B70="","",IFERROR(INDEX(Lists!$K$2:$K$60,MATCH(B70,Lists!$J$2:$J$60,0)),""))</f>
        <v>هيونداي</v>
      </c>
      <c r="D70" s="7" t="s">
        <v>328</v>
      </c>
      <c r="E70" s="7" t="s">
        <v>329</v>
      </c>
      <c r="F70" s="7" t="n">
        <v>2021</v>
      </c>
      <c r="G70" s="7" t="s">
        <v>249</v>
      </c>
      <c r="H70" s="8" t="n">
        <v>1050000</v>
      </c>
      <c r="I70" s="7" t="s">
        <v>77</v>
      </c>
      <c r="J70" s="9" t="n">
        <v>1600</v>
      </c>
      <c r="K70" s="7" t="n">
        <v>128</v>
      </c>
      <c r="L70" s="7" t="s">
        <v>230</v>
      </c>
      <c r="M70" s="7" t="s">
        <v>79</v>
      </c>
      <c r="N70" s="7" t="n">
        <v>6.8</v>
      </c>
      <c r="O70" s="7" t="n">
        <v>5</v>
      </c>
      <c r="P70" s="7" t="s">
        <v>81</v>
      </c>
      <c r="Q70" s="7" t="s">
        <v>81</v>
      </c>
      <c r="R70" s="7" t="s">
        <v>81</v>
      </c>
      <c r="S70" s="7" t="s">
        <v>81</v>
      </c>
      <c r="T70" s="7" t="s">
        <v>81</v>
      </c>
      <c r="U70" s="7" t="s">
        <v>148</v>
      </c>
      <c r="V70" s="7" t="s">
        <v>266</v>
      </c>
      <c r="W70" s="6" t="str">
        <f aca="false">IF(COUNTA(B70:V70)=0,"",IF(OR(B70="",C70="",D70="",F70="",G70="",H70="",I70="",L70="",M70=""),"ناقص",IF(AND(ISNUMBER(F70),ISNUMBER(H70)),"OK","السنة/السعر لازم أرقام")))</f>
        <v>OK</v>
      </c>
      <c r="X70" s="6" t="str">
        <f aca="false">IF(B70="","",B70&amp;" "&amp;C70&amp;" "&amp;D70&amp;" "&amp;E70&amp;" "&amp;F70&amp;" "&amp;G70&amp;" "&amp;I70&amp;" "&amp;L70&amp;" "&amp;M70&amp;" سعر "&amp;H70&amp;" جنيه "&amp;U70)</f>
        <v>Hyundai هيونداي Elantra CN7 إلنترا CN7 2021 مستعمل سيدان CVT بنزين سعر 1050000 جنيه تكييف، زجاج كهربائي، قفل مركزي، ABS، مرايات كهربائية، حساسات ركن خلفية، جنوط ألومنيوم، تحكم في الثبات ESP</v>
      </c>
    </row>
    <row r="71" customFormat="false" ht="35.05" hidden="false" customHeight="false" outlineLevel="0" collapsed="false">
      <c r="A71" s="6" t="s">
        <v>330</v>
      </c>
      <c r="B71" s="7" t="s">
        <v>94</v>
      </c>
      <c r="C71" s="6" t="str">
        <f aca="false">IF(B71="","",IFERROR(INDEX(Lists!$K$2:$K$60,MATCH(B71,Lists!$J$2:$J$60,0)),""))</f>
        <v>هيونداي</v>
      </c>
      <c r="D71" s="7" t="s">
        <v>331</v>
      </c>
      <c r="E71" s="7" t="s">
        <v>332</v>
      </c>
      <c r="F71" s="7" t="n">
        <v>2008</v>
      </c>
      <c r="G71" s="7" t="s">
        <v>249</v>
      </c>
      <c r="H71" s="8" t="n">
        <v>600000</v>
      </c>
      <c r="I71" s="7" t="s">
        <v>113</v>
      </c>
      <c r="J71" s="9" t="n">
        <v>2000</v>
      </c>
      <c r="K71" s="7" t="n">
        <v>141</v>
      </c>
      <c r="L71" s="7" t="s">
        <v>78</v>
      </c>
      <c r="M71" s="7" t="s">
        <v>79</v>
      </c>
      <c r="N71" s="7" t="n">
        <v>10</v>
      </c>
      <c r="O71" s="7" t="n">
        <v>5</v>
      </c>
      <c r="P71" s="7" t="s">
        <v>80</v>
      </c>
      <c r="Q71" s="7" t="s">
        <v>80</v>
      </c>
      <c r="R71" s="7" t="s">
        <v>80</v>
      </c>
      <c r="S71" s="7" t="s">
        <v>80</v>
      </c>
      <c r="T71" s="7" t="s">
        <v>80</v>
      </c>
      <c r="U71" s="7" t="s">
        <v>251</v>
      </c>
      <c r="V71" s="7" t="s">
        <v>266</v>
      </c>
      <c r="W71" s="6" t="str">
        <f aca="false">IF(COUNTA(B71:V71)=0,"",IF(OR(B71="",C71="",D71="",F71="",G71="",H71="",I71="",L71="",M71=""),"ناقص",IF(AND(ISNUMBER(F71),ISNUMBER(H71)),"OK","السنة/السعر لازم أرقام")))</f>
        <v>OK</v>
      </c>
      <c r="X71" s="6" t="str">
        <f aca="false">IF(B71="","",B71&amp;" "&amp;C71&amp;" "&amp;D71&amp;" "&amp;E71&amp;" "&amp;F71&amp;" "&amp;G71&amp;" "&amp;I71&amp;" "&amp;L71&amp;" "&amp;M71&amp;" سعر "&amp;H71&amp;" جنيه "&amp;U71)</f>
        <v>Hyundai هيونداي Tucson JM توسان JM 2008 مستعمل SUV أوتوماتيك بنزين سعر 600000 جنيه تكييف، زجاج كهربائي، قفل مركزي</v>
      </c>
    </row>
    <row r="72" customFormat="false" ht="35.05" hidden="false" customHeight="false" outlineLevel="0" collapsed="false">
      <c r="A72" s="6" t="s">
        <v>333</v>
      </c>
      <c r="B72" s="7" t="s">
        <v>94</v>
      </c>
      <c r="C72" s="6" t="str">
        <f aca="false">IF(B72="","",IFERROR(INDEX(Lists!$K$2:$K$60,MATCH(B72,Lists!$J$2:$J$60,0)),""))</f>
        <v>هيونداي</v>
      </c>
      <c r="D72" s="7" t="s">
        <v>334</v>
      </c>
      <c r="E72" s="7" t="s">
        <v>335</v>
      </c>
      <c r="F72" s="7" t="n">
        <v>2011</v>
      </c>
      <c r="G72" s="7" t="s">
        <v>249</v>
      </c>
      <c r="H72" s="8" t="n">
        <v>800000</v>
      </c>
      <c r="I72" s="7" t="s">
        <v>113</v>
      </c>
      <c r="J72" s="9" t="n">
        <v>2000</v>
      </c>
      <c r="K72" s="7" t="n">
        <v>166</v>
      </c>
      <c r="L72" s="7" t="s">
        <v>78</v>
      </c>
      <c r="M72" s="7" t="s">
        <v>79</v>
      </c>
      <c r="N72" s="7" t="n">
        <v>9.5</v>
      </c>
      <c r="O72" s="7" t="n">
        <v>5</v>
      </c>
      <c r="P72" s="7" t="s">
        <v>80</v>
      </c>
      <c r="Q72" s="7" t="s">
        <v>80</v>
      </c>
      <c r="R72" s="7" t="s">
        <v>80</v>
      </c>
      <c r="S72" s="7" t="s">
        <v>80</v>
      </c>
      <c r="T72" s="7" t="s">
        <v>80</v>
      </c>
      <c r="U72" s="7" t="s">
        <v>256</v>
      </c>
      <c r="V72" s="7" t="s">
        <v>266</v>
      </c>
      <c r="W72" s="6" t="str">
        <f aca="false">IF(COUNTA(B72:V72)=0,"",IF(OR(B72="",C72="",D72="",F72="",G72="",H72="",I72="",L72="",M72=""),"ناقص",IF(AND(ISNUMBER(F72),ISNUMBER(H72)),"OK","السنة/السعر لازم أرقام")))</f>
        <v>OK</v>
      </c>
      <c r="X72" s="6" t="str">
        <f aca="false">IF(B72="","",B72&amp;" "&amp;C72&amp;" "&amp;D72&amp;" "&amp;E72&amp;" "&amp;F72&amp;" "&amp;G72&amp;" "&amp;I72&amp;" "&amp;L72&amp;" "&amp;M72&amp;" سعر "&amp;H72&amp;" جنيه "&amp;U72)</f>
        <v>Hyundai هيونداي Tucson LM توسان LM 2011 مستعمل SUV أوتوماتيك بنزين سعر 800000 جنيه تكييف، زجاج كهربائي، قفل مركزي، ABS</v>
      </c>
    </row>
    <row r="73" customFormat="false" ht="35.05" hidden="false" customHeight="false" outlineLevel="0" collapsed="false">
      <c r="A73" s="6" t="s">
        <v>336</v>
      </c>
      <c r="B73" s="7" t="s">
        <v>94</v>
      </c>
      <c r="C73" s="6" t="str">
        <f aca="false">IF(B73="","",IFERROR(INDEX(Lists!$K$2:$K$60,MATCH(B73,Lists!$J$2:$J$60,0)),""))</f>
        <v>هيونداي</v>
      </c>
      <c r="D73" s="7" t="s">
        <v>337</v>
      </c>
      <c r="E73" s="7" t="s">
        <v>338</v>
      </c>
      <c r="F73" s="7" t="n">
        <v>2016</v>
      </c>
      <c r="G73" s="7" t="s">
        <v>249</v>
      </c>
      <c r="H73" s="8" t="n">
        <v>1400000</v>
      </c>
      <c r="I73" s="7" t="s">
        <v>113</v>
      </c>
      <c r="J73" s="9" t="n">
        <v>1600</v>
      </c>
      <c r="K73" s="7" t="n">
        <v>177</v>
      </c>
      <c r="L73" s="7" t="s">
        <v>135</v>
      </c>
      <c r="M73" s="7" t="s">
        <v>79</v>
      </c>
      <c r="N73" s="7" t="n">
        <v>8.2</v>
      </c>
      <c r="O73" s="7" t="n">
        <v>5</v>
      </c>
      <c r="P73" s="7" t="s">
        <v>81</v>
      </c>
      <c r="Q73" s="7" t="s">
        <v>81</v>
      </c>
      <c r="R73" s="7" t="s">
        <v>81</v>
      </c>
      <c r="S73" s="7" t="s">
        <v>81</v>
      </c>
      <c r="T73" s="7" t="s">
        <v>81</v>
      </c>
      <c r="U73" s="7" t="s">
        <v>148</v>
      </c>
      <c r="V73" s="7" t="s">
        <v>266</v>
      </c>
      <c r="W73" s="6" t="str">
        <f aca="false">IF(COUNTA(B73:V73)=0,"",IF(OR(B73="",C73="",D73="",F73="",G73="",H73="",I73="",L73="",M73=""),"ناقص",IF(AND(ISNUMBER(F73),ISNUMBER(H73)),"OK","السنة/السعر لازم أرقام")))</f>
        <v>OK</v>
      </c>
      <c r="X73" s="6" t="str">
        <f aca="false">IF(B73="","",B73&amp;" "&amp;C73&amp;" "&amp;D73&amp;" "&amp;E73&amp;" "&amp;F73&amp;" "&amp;G73&amp;" "&amp;I73&amp;" "&amp;L73&amp;" "&amp;M73&amp;" سعر "&amp;H73&amp;" جنيه "&amp;U73)</f>
        <v>Hyundai هيونداي Tucson TL توسان TL 2016 مستعمل SUV DCT بنزين سعر 1400000 جنيه تكييف، زجاج كهربائي، قفل مركزي، ABS، مرايات كهربائية، حساسات ركن خلفية، جنوط ألومنيوم، تحكم في الثبات ESP</v>
      </c>
    </row>
    <row r="74" customFormat="false" ht="35.05" hidden="false" customHeight="false" outlineLevel="0" collapsed="false">
      <c r="A74" s="6" t="s">
        <v>339</v>
      </c>
      <c r="B74" s="7" t="s">
        <v>94</v>
      </c>
      <c r="C74" s="6" t="str">
        <f aca="false">IF(B74="","",IFERROR(INDEX(Lists!$K$2:$K$60,MATCH(B74,Lists!$J$2:$J$60,0)),""))</f>
        <v>هيونداي</v>
      </c>
      <c r="D74" s="7" t="s">
        <v>340</v>
      </c>
      <c r="E74" s="7" t="s">
        <v>341</v>
      </c>
      <c r="F74" s="7" t="n">
        <v>2022</v>
      </c>
      <c r="G74" s="7" t="s">
        <v>249</v>
      </c>
      <c r="H74" s="8" t="n">
        <v>2300000</v>
      </c>
      <c r="I74" s="7" t="s">
        <v>113</v>
      </c>
      <c r="J74" s="9" t="n">
        <v>1600</v>
      </c>
      <c r="K74" s="7" t="n">
        <v>180</v>
      </c>
      <c r="L74" s="7" t="s">
        <v>135</v>
      </c>
      <c r="M74" s="7" t="s">
        <v>79</v>
      </c>
      <c r="N74" s="7" t="n">
        <v>7.8</v>
      </c>
      <c r="O74" s="7" t="n">
        <v>5</v>
      </c>
      <c r="P74" s="7" t="s">
        <v>81</v>
      </c>
      <c r="Q74" s="7" t="s">
        <v>81</v>
      </c>
      <c r="R74" s="7" t="s">
        <v>81</v>
      </c>
      <c r="S74" s="7" t="s">
        <v>81</v>
      </c>
      <c r="T74" s="7" t="s">
        <v>81</v>
      </c>
      <c r="U74" s="7" t="s">
        <v>148</v>
      </c>
      <c r="V74" s="7" t="s">
        <v>266</v>
      </c>
      <c r="W74" s="6" t="str">
        <f aca="false">IF(COUNTA(B74:V74)=0,"",IF(OR(B74="",C74="",D74="",F74="",G74="",H74="",I74="",L74="",M74=""),"ناقص",IF(AND(ISNUMBER(F74),ISNUMBER(H74)),"OK","السنة/السعر لازم أرقام")))</f>
        <v>OK</v>
      </c>
      <c r="X74" s="6" t="str">
        <f aca="false">IF(B74="","",B74&amp;" "&amp;C74&amp;" "&amp;D74&amp;" "&amp;E74&amp;" "&amp;F74&amp;" "&amp;G74&amp;" "&amp;I74&amp;" "&amp;L74&amp;" "&amp;M74&amp;" سعر "&amp;H74&amp;" جنيه "&amp;U74)</f>
        <v>Hyundai هيونداي Tucson NX4 توسان NX4 2022 مستعمل SUV DCT بنزين سعر 2300000 جنيه تكييف، زجاج كهربائي، قفل مركزي، ABS، مرايات كهربائية، حساسات ركن خلفية، جنوط ألومنيوم، تحكم في الثبات ESP</v>
      </c>
    </row>
    <row r="75" customFormat="false" ht="35.05" hidden="false" customHeight="false" outlineLevel="0" collapsed="false">
      <c r="A75" s="6" t="s">
        <v>342</v>
      </c>
      <c r="B75" s="7" t="s">
        <v>94</v>
      </c>
      <c r="C75" s="6" t="str">
        <f aca="false">IF(B75="","",IFERROR(INDEX(Lists!$K$2:$K$60,MATCH(B75,Lists!$J$2:$J$60,0)),""))</f>
        <v>هيونداي</v>
      </c>
      <c r="D75" s="7" t="s">
        <v>343</v>
      </c>
      <c r="E75" s="7" t="s">
        <v>344</v>
      </c>
      <c r="F75" s="7" t="n">
        <v>2017</v>
      </c>
      <c r="G75" s="7" t="s">
        <v>249</v>
      </c>
      <c r="H75" s="8" t="n">
        <v>1000000</v>
      </c>
      <c r="I75" s="7" t="s">
        <v>105</v>
      </c>
      <c r="J75" s="9" t="n">
        <v>1600</v>
      </c>
      <c r="K75" s="7" t="n">
        <v>123</v>
      </c>
      <c r="L75" s="7" t="s">
        <v>78</v>
      </c>
      <c r="M75" s="7" t="s">
        <v>79</v>
      </c>
      <c r="N75" s="7" t="n">
        <v>8</v>
      </c>
      <c r="O75" s="7" t="n">
        <v>5</v>
      </c>
      <c r="P75" s="7" t="s">
        <v>81</v>
      </c>
      <c r="Q75" s="7" t="s">
        <v>81</v>
      </c>
      <c r="R75" s="7" t="s">
        <v>81</v>
      </c>
      <c r="S75" s="7" t="s">
        <v>81</v>
      </c>
      <c r="T75" s="7" t="s">
        <v>81</v>
      </c>
      <c r="U75" s="7" t="s">
        <v>148</v>
      </c>
      <c r="V75" s="7" t="s">
        <v>266</v>
      </c>
      <c r="W75" s="6" t="str">
        <f aca="false">IF(COUNTA(B75:V75)=0,"",IF(OR(B75="",C75="",D75="",F75="",G75="",H75="",I75="",L75="",M75=""),"ناقص",IF(AND(ISNUMBER(F75),ISNUMBER(H75)),"OK","السنة/السعر لازم أرقام")))</f>
        <v>OK</v>
      </c>
      <c r="X75" s="6" t="str">
        <f aca="false">IF(B75="","",B75&amp;" "&amp;C75&amp;" "&amp;D75&amp;" "&amp;E75&amp;" "&amp;F75&amp;" "&amp;G75&amp;" "&amp;I75&amp;" "&amp;L75&amp;" "&amp;M75&amp;" سعر "&amp;H75&amp;" جنيه "&amp;U75)</f>
        <v>Hyundai هيونداي Creta GS كريتا GS 2017 مستعمل كروس أوفر أوتوماتيك بنزين سعر 1000000 جنيه تكييف، زجاج كهربائي، قفل مركزي، ABS، مرايات كهربائية، حساسات ركن خلفية، جنوط ألومنيوم، تحكم في الثبات ESP</v>
      </c>
    </row>
    <row r="76" customFormat="false" ht="35.05" hidden="false" customHeight="false" outlineLevel="0" collapsed="false">
      <c r="A76" s="6" t="s">
        <v>345</v>
      </c>
      <c r="B76" s="7" t="s">
        <v>94</v>
      </c>
      <c r="C76" s="6" t="str">
        <f aca="false">IF(B76="","",IFERROR(INDEX(Lists!$K$2:$K$60,MATCH(B76,Lists!$J$2:$J$60,0)),""))</f>
        <v>هيونداي</v>
      </c>
      <c r="D76" s="7" t="s">
        <v>346</v>
      </c>
      <c r="E76" s="7" t="s">
        <v>347</v>
      </c>
      <c r="F76" s="7" t="n">
        <v>2022</v>
      </c>
      <c r="G76" s="7" t="s">
        <v>249</v>
      </c>
      <c r="H76" s="8" t="n">
        <v>1300000</v>
      </c>
      <c r="I76" s="7" t="s">
        <v>105</v>
      </c>
      <c r="J76" s="9" t="n">
        <v>1500</v>
      </c>
      <c r="K76" s="7" t="n">
        <v>115</v>
      </c>
      <c r="L76" s="7" t="s">
        <v>230</v>
      </c>
      <c r="M76" s="7" t="s">
        <v>79</v>
      </c>
      <c r="N76" s="7" t="n">
        <v>7.5</v>
      </c>
      <c r="O76" s="7" t="n">
        <v>5</v>
      </c>
      <c r="P76" s="7" t="s">
        <v>81</v>
      </c>
      <c r="Q76" s="7" t="s">
        <v>81</v>
      </c>
      <c r="R76" s="7" t="s">
        <v>81</v>
      </c>
      <c r="S76" s="7" t="s">
        <v>81</v>
      </c>
      <c r="T76" s="7" t="s">
        <v>81</v>
      </c>
      <c r="U76" s="7" t="s">
        <v>148</v>
      </c>
      <c r="V76" s="7" t="s">
        <v>266</v>
      </c>
      <c r="W76" s="6" t="str">
        <f aca="false">IF(COUNTA(B76:V76)=0,"",IF(OR(B76="",C76="",D76="",F76="",G76="",H76="",I76="",L76="",M76=""),"ناقص",IF(AND(ISNUMBER(F76),ISNUMBER(H76)),"OK","السنة/السعر لازم أرقام")))</f>
        <v>OK</v>
      </c>
      <c r="X76" s="6" t="str">
        <f aca="false">IF(B76="","",B76&amp;" "&amp;C76&amp;" "&amp;D76&amp;" "&amp;E76&amp;" "&amp;F76&amp;" "&amp;G76&amp;" "&amp;I76&amp;" "&amp;L76&amp;" "&amp;M76&amp;" سعر "&amp;H76&amp;" جنيه "&amp;U76)</f>
        <v>Hyundai هيونداي Creta SU2 كريتا SU2 2022 مستعمل كروس أوفر CVT بنزين سعر 1300000 جنيه تكييف، زجاج كهربائي، قفل مركزي، ABS، مرايات كهربائية، حساسات ركن خلفية، جنوط ألومنيوم، تحكم في الثبات ESP</v>
      </c>
    </row>
    <row r="77" customFormat="false" ht="35.05" hidden="false" customHeight="false" outlineLevel="0" collapsed="false">
      <c r="A77" s="6" t="s">
        <v>348</v>
      </c>
      <c r="B77" s="7" t="s">
        <v>94</v>
      </c>
      <c r="C77" s="6" t="str">
        <f aca="false">IF(B77="","",IFERROR(INDEX(Lists!$K$2:$K$60,MATCH(B77,Lists!$J$2:$J$60,0)),""))</f>
        <v>هيونداي</v>
      </c>
      <c r="D77" s="7" t="s">
        <v>349</v>
      </c>
      <c r="E77" s="7" t="s">
        <v>350</v>
      </c>
      <c r="F77" s="7" t="n">
        <v>2020</v>
      </c>
      <c r="G77" s="7" t="s">
        <v>249</v>
      </c>
      <c r="H77" s="8" t="n">
        <v>1500000</v>
      </c>
      <c r="I77" s="7" t="s">
        <v>105</v>
      </c>
      <c r="J77" s="9" t="n">
        <v>2000</v>
      </c>
      <c r="K77" s="7" t="n">
        <v>149</v>
      </c>
      <c r="L77" s="7" t="s">
        <v>78</v>
      </c>
      <c r="M77" s="7" t="s">
        <v>79</v>
      </c>
      <c r="N77" s="7" t="n">
        <v>8</v>
      </c>
      <c r="O77" s="7" t="n">
        <v>5</v>
      </c>
      <c r="P77" s="7" t="s">
        <v>81</v>
      </c>
      <c r="Q77" s="7" t="s">
        <v>81</v>
      </c>
      <c r="R77" s="7" t="s">
        <v>81</v>
      </c>
      <c r="S77" s="7" t="s">
        <v>81</v>
      </c>
      <c r="T77" s="7" t="s">
        <v>81</v>
      </c>
      <c r="U77" s="7" t="s">
        <v>148</v>
      </c>
      <c r="V77" s="7" t="s">
        <v>266</v>
      </c>
      <c r="W77" s="6" t="str">
        <f aca="false">IF(COUNTA(B77:V77)=0,"",IF(OR(B77="",C77="",D77="",F77="",G77="",H77="",I77="",L77="",M77=""),"ناقص",IF(AND(ISNUMBER(F77),ISNUMBER(H77)),"OK","السنة/السعر لازم أرقام")))</f>
        <v>OK</v>
      </c>
      <c r="X77" s="6" t="str">
        <f aca="false">IF(B77="","",B77&amp;" "&amp;C77&amp;" "&amp;D77&amp;" "&amp;E77&amp;" "&amp;F77&amp;" "&amp;G77&amp;" "&amp;I77&amp;" "&amp;L77&amp;" "&amp;M77&amp;" سعر "&amp;H77&amp;" جنيه "&amp;U77)</f>
        <v>Hyundai هيونداي Kona OS كونا OS 2020 مستعمل كروس أوفر أوتوماتيك بنزين سعر 1500000 جنيه تكييف، زجاج كهربائي، قفل مركزي، ABS، مرايات كهربائية، حساسات ركن خلفية، جنوط ألومنيوم، تحكم في الثبات ESP</v>
      </c>
    </row>
    <row r="78" customFormat="false" ht="35.05" hidden="false" customHeight="false" outlineLevel="0" collapsed="false">
      <c r="A78" s="6" t="s">
        <v>351</v>
      </c>
      <c r="B78" s="7" t="s">
        <v>94</v>
      </c>
      <c r="C78" s="6" t="str">
        <f aca="false">IF(B78="","",IFERROR(INDEX(Lists!$K$2:$K$60,MATCH(B78,Lists!$J$2:$J$60,0)),""))</f>
        <v>هيونداي</v>
      </c>
      <c r="D78" s="7" t="s">
        <v>352</v>
      </c>
      <c r="E78" s="7" t="s">
        <v>353</v>
      </c>
      <c r="F78" s="7" t="n">
        <v>2010</v>
      </c>
      <c r="G78" s="7" t="s">
        <v>249</v>
      </c>
      <c r="H78" s="8" t="n">
        <v>750000</v>
      </c>
      <c r="I78" s="7" t="s">
        <v>113</v>
      </c>
      <c r="J78" s="9" t="n">
        <v>2400</v>
      </c>
      <c r="K78" s="7" t="n">
        <v>174</v>
      </c>
      <c r="L78" s="7" t="s">
        <v>78</v>
      </c>
      <c r="M78" s="7" t="s">
        <v>79</v>
      </c>
      <c r="N78" s="7" t="n">
        <v>11</v>
      </c>
      <c r="O78" s="7" t="n">
        <v>7</v>
      </c>
      <c r="P78" s="7" t="s">
        <v>80</v>
      </c>
      <c r="Q78" s="7" t="s">
        <v>80</v>
      </c>
      <c r="R78" s="7" t="s">
        <v>81</v>
      </c>
      <c r="S78" s="7" t="s">
        <v>81</v>
      </c>
      <c r="T78" s="7" t="s">
        <v>80</v>
      </c>
      <c r="U78" s="7" t="s">
        <v>256</v>
      </c>
      <c r="V78" s="7" t="s">
        <v>266</v>
      </c>
      <c r="W78" s="6" t="str">
        <f aca="false">IF(COUNTA(B78:V78)=0,"",IF(OR(B78="",C78="",D78="",F78="",G78="",H78="",I78="",L78="",M78=""),"ناقص",IF(AND(ISNUMBER(F78),ISNUMBER(H78)),"OK","السنة/السعر لازم أرقام")))</f>
        <v>OK</v>
      </c>
      <c r="X78" s="6" t="str">
        <f aca="false">IF(B78="","",B78&amp;" "&amp;C78&amp;" "&amp;D78&amp;" "&amp;E78&amp;" "&amp;F78&amp;" "&amp;G78&amp;" "&amp;I78&amp;" "&amp;L78&amp;" "&amp;M78&amp;" سعر "&amp;H78&amp;" جنيه "&amp;U78)</f>
        <v>Hyundai هيونداي Santa Fe CM سانتافي CM 2010 مستعمل SUV أوتوماتيك بنزين سعر 750000 جنيه تكييف، زجاج كهربائي، قفل مركزي، ABS</v>
      </c>
    </row>
    <row r="79" customFormat="false" ht="46.25" hidden="false" customHeight="false" outlineLevel="0" collapsed="false">
      <c r="A79" s="6" t="s">
        <v>354</v>
      </c>
      <c r="B79" s="7" t="s">
        <v>94</v>
      </c>
      <c r="C79" s="6" t="str">
        <f aca="false">IF(B79="","",IFERROR(INDEX(Lists!$K$2:$K$60,MATCH(B79,Lists!$J$2:$J$60,0)),""))</f>
        <v>هيونداي</v>
      </c>
      <c r="D79" s="7" t="s">
        <v>355</v>
      </c>
      <c r="E79" s="7" t="s">
        <v>356</v>
      </c>
      <c r="F79" s="7" t="n">
        <v>2019</v>
      </c>
      <c r="G79" s="7" t="s">
        <v>249</v>
      </c>
      <c r="H79" s="8" t="n">
        <v>2300000</v>
      </c>
      <c r="I79" s="7" t="s">
        <v>113</v>
      </c>
      <c r="J79" s="9" t="n">
        <v>2400</v>
      </c>
      <c r="K79" s="7" t="n">
        <v>185</v>
      </c>
      <c r="L79" s="7" t="s">
        <v>78</v>
      </c>
      <c r="M79" s="7" t="s">
        <v>79</v>
      </c>
      <c r="N79" s="7" t="n">
        <v>10</v>
      </c>
      <c r="O79" s="7" t="n">
        <v>7</v>
      </c>
      <c r="P79" s="7" t="s">
        <v>81</v>
      </c>
      <c r="Q79" s="7" t="s">
        <v>81</v>
      </c>
      <c r="R79" s="7" t="s">
        <v>81</v>
      </c>
      <c r="S79" s="7" t="s">
        <v>81</v>
      </c>
      <c r="T79" s="7" t="s">
        <v>81</v>
      </c>
      <c r="U79" s="7" t="s">
        <v>299</v>
      </c>
      <c r="V79" s="7" t="s">
        <v>266</v>
      </c>
      <c r="W79" s="6" t="str">
        <f aca="false">IF(COUNTA(B79:V79)=0,"",IF(OR(B79="",C79="",D79="",F79="",G79="",H79="",I79="",L79="",M79=""),"ناقص",IF(AND(ISNUMBER(F79),ISNUMBER(H79)),"OK","السنة/السعر لازم أرقام")))</f>
        <v>OK</v>
      </c>
      <c r="X79" s="6" t="str">
        <f aca="false">IF(B79="","",B79&amp;" "&amp;C79&amp;" "&amp;D79&amp;" "&amp;E79&amp;" "&amp;F79&amp;" "&amp;G79&amp;" "&amp;I79&amp;" "&amp;L79&amp;" "&amp;M79&amp;" سعر "&amp;H79&amp;" جنيه "&amp;U79)</f>
        <v>Hyundai هيونداي Santa Fe TM سانتافي TM 2019 مستعمل SUV أوتوماتيك بنزين سعر 2300000 جنيه تكييف، زجاج كهربائي، قفل مركزي، ABS، مرايات كهربائية، حساسات ركن خلفية، جنوط ألومنيوم، تحكم في الثبات ESP، مقاعد كهربائية، إضاءة LED</v>
      </c>
    </row>
    <row r="80" customFormat="false" ht="35.05" hidden="false" customHeight="false" outlineLevel="0" collapsed="false">
      <c r="A80" s="6" t="s">
        <v>357</v>
      </c>
      <c r="B80" s="7" t="s">
        <v>94</v>
      </c>
      <c r="C80" s="6" t="str">
        <f aca="false">IF(B80="","",IFERROR(INDEX(Lists!$K$2:$K$60,MATCH(B80,Lists!$J$2:$J$60,0)),""))</f>
        <v>هيونداي</v>
      </c>
      <c r="D80" s="7" t="s">
        <v>358</v>
      </c>
      <c r="E80" s="7" t="s">
        <v>359</v>
      </c>
      <c r="F80" s="7" t="n">
        <v>2016</v>
      </c>
      <c r="G80" s="7" t="s">
        <v>249</v>
      </c>
      <c r="H80" s="8" t="n">
        <v>420000</v>
      </c>
      <c r="I80" s="7" t="s">
        <v>270</v>
      </c>
      <c r="J80" s="9" t="n">
        <v>1200</v>
      </c>
      <c r="K80" s="7" t="n">
        <v>82</v>
      </c>
      <c r="L80" s="7" t="s">
        <v>250</v>
      </c>
      <c r="M80" s="7" t="s">
        <v>79</v>
      </c>
      <c r="N80" s="7" t="n">
        <v>6</v>
      </c>
      <c r="O80" s="7" t="n">
        <v>5</v>
      </c>
      <c r="P80" s="7" t="s">
        <v>80</v>
      </c>
      <c r="Q80" s="7" t="s">
        <v>80</v>
      </c>
      <c r="R80" s="7" t="s">
        <v>80</v>
      </c>
      <c r="S80" s="7" t="s">
        <v>80</v>
      </c>
      <c r="T80" s="7" t="s">
        <v>81</v>
      </c>
      <c r="U80" s="7" t="s">
        <v>256</v>
      </c>
      <c r="V80" s="7" t="s">
        <v>266</v>
      </c>
      <c r="W80" s="6" t="str">
        <f aca="false">IF(COUNTA(B80:V80)=0,"",IF(OR(B80="",C80="",D80="",F80="",G80="",H80="",I80="",L80="",M80=""),"ناقص",IF(AND(ISNUMBER(F80),ISNUMBER(H80)),"OK","السنة/السعر لازم أرقام")))</f>
        <v>OK</v>
      </c>
      <c r="X80" s="6" t="str">
        <f aca="false">IF(B80="","",B80&amp;" "&amp;C80&amp;" "&amp;D80&amp;" "&amp;E80&amp;" "&amp;F80&amp;" "&amp;G80&amp;" "&amp;I80&amp;" "&amp;L80&amp;" "&amp;M80&amp;" سعر "&amp;H80&amp;" جنيه "&amp;U80)</f>
        <v>Hyundai هيونداي Grand i10 جراند i10 2016 مستعمل هاتشباك مانيوال بنزين سعر 420000 جنيه تكييف، زجاج كهربائي، قفل مركزي، ABS</v>
      </c>
    </row>
    <row r="81" customFormat="false" ht="35.05" hidden="false" customHeight="false" outlineLevel="0" collapsed="false">
      <c r="A81" s="6" t="s">
        <v>360</v>
      </c>
      <c r="B81" s="7" t="s">
        <v>94</v>
      </c>
      <c r="C81" s="6" t="str">
        <f aca="false">IF(B81="","",IFERROR(INDEX(Lists!$K$2:$K$60,MATCH(B81,Lists!$J$2:$J$60,0)),""))</f>
        <v>هيونداي</v>
      </c>
      <c r="D81" s="7" t="s">
        <v>361</v>
      </c>
      <c r="E81" s="7" t="s">
        <v>361</v>
      </c>
      <c r="F81" s="7" t="n">
        <v>2016</v>
      </c>
      <c r="G81" s="7" t="s">
        <v>249</v>
      </c>
      <c r="H81" s="8" t="n">
        <v>550000</v>
      </c>
      <c r="I81" s="7" t="s">
        <v>270</v>
      </c>
      <c r="J81" s="9" t="n">
        <v>1400</v>
      </c>
      <c r="K81" s="7" t="n">
        <v>100</v>
      </c>
      <c r="L81" s="7" t="s">
        <v>78</v>
      </c>
      <c r="M81" s="7" t="s">
        <v>79</v>
      </c>
      <c r="N81" s="7" t="n">
        <v>7</v>
      </c>
      <c r="O81" s="7" t="n">
        <v>5</v>
      </c>
      <c r="P81" s="7" t="s">
        <v>80</v>
      </c>
      <c r="Q81" s="7" t="s">
        <v>80</v>
      </c>
      <c r="R81" s="7" t="s">
        <v>81</v>
      </c>
      <c r="S81" s="7" t="s">
        <v>80</v>
      </c>
      <c r="T81" s="7" t="s">
        <v>81</v>
      </c>
      <c r="U81" s="7" t="s">
        <v>144</v>
      </c>
      <c r="V81" s="7" t="s">
        <v>266</v>
      </c>
      <c r="W81" s="6" t="str">
        <f aca="false">IF(COUNTA(B81:V81)=0,"",IF(OR(B81="",C81="",D81="",F81="",G81="",H81="",I81="",L81="",M81=""),"ناقص",IF(AND(ISNUMBER(F81),ISNUMBER(H81)),"OK","السنة/السعر لازم أرقام")))</f>
        <v>OK</v>
      </c>
      <c r="X81" s="6" t="str">
        <f aca="false">IF(B81="","",B81&amp;" "&amp;C81&amp;" "&amp;D81&amp;" "&amp;E81&amp;" "&amp;F81&amp;" "&amp;G81&amp;" "&amp;I81&amp;" "&amp;L81&amp;" "&amp;M81&amp;" سعر "&amp;H81&amp;" جنيه "&amp;U81)</f>
        <v>Hyundai هيونداي i20 GB i20 GB 2016 مستعمل هاتشباك أوتوماتيك بنزين سعر 550000 جنيه تكييف، زجاج كهربائي، قفل مركزي، ABS، مرايات كهربائية، حساسات ركن خلفية</v>
      </c>
    </row>
    <row r="82" customFormat="false" ht="35.05" hidden="false" customHeight="false" outlineLevel="0" collapsed="false">
      <c r="A82" s="6" t="s">
        <v>362</v>
      </c>
      <c r="B82" s="7" t="s">
        <v>94</v>
      </c>
      <c r="C82" s="6" t="str">
        <f aca="false">IF(B82="","",IFERROR(INDEX(Lists!$K$2:$K$60,MATCH(B82,Lists!$J$2:$J$60,0)),""))</f>
        <v>هيونداي</v>
      </c>
      <c r="D82" s="7" t="s">
        <v>363</v>
      </c>
      <c r="E82" s="7" t="s">
        <v>364</v>
      </c>
      <c r="F82" s="7" t="n">
        <v>2012</v>
      </c>
      <c r="G82" s="7" t="s">
        <v>249</v>
      </c>
      <c r="H82" s="8" t="n">
        <v>700000</v>
      </c>
      <c r="I82" s="7" t="s">
        <v>77</v>
      </c>
      <c r="J82" s="9" t="n">
        <v>2400</v>
      </c>
      <c r="K82" s="7" t="n">
        <v>178</v>
      </c>
      <c r="L82" s="7" t="s">
        <v>78</v>
      </c>
      <c r="M82" s="7" t="s">
        <v>79</v>
      </c>
      <c r="N82" s="7" t="n">
        <v>9.5</v>
      </c>
      <c r="O82" s="7" t="n">
        <v>5</v>
      </c>
      <c r="P82" s="7" t="s">
        <v>81</v>
      </c>
      <c r="Q82" s="7" t="s">
        <v>80</v>
      </c>
      <c r="R82" s="7" t="s">
        <v>81</v>
      </c>
      <c r="S82" s="7" t="s">
        <v>81</v>
      </c>
      <c r="T82" s="7" t="s">
        <v>81</v>
      </c>
      <c r="U82" s="7" t="s">
        <v>144</v>
      </c>
      <c r="V82" s="7" t="s">
        <v>266</v>
      </c>
      <c r="W82" s="6" t="str">
        <f aca="false">IF(COUNTA(B82:V82)=0,"",IF(OR(B82="",C82="",D82="",F82="",G82="",H82="",I82="",L82="",M82=""),"ناقص",IF(AND(ISNUMBER(F82),ISNUMBER(H82)),"OK","السنة/السعر لازم أرقام")))</f>
        <v>OK</v>
      </c>
      <c r="X82" s="6" t="str">
        <f aca="false">IF(B82="","",B82&amp;" "&amp;C82&amp;" "&amp;D82&amp;" "&amp;E82&amp;" "&amp;F82&amp;" "&amp;G82&amp;" "&amp;I82&amp;" "&amp;L82&amp;" "&amp;M82&amp;" سعر "&amp;H82&amp;" جنيه "&amp;U82)</f>
        <v>Hyundai هيونداي Sonata YF سوناتا YF 2012 مستعمل سيدان أوتوماتيك بنزين سعر 700000 جنيه تكييف، زجاج كهربائي، قفل مركزي، ABS، مرايات كهربائية، حساسات ركن خلفية</v>
      </c>
    </row>
    <row r="83" customFormat="false" ht="46.25" hidden="false" customHeight="false" outlineLevel="0" collapsed="false">
      <c r="A83" s="6" t="s">
        <v>365</v>
      </c>
      <c r="B83" s="7" t="s">
        <v>94</v>
      </c>
      <c r="C83" s="6" t="str">
        <f aca="false">IF(B83="","",IFERROR(INDEX(Lists!$K$2:$K$60,MATCH(B83,Lists!$J$2:$J$60,0)),""))</f>
        <v>هيونداي</v>
      </c>
      <c r="D83" s="7" t="s">
        <v>366</v>
      </c>
      <c r="E83" s="7" t="s">
        <v>367</v>
      </c>
      <c r="F83" s="7" t="n">
        <v>2020</v>
      </c>
      <c r="G83" s="7" t="s">
        <v>249</v>
      </c>
      <c r="H83" s="8" t="n">
        <v>1800000</v>
      </c>
      <c r="I83" s="7" t="s">
        <v>77</v>
      </c>
      <c r="J83" s="9" t="n">
        <v>2500</v>
      </c>
      <c r="K83" s="7" t="n">
        <v>191</v>
      </c>
      <c r="L83" s="7" t="s">
        <v>78</v>
      </c>
      <c r="M83" s="7" t="s">
        <v>79</v>
      </c>
      <c r="N83" s="7" t="n">
        <v>8</v>
      </c>
      <c r="O83" s="7" t="n">
        <v>5</v>
      </c>
      <c r="P83" s="7" t="s">
        <v>81</v>
      </c>
      <c r="Q83" s="7" t="s">
        <v>81</v>
      </c>
      <c r="R83" s="7" t="s">
        <v>81</v>
      </c>
      <c r="S83" s="7" t="s">
        <v>81</v>
      </c>
      <c r="T83" s="7" t="s">
        <v>81</v>
      </c>
      <c r="U83" s="7" t="s">
        <v>299</v>
      </c>
      <c r="V83" s="7" t="s">
        <v>266</v>
      </c>
      <c r="W83" s="6" t="str">
        <f aca="false">IF(COUNTA(B83:V83)=0,"",IF(OR(B83="",C83="",D83="",F83="",G83="",H83="",I83="",L83="",M83=""),"ناقص",IF(AND(ISNUMBER(F83),ISNUMBER(H83)),"OK","السنة/السعر لازم أرقام")))</f>
        <v>OK</v>
      </c>
      <c r="X83" s="6" t="str">
        <f aca="false">IF(B83="","",B83&amp;" "&amp;C83&amp;" "&amp;D83&amp;" "&amp;E83&amp;" "&amp;F83&amp;" "&amp;G83&amp;" "&amp;I83&amp;" "&amp;L83&amp;" "&amp;M83&amp;" سعر "&amp;H83&amp;" جنيه "&amp;U83)</f>
        <v>Hyundai هيونداي Sonata DN8 سوناتا DN8 2020 مستعمل سيدان أوتوماتيك بنزين سعر 1800000 جنيه تكييف، زجاج كهربائي، قفل مركزي، ABS، مرايات كهربائية، حساسات ركن خلفية، جنوط ألومنيوم، تحكم في الثبات ESP، مقاعد كهربائية، إضاءة LED</v>
      </c>
    </row>
    <row r="84" customFormat="false" ht="23.85" hidden="false" customHeight="false" outlineLevel="0" collapsed="false">
      <c r="A84" s="6" t="s">
        <v>368</v>
      </c>
      <c r="B84" s="7" t="s">
        <v>110</v>
      </c>
      <c r="C84" s="6" t="str">
        <f aca="false">IF(B84="","",IFERROR(INDEX(Lists!$K$2:$K$60,MATCH(B84,Lists!$J$2:$J$60,0)),""))</f>
        <v>كيا</v>
      </c>
      <c r="D84" s="7" t="s">
        <v>369</v>
      </c>
      <c r="E84" s="7" t="s">
        <v>370</v>
      </c>
      <c r="F84" s="7" t="n">
        <v>2010</v>
      </c>
      <c r="G84" s="7" t="s">
        <v>249</v>
      </c>
      <c r="H84" s="8" t="n">
        <v>480000</v>
      </c>
      <c r="I84" s="7" t="s">
        <v>77</v>
      </c>
      <c r="J84" s="9" t="n">
        <v>1600</v>
      </c>
      <c r="K84" s="7" t="n">
        <v>126</v>
      </c>
      <c r="L84" s="7" t="s">
        <v>78</v>
      </c>
      <c r="M84" s="7" t="s">
        <v>79</v>
      </c>
      <c r="N84" s="7" t="n">
        <v>8</v>
      </c>
      <c r="O84" s="7" t="n">
        <v>5</v>
      </c>
      <c r="P84" s="7" t="s">
        <v>80</v>
      </c>
      <c r="Q84" s="7" t="s">
        <v>80</v>
      </c>
      <c r="R84" s="7" t="s">
        <v>80</v>
      </c>
      <c r="S84" s="7" t="s">
        <v>80</v>
      </c>
      <c r="T84" s="7" t="s">
        <v>80</v>
      </c>
      <c r="U84" s="7" t="s">
        <v>256</v>
      </c>
      <c r="V84" s="7" t="s">
        <v>252</v>
      </c>
      <c r="W84" s="6" t="str">
        <f aca="false">IF(COUNTA(B84:V84)=0,"",IF(OR(B84="",C84="",D84="",F84="",G84="",H84="",I84="",L84="",M84=""),"ناقص",IF(AND(ISNUMBER(F84),ISNUMBER(H84)),"OK","السنة/السعر لازم أرقام")))</f>
        <v>OK</v>
      </c>
      <c r="X84" s="6" t="str">
        <f aca="false">IF(B84="","",B84&amp;" "&amp;C84&amp;" "&amp;D84&amp;" "&amp;E84&amp;" "&amp;F84&amp;" "&amp;G84&amp;" "&amp;I84&amp;" "&amp;L84&amp;" "&amp;M84&amp;" سعر "&amp;H84&amp;" جنيه "&amp;U84)</f>
        <v>Kia كيا Cerato TD سيراتو TD 2010 مستعمل سيدان أوتوماتيك بنزين سعر 480000 جنيه تكييف، زجاج كهربائي، قفل مركزي، ABS</v>
      </c>
    </row>
    <row r="85" customFormat="false" ht="35.05" hidden="false" customHeight="false" outlineLevel="0" collapsed="false">
      <c r="A85" s="6" t="s">
        <v>371</v>
      </c>
      <c r="B85" s="7" t="s">
        <v>110</v>
      </c>
      <c r="C85" s="6" t="str">
        <f aca="false">IF(B85="","",IFERROR(INDEX(Lists!$K$2:$K$60,MATCH(B85,Lists!$J$2:$J$60,0)),""))</f>
        <v>كيا</v>
      </c>
      <c r="D85" s="7" t="s">
        <v>372</v>
      </c>
      <c r="E85" s="7" t="s">
        <v>373</v>
      </c>
      <c r="F85" s="7" t="n">
        <v>2014</v>
      </c>
      <c r="G85" s="7" t="s">
        <v>249</v>
      </c>
      <c r="H85" s="8" t="n">
        <v>700000</v>
      </c>
      <c r="I85" s="7" t="s">
        <v>77</v>
      </c>
      <c r="J85" s="9" t="n">
        <v>1600</v>
      </c>
      <c r="K85" s="7" t="n">
        <v>130</v>
      </c>
      <c r="L85" s="7" t="s">
        <v>78</v>
      </c>
      <c r="M85" s="7" t="s">
        <v>79</v>
      </c>
      <c r="N85" s="7" t="n">
        <v>7.8</v>
      </c>
      <c r="O85" s="7" t="n">
        <v>5</v>
      </c>
      <c r="P85" s="7" t="s">
        <v>80</v>
      </c>
      <c r="Q85" s="7" t="s">
        <v>80</v>
      </c>
      <c r="R85" s="7" t="s">
        <v>81</v>
      </c>
      <c r="S85" s="7" t="s">
        <v>80</v>
      </c>
      <c r="T85" s="7" t="s">
        <v>80</v>
      </c>
      <c r="U85" s="7" t="s">
        <v>144</v>
      </c>
      <c r="V85" s="7" t="s">
        <v>266</v>
      </c>
      <c r="W85" s="6" t="str">
        <f aca="false">IF(COUNTA(B85:V85)=0,"",IF(OR(B85="",C85="",D85="",F85="",G85="",H85="",I85="",L85="",M85=""),"ناقص",IF(AND(ISNUMBER(F85),ISNUMBER(H85)),"OK","السنة/السعر لازم أرقام")))</f>
        <v>OK</v>
      </c>
      <c r="X85" s="6" t="str">
        <f aca="false">IF(B85="","",B85&amp;" "&amp;C85&amp;" "&amp;D85&amp;" "&amp;E85&amp;" "&amp;F85&amp;" "&amp;G85&amp;" "&amp;I85&amp;" "&amp;L85&amp;" "&amp;M85&amp;" سعر "&amp;H85&amp;" جنيه "&amp;U85)</f>
        <v>Kia كيا Cerato YD سيراتو YD 2014 مستعمل سيدان أوتوماتيك بنزين سعر 700000 جنيه تكييف، زجاج كهربائي، قفل مركزي، ABS، مرايات كهربائية، حساسات ركن خلفية</v>
      </c>
    </row>
    <row r="86" customFormat="false" ht="35.05" hidden="false" customHeight="false" outlineLevel="0" collapsed="false">
      <c r="A86" s="6" t="s">
        <v>374</v>
      </c>
      <c r="B86" s="7" t="s">
        <v>110</v>
      </c>
      <c r="C86" s="6" t="str">
        <f aca="false">IF(B86="","",IFERROR(INDEX(Lists!$K$2:$K$60,MATCH(B86,Lists!$J$2:$J$60,0)),""))</f>
        <v>كيا</v>
      </c>
      <c r="D86" s="7" t="s">
        <v>375</v>
      </c>
      <c r="E86" s="7" t="s">
        <v>376</v>
      </c>
      <c r="F86" s="7" t="n">
        <v>2019</v>
      </c>
      <c r="G86" s="7" t="s">
        <v>249</v>
      </c>
      <c r="H86" s="8" t="n">
        <v>1000000</v>
      </c>
      <c r="I86" s="7" t="s">
        <v>77</v>
      </c>
      <c r="J86" s="9" t="n">
        <v>1600</v>
      </c>
      <c r="K86" s="7" t="n">
        <v>128</v>
      </c>
      <c r="L86" s="7" t="s">
        <v>78</v>
      </c>
      <c r="M86" s="7" t="s">
        <v>79</v>
      </c>
      <c r="N86" s="7" t="n">
        <v>7</v>
      </c>
      <c r="O86" s="7" t="n">
        <v>5</v>
      </c>
      <c r="P86" s="7" t="s">
        <v>81</v>
      </c>
      <c r="Q86" s="7" t="s">
        <v>81</v>
      </c>
      <c r="R86" s="7" t="s">
        <v>81</v>
      </c>
      <c r="S86" s="7" t="s">
        <v>81</v>
      </c>
      <c r="T86" s="7" t="s">
        <v>81</v>
      </c>
      <c r="U86" s="7" t="s">
        <v>148</v>
      </c>
      <c r="V86" s="7" t="s">
        <v>266</v>
      </c>
      <c r="W86" s="6" t="str">
        <f aca="false">IF(COUNTA(B86:V86)=0,"",IF(OR(B86="",C86="",D86="",F86="",G86="",H86="",I86="",L86="",M86=""),"ناقص",IF(AND(ISNUMBER(F86),ISNUMBER(H86)),"OK","السنة/السعر لازم أرقام")))</f>
        <v>OK</v>
      </c>
      <c r="X86" s="6" t="str">
        <f aca="false">IF(B86="","",B86&amp;" "&amp;C86&amp;" "&amp;D86&amp;" "&amp;E86&amp;" "&amp;F86&amp;" "&amp;G86&amp;" "&amp;I86&amp;" "&amp;L86&amp;" "&amp;M86&amp;" سعر "&amp;H86&amp;" جنيه "&amp;U86)</f>
        <v>Kia كيا Cerato BD سيراتو BD 2019 مستعمل سيدان أوتوماتيك بنزين سعر 1000000 جنيه تكييف، زجاج كهربائي، قفل مركزي، ABS، مرايات كهربائية، حساسات ركن خلفية، جنوط ألومنيوم، تحكم في الثبات ESP</v>
      </c>
    </row>
    <row r="87" customFormat="false" ht="35.05" hidden="false" customHeight="false" outlineLevel="0" collapsed="false">
      <c r="A87" s="6" t="s">
        <v>377</v>
      </c>
      <c r="B87" s="7" t="s">
        <v>110</v>
      </c>
      <c r="C87" s="6" t="str">
        <f aca="false">IF(B87="","",IFERROR(INDEX(Lists!$K$2:$K$60,MATCH(B87,Lists!$J$2:$J$60,0)),""))</f>
        <v>كيا</v>
      </c>
      <c r="D87" s="7" t="s">
        <v>378</v>
      </c>
      <c r="E87" s="7" t="s">
        <v>379</v>
      </c>
      <c r="F87" s="7" t="n">
        <v>2010</v>
      </c>
      <c r="G87" s="7" t="s">
        <v>249</v>
      </c>
      <c r="H87" s="8" t="n">
        <v>300000</v>
      </c>
      <c r="I87" s="7" t="s">
        <v>77</v>
      </c>
      <c r="J87" s="9" t="n">
        <v>1400</v>
      </c>
      <c r="K87" s="7" t="n">
        <v>97</v>
      </c>
      <c r="L87" s="7" t="s">
        <v>250</v>
      </c>
      <c r="M87" s="7" t="s">
        <v>79</v>
      </c>
      <c r="N87" s="7" t="n">
        <v>7</v>
      </c>
      <c r="O87" s="7" t="n">
        <v>5</v>
      </c>
      <c r="P87" s="7" t="s">
        <v>80</v>
      </c>
      <c r="Q87" s="7" t="s">
        <v>80</v>
      </c>
      <c r="R87" s="7" t="s">
        <v>80</v>
      </c>
      <c r="S87" s="7" t="s">
        <v>80</v>
      </c>
      <c r="T87" s="7" t="s">
        <v>80</v>
      </c>
      <c r="U87" s="7" t="s">
        <v>256</v>
      </c>
      <c r="V87" s="7" t="s">
        <v>266</v>
      </c>
      <c r="W87" s="6" t="str">
        <f aca="false">IF(COUNTA(B87:V87)=0,"",IF(OR(B87="",C87="",D87="",F87="",G87="",H87="",I87="",L87="",M87=""),"ناقص",IF(AND(ISNUMBER(F87),ISNUMBER(H87)),"OK","السنة/السعر لازم أرقام")))</f>
        <v>OK</v>
      </c>
      <c r="X87" s="6" t="str">
        <f aca="false">IF(B87="","",B87&amp;" "&amp;C87&amp;" "&amp;D87&amp;" "&amp;E87&amp;" "&amp;F87&amp;" "&amp;G87&amp;" "&amp;I87&amp;" "&amp;L87&amp;" "&amp;M87&amp;" سعر "&amp;H87&amp;" جنيه "&amp;U87)</f>
        <v>Kia كيا Rio JB ريو JB 2010 مستعمل سيدان مانيوال بنزين سعر 300000 جنيه تكييف، زجاج كهربائي، قفل مركزي، ABS</v>
      </c>
    </row>
    <row r="88" customFormat="false" ht="35.05" hidden="false" customHeight="false" outlineLevel="0" collapsed="false">
      <c r="A88" s="6" t="s">
        <v>380</v>
      </c>
      <c r="B88" s="7" t="s">
        <v>110</v>
      </c>
      <c r="C88" s="6" t="str">
        <f aca="false">IF(B88="","",IFERROR(INDEX(Lists!$K$2:$K$60,MATCH(B88,Lists!$J$2:$J$60,0)),""))</f>
        <v>كيا</v>
      </c>
      <c r="D88" s="7" t="s">
        <v>381</v>
      </c>
      <c r="E88" s="7" t="s">
        <v>382</v>
      </c>
      <c r="F88" s="7" t="n">
        <v>2014</v>
      </c>
      <c r="G88" s="7" t="s">
        <v>249</v>
      </c>
      <c r="H88" s="8" t="n">
        <v>450000</v>
      </c>
      <c r="I88" s="7" t="s">
        <v>77</v>
      </c>
      <c r="J88" s="9" t="n">
        <v>1400</v>
      </c>
      <c r="K88" s="7" t="n">
        <v>107</v>
      </c>
      <c r="L88" s="7" t="s">
        <v>78</v>
      </c>
      <c r="M88" s="7" t="s">
        <v>79</v>
      </c>
      <c r="N88" s="7" t="n">
        <v>7</v>
      </c>
      <c r="O88" s="7" t="n">
        <v>5</v>
      </c>
      <c r="P88" s="7" t="s">
        <v>80</v>
      </c>
      <c r="Q88" s="7" t="s">
        <v>80</v>
      </c>
      <c r="R88" s="7" t="s">
        <v>81</v>
      </c>
      <c r="S88" s="7" t="s">
        <v>80</v>
      </c>
      <c r="T88" s="7" t="s">
        <v>80</v>
      </c>
      <c r="U88" s="7" t="s">
        <v>144</v>
      </c>
      <c r="V88" s="7" t="s">
        <v>266</v>
      </c>
      <c r="W88" s="6" t="str">
        <f aca="false">IF(COUNTA(B88:V88)=0,"",IF(OR(B88="",C88="",D88="",F88="",G88="",H88="",I88="",L88="",M88=""),"ناقص",IF(AND(ISNUMBER(F88),ISNUMBER(H88)),"OK","السنة/السعر لازم أرقام")))</f>
        <v>OK</v>
      </c>
      <c r="X88" s="6" t="str">
        <f aca="false">IF(B88="","",B88&amp;" "&amp;C88&amp;" "&amp;D88&amp;" "&amp;E88&amp;" "&amp;F88&amp;" "&amp;G88&amp;" "&amp;I88&amp;" "&amp;L88&amp;" "&amp;M88&amp;" سعر "&amp;H88&amp;" جنيه "&amp;U88)</f>
        <v>Kia كيا Rio UB ريو UB 2014 مستعمل سيدان أوتوماتيك بنزين سعر 450000 جنيه تكييف، زجاج كهربائي، قفل مركزي، ABS، مرايات كهربائية، حساسات ركن خلفية</v>
      </c>
    </row>
    <row r="89" customFormat="false" ht="35.05" hidden="false" customHeight="false" outlineLevel="0" collapsed="false">
      <c r="A89" s="6" t="s">
        <v>383</v>
      </c>
      <c r="B89" s="7" t="s">
        <v>110</v>
      </c>
      <c r="C89" s="6" t="str">
        <f aca="false">IF(B89="","",IFERROR(INDEX(Lists!$K$2:$K$60,MATCH(B89,Lists!$J$2:$J$60,0)),""))</f>
        <v>كيا</v>
      </c>
      <c r="D89" s="7" t="s">
        <v>384</v>
      </c>
      <c r="E89" s="7" t="s">
        <v>385</v>
      </c>
      <c r="F89" s="7" t="n">
        <v>2016</v>
      </c>
      <c r="G89" s="7" t="s">
        <v>249</v>
      </c>
      <c r="H89" s="8" t="n">
        <v>400000</v>
      </c>
      <c r="I89" s="7" t="s">
        <v>270</v>
      </c>
      <c r="J89" s="9" t="n">
        <v>1200</v>
      </c>
      <c r="K89" s="7" t="n">
        <v>85</v>
      </c>
      <c r="L89" s="7" t="s">
        <v>250</v>
      </c>
      <c r="M89" s="7" t="s">
        <v>79</v>
      </c>
      <c r="N89" s="7" t="n">
        <v>6</v>
      </c>
      <c r="O89" s="7" t="n">
        <v>5</v>
      </c>
      <c r="P89" s="7" t="s">
        <v>80</v>
      </c>
      <c r="Q89" s="7" t="s">
        <v>80</v>
      </c>
      <c r="R89" s="7" t="s">
        <v>80</v>
      </c>
      <c r="S89" s="7" t="s">
        <v>80</v>
      </c>
      <c r="T89" s="7" t="s">
        <v>81</v>
      </c>
      <c r="U89" s="7" t="s">
        <v>256</v>
      </c>
      <c r="V89" s="7" t="s">
        <v>266</v>
      </c>
      <c r="W89" s="6" t="str">
        <f aca="false">IF(COUNTA(B89:V89)=0,"",IF(OR(B89="",C89="",D89="",F89="",G89="",H89="",I89="",L89="",M89=""),"ناقص",IF(AND(ISNUMBER(F89),ISNUMBER(H89)),"OK","السنة/السعر لازم أرقام")))</f>
        <v>OK</v>
      </c>
      <c r="X89" s="6" t="str">
        <f aca="false">IF(B89="","",B89&amp;" "&amp;C89&amp;" "&amp;D89&amp;" "&amp;E89&amp;" "&amp;F89&amp;" "&amp;G89&amp;" "&amp;I89&amp;" "&amp;L89&amp;" "&amp;M89&amp;" سعر "&amp;H89&amp;" جنيه "&amp;U89)</f>
        <v>Kia كيا Picanto TA بيكانتو TA 2016 مستعمل هاتشباك مانيوال بنزين سعر 400000 جنيه تكييف، زجاج كهربائي، قفل مركزي، ABS</v>
      </c>
    </row>
    <row r="90" customFormat="false" ht="35.05" hidden="false" customHeight="false" outlineLevel="0" collapsed="false">
      <c r="A90" s="6" t="s">
        <v>386</v>
      </c>
      <c r="B90" s="7" t="s">
        <v>110</v>
      </c>
      <c r="C90" s="6" t="str">
        <f aca="false">IF(B90="","",IFERROR(INDEX(Lists!$K$2:$K$60,MATCH(B90,Lists!$J$2:$J$60,0)),""))</f>
        <v>كيا</v>
      </c>
      <c r="D90" s="7" t="s">
        <v>387</v>
      </c>
      <c r="E90" s="7" t="s">
        <v>388</v>
      </c>
      <c r="F90" s="7" t="n">
        <v>2020</v>
      </c>
      <c r="G90" s="7" t="s">
        <v>249</v>
      </c>
      <c r="H90" s="8" t="n">
        <v>600000</v>
      </c>
      <c r="I90" s="7" t="s">
        <v>270</v>
      </c>
      <c r="J90" s="9" t="n">
        <v>1200</v>
      </c>
      <c r="K90" s="7" t="n">
        <v>83</v>
      </c>
      <c r="L90" s="7" t="s">
        <v>78</v>
      </c>
      <c r="M90" s="7" t="s">
        <v>79</v>
      </c>
      <c r="N90" s="7" t="n">
        <v>5.8</v>
      </c>
      <c r="O90" s="7" t="n">
        <v>5</v>
      </c>
      <c r="P90" s="7" t="s">
        <v>80</v>
      </c>
      <c r="Q90" s="7" t="s">
        <v>81</v>
      </c>
      <c r="R90" s="7" t="s">
        <v>81</v>
      </c>
      <c r="S90" s="7" t="s">
        <v>80</v>
      </c>
      <c r="T90" s="7" t="s">
        <v>81</v>
      </c>
      <c r="U90" s="7" t="s">
        <v>144</v>
      </c>
      <c r="V90" s="7" t="s">
        <v>266</v>
      </c>
      <c r="W90" s="6" t="str">
        <f aca="false">IF(COUNTA(B90:V90)=0,"",IF(OR(B90="",C90="",D90="",F90="",G90="",H90="",I90="",L90="",M90=""),"ناقص",IF(AND(ISNUMBER(F90),ISNUMBER(H90)),"OK","السنة/السعر لازم أرقام")))</f>
        <v>OK</v>
      </c>
      <c r="X90" s="6" t="str">
        <f aca="false">IF(B90="","",B90&amp;" "&amp;C90&amp;" "&amp;D90&amp;" "&amp;E90&amp;" "&amp;F90&amp;" "&amp;G90&amp;" "&amp;I90&amp;" "&amp;L90&amp;" "&amp;M90&amp;" سعر "&amp;H90&amp;" جنيه "&amp;U90)</f>
        <v>Kia كيا Picanto JA بيكانتو JA 2020 مستعمل هاتشباك أوتوماتيك بنزين سعر 600000 جنيه تكييف، زجاج كهربائي، قفل مركزي، ABS، مرايات كهربائية، حساسات ركن خلفية</v>
      </c>
    </row>
    <row r="91" customFormat="false" ht="35.05" hidden="false" customHeight="false" outlineLevel="0" collapsed="false">
      <c r="A91" s="6" t="s">
        <v>389</v>
      </c>
      <c r="B91" s="7" t="s">
        <v>110</v>
      </c>
      <c r="C91" s="6" t="str">
        <f aca="false">IF(B91="","",IFERROR(INDEX(Lists!$K$2:$K$60,MATCH(B91,Lists!$J$2:$J$60,0)),""))</f>
        <v>كيا</v>
      </c>
      <c r="D91" s="7" t="s">
        <v>390</v>
      </c>
      <c r="E91" s="7" t="s">
        <v>391</v>
      </c>
      <c r="F91" s="7" t="n">
        <v>2013</v>
      </c>
      <c r="G91" s="7" t="s">
        <v>249</v>
      </c>
      <c r="H91" s="8" t="n">
        <v>900000</v>
      </c>
      <c r="I91" s="7" t="s">
        <v>113</v>
      </c>
      <c r="J91" s="9" t="n">
        <v>2000</v>
      </c>
      <c r="K91" s="7" t="n">
        <v>166</v>
      </c>
      <c r="L91" s="7" t="s">
        <v>78</v>
      </c>
      <c r="M91" s="7" t="s">
        <v>79</v>
      </c>
      <c r="N91" s="7" t="n">
        <v>9.5</v>
      </c>
      <c r="O91" s="7" t="n">
        <v>5</v>
      </c>
      <c r="P91" s="7" t="s">
        <v>80</v>
      </c>
      <c r="Q91" s="7" t="s">
        <v>80</v>
      </c>
      <c r="R91" s="7" t="s">
        <v>80</v>
      </c>
      <c r="S91" s="7" t="s">
        <v>80</v>
      </c>
      <c r="T91" s="7" t="s">
        <v>80</v>
      </c>
      <c r="U91" s="7" t="s">
        <v>144</v>
      </c>
      <c r="V91" s="7" t="s">
        <v>266</v>
      </c>
      <c r="W91" s="6" t="str">
        <f aca="false">IF(COUNTA(B91:V91)=0,"",IF(OR(B91="",C91="",D91="",F91="",G91="",H91="",I91="",L91="",M91=""),"ناقص",IF(AND(ISNUMBER(F91),ISNUMBER(H91)),"OK","السنة/السعر لازم أرقام")))</f>
        <v>OK</v>
      </c>
      <c r="X91" s="6" t="str">
        <f aca="false">IF(B91="","",B91&amp;" "&amp;C91&amp;" "&amp;D91&amp;" "&amp;E91&amp;" "&amp;F91&amp;" "&amp;G91&amp;" "&amp;I91&amp;" "&amp;L91&amp;" "&amp;M91&amp;" سعر "&amp;H91&amp;" جنيه "&amp;U91)</f>
        <v>Kia كيا Sportage SL سبورتاج SL 2013 مستعمل SUV أوتوماتيك بنزين سعر 900000 جنيه تكييف، زجاج كهربائي، قفل مركزي، ABS، مرايات كهربائية، حساسات ركن خلفية</v>
      </c>
    </row>
    <row r="92" customFormat="false" ht="35.05" hidden="false" customHeight="false" outlineLevel="0" collapsed="false">
      <c r="A92" s="6" t="s">
        <v>392</v>
      </c>
      <c r="B92" s="7" t="s">
        <v>110</v>
      </c>
      <c r="C92" s="6" t="str">
        <f aca="false">IF(B92="","",IFERROR(INDEX(Lists!$K$2:$K$60,MATCH(B92,Lists!$J$2:$J$60,0)),""))</f>
        <v>كيا</v>
      </c>
      <c r="D92" s="7" t="s">
        <v>393</v>
      </c>
      <c r="E92" s="7" t="s">
        <v>394</v>
      </c>
      <c r="F92" s="7" t="n">
        <v>2018</v>
      </c>
      <c r="G92" s="7" t="s">
        <v>249</v>
      </c>
      <c r="H92" s="8" t="n">
        <v>1500000</v>
      </c>
      <c r="I92" s="7" t="s">
        <v>113</v>
      </c>
      <c r="J92" s="9" t="n">
        <v>2000</v>
      </c>
      <c r="K92" s="7" t="n">
        <v>155</v>
      </c>
      <c r="L92" s="7" t="s">
        <v>78</v>
      </c>
      <c r="M92" s="7" t="s">
        <v>79</v>
      </c>
      <c r="N92" s="7" t="n">
        <v>9</v>
      </c>
      <c r="O92" s="7" t="n">
        <v>5</v>
      </c>
      <c r="P92" s="7" t="s">
        <v>81</v>
      </c>
      <c r="Q92" s="7" t="s">
        <v>81</v>
      </c>
      <c r="R92" s="7" t="s">
        <v>81</v>
      </c>
      <c r="S92" s="7" t="s">
        <v>81</v>
      </c>
      <c r="T92" s="7" t="s">
        <v>81</v>
      </c>
      <c r="U92" s="7" t="s">
        <v>148</v>
      </c>
      <c r="V92" s="7" t="s">
        <v>266</v>
      </c>
      <c r="W92" s="6" t="str">
        <f aca="false">IF(COUNTA(B92:V92)=0,"",IF(OR(B92="",C92="",D92="",F92="",G92="",H92="",I92="",L92="",M92=""),"ناقص",IF(AND(ISNUMBER(F92),ISNUMBER(H92)),"OK","السنة/السعر لازم أرقام")))</f>
        <v>OK</v>
      </c>
      <c r="X92" s="6" t="str">
        <f aca="false">IF(B92="","",B92&amp;" "&amp;C92&amp;" "&amp;D92&amp;" "&amp;E92&amp;" "&amp;F92&amp;" "&amp;G92&amp;" "&amp;I92&amp;" "&amp;L92&amp;" "&amp;M92&amp;" سعر "&amp;H92&amp;" جنيه "&amp;U92)</f>
        <v>Kia كيا Sportage QL سبورتاج QL 2018 مستعمل SUV أوتوماتيك بنزين سعر 1500000 جنيه تكييف، زجاج كهربائي، قفل مركزي، ABS، مرايات كهربائية، حساسات ركن خلفية، جنوط ألومنيوم، تحكم في الثبات ESP</v>
      </c>
    </row>
    <row r="93" customFormat="false" ht="46.25" hidden="false" customHeight="false" outlineLevel="0" collapsed="false">
      <c r="A93" s="6" t="s">
        <v>395</v>
      </c>
      <c r="B93" s="7" t="s">
        <v>110</v>
      </c>
      <c r="C93" s="6" t="str">
        <f aca="false">IF(B93="","",IFERROR(INDEX(Lists!$K$2:$K$60,MATCH(B93,Lists!$J$2:$J$60,0)),""))</f>
        <v>كيا</v>
      </c>
      <c r="D93" s="7" t="s">
        <v>396</v>
      </c>
      <c r="E93" s="7" t="s">
        <v>397</v>
      </c>
      <c r="F93" s="7" t="n">
        <v>2023</v>
      </c>
      <c r="G93" s="7" t="s">
        <v>249</v>
      </c>
      <c r="H93" s="8" t="n">
        <v>2600000</v>
      </c>
      <c r="I93" s="7" t="s">
        <v>113</v>
      </c>
      <c r="J93" s="9" t="n">
        <v>1600</v>
      </c>
      <c r="K93" s="7" t="n">
        <v>180</v>
      </c>
      <c r="L93" s="7" t="s">
        <v>135</v>
      </c>
      <c r="M93" s="7" t="s">
        <v>79</v>
      </c>
      <c r="N93" s="7" t="n">
        <v>8</v>
      </c>
      <c r="O93" s="7" t="n">
        <v>5</v>
      </c>
      <c r="P93" s="7" t="s">
        <v>81</v>
      </c>
      <c r="Q93" s="7" t="s">
        <v>81</v>
      </c>
      <c r="R93" s="7" t="s">
        <v>81</v>
      </c>
      <c r="S93" s="7" t="s">
        <v>81</v>
      </c>
      <c r="T93" s="7" t="s">
        <v>81</v>
      </c>
      <c r="U93" s="7" t="s">
        <v>299</v>
      </c>
      <c r="V93" s="7" t="s">
        <v>266</v>
      </c>
      <c r="W93" s="6" t="str">
        <f aca="false">IF(COUNTA(B93:V93)=0,"",IF(OR(B93="",C93="",D93="",F93="",G93="",H93="",I93="",L93="",M93=""),"ناقص",IF(AND(ISNUMBER(F93),ISNUMBER(H93)),"OK","السنة/السعر لازم أرقام")))</f>
        <v>OK</v>
      </c>
      <c r="X93" s="6" t="str">
        <f aca="false">IF(B93="","",B93&amp;" "&amp;C93&amp;" "&amp;D93&amp;" "&amp;E93&amp;" "&amp;F93&amp;" "&amp;G93&amp;" "&amp;I93&amp;" "&amp;L93&amp;" "&amp;M93&amp;" سعر "&amp;H93&amp;" جنيه "&amp;U93)</f>
        <v>Kia كيا Sportage NQ5 سبورتاج NQ5 2023 مستعمل SUV DCT بنزين سعر 2600000 جنيه تكييف، زجاج كهربائي، قفل مركزي، ABS، مرايات كهربائية، حساسات ركن خلفية، جنوط ألومنيوم، تحكم في الثبات ESP، مقاعد كهربائية، إضاءة LED</v>
      </c>
    </row>
    <row r="94" customFormat="false" ht="35.05" hidden="false" customHeight="false" outlineLevel="0" collapsed="false">
      <c r="A94" s="6" t="s">
        <v>398</v>
      </c>
      <c r="B94" s="7" t="s">
        <v>110</v>
      </c>
      <c r="C94" s="6" t="str">
        <f aca="false">IF(B94="","",IFERROR(INDEX(Lists!$K$2:$K$60,MATCH(B94,Lists!$J$2:$J$60,0)),""))</f>
        <v>كيا</v>
      </c>
      <c r="D94" s="7" t="s">
        <v>399</v>
      </c>
      <c r="E94" s="7" t="s">
        <v>400</v>
      </c>
      <c r="F94" s="7" t="n">
        <v>2012</v>
      </c>
      <c r="G94" s="7" t="s">
        <v>249</v>
      </c>
      <c r="H94" s="8" t="n">
        <v>800000</v>
      </c>
      <c r="I94" s="7" t="s">
        <v>113</v>
      </c>
      <c r="J94" s="9" t="n">
        <v>2400</v>
      </c>
      <c r="K94" s="7" t="n">
        <v>174</v>
      </c>
      <c r="L94" s="7" t="s">
        <v>78</v>
      </c>
      <c r="M94" s="7" t="s">
        <v>79</v>
      </c>
      <c r="N94" s="7" t="n">
        <v>11</v>
      </c>
      <c r="O94" s="7" t="n">
        <v>7</v>
      </c>
      <c r="P94" s="7" t="s">
        <v>81</v>
      </c>
      <c r="Q94" s="7" t="s">
        <v>80</v>
      </c>
      <c r="R94" s="7" t="s">
        <v>81</v>
      </c>
      <c r="S94" s="7" t="s">
        <v>81</v>
      </c>
      <c r="T94" s="7" t="s">
        <v>81</v>
      </c>
      <c r="U94" s="7" t="s">
        <v>144</v>
      </c>
      <c r="V94" s="7" t="s">
        <v>266</v>
      </c>
      <c r="W94" s="6" t="str">
        <f aca="false">IF(COUNTA(B94:V94)=0,"",IF(OR(B94="",C94="",D94="",F94="",G94="",H94="",I94="",L94="",M94=""),"ناقص",IF(AND(ISNUMBER(F94),ISNUMBER(H94)),"OK","السنة/السعر لازم أرقام")))</f>
        <v>OK</v>
      </c>
      <c r="X94" s="6" t="str">
        <f aca="false">IF(B94="","",B94&amp;" "&amp;C94&amp;" "&amp;D94&amp;" "&amp;E94&amp;" "&amp;F94&amp;" "&amp;G94&amp;" "&amp;I94&amp;" "&amp;L94&amp;" "&amp;M94&amp;" سعر "&amp;H94&amp;" جنيه "&amp;U94)</f>
        <v>Kia كيا Sorento XM سورينتو XM 2012 مستعمل SUV أوتوماتيك بنزين سعر 800000 جنيه تكييف، زجاج كهربائي، قفل مركزي، ABS، مرايات كهربائية، حساسات ركن خلفية</v>
      </c>
    </row>
    <row r="95" customFormat="false" ht="46.25" hidden="false" customHeight="false" outlineLevel="0" collapsed="false">
      <c r="A95" s="6" t="s">
        <v>401</v>
      </c>
      <c r="B95" s="7" t="s">
        <v>110</v>
      </c>
      <c r="C95" s="6" t="str">
        <f aca="false">IF(B95="","",IFERROR(INDEX(Lists!$K$2:$K$60,MATCH(B95,Lists!$J$2:$J$60,0)),""))</f>
        <v>كيا</v>
      </c>
      <c r="D95" s="7" t="s">
        <v>402</v>
      </c>
      <c r="E95" s="7" t="s">
        <v>403</v>
      </c>
      <c r="F95" s="7" t="n">
        <v>2018</v>
      </c>
      <c r="G95" s="7" t="s">
        <v>249</v>
      </c>
      <c r="H95" s="8" t="n">
        <v>2000000</v>
      </c>
      <c r="I95" s="7" t="s">
        <v>113</v>
      </c>
      <c r="J95" s="9" t="n">
        <v>2400</v>
      </c>
      <c r="K95" s="7" t="n">
        <v>185</v>
      </c>
      <c r="L95" s="7" t="s">
        <v>78</v>
      </c>
      <c r="M95" s="7" t="s">
        <v>79</v>
      </c>
      <c r="N95" s="7" t="n">
        <v>10</v>
      </c>
      <c r="O95" s="7" t="n">
        <v>7</v>
      </c>
      <c r="P95" s="7" t="s">
        <v>81</v>
      </c>
      <c r="Q95" s="7" t="s">
        <v>81</v>
      </c>
      <c r="R95" s="7" t="s">
        <v>81</v>
      </c>
      <c r="S95" s="7" t="s">
        <v>81</v>
      </c>
      <c r="T95" s="7" t="s">
        <v>81</v>
      </c>
      <c r="U95" s="7" t="s">
        <v>299</v>
      </c>
      <c r="V95" s="7" t="s">
        <v>266</v>
      </c>
      <c r="W95" s="6" t="str">
        <f aca="false">IF(COUNTA(B95:V95)=0,"",IF(OR(B95="",C95="",D95="",F95="",G95="",H95="",I95="",L95="",M95=""),"ناقص",IF(AND(ISNUMBER(F95),ISNUMBER(H95)),"OK","السنة/السعر لازم أرقام")))</f>
        <v>OK</v>
      </c>
      <c r="X95" s="6" t="str">
        <f aca="false">IF(B95="","",B95&amp;" "&amp;C95&amp;" "&amp;D95&amp;" "&amp;E95&amp;" "&amp;F95&amp;" "&amp;G95&amp;" "&amp;I95&amp;" "&amp;L95&amp;" "&amp;M95&amp;" سعر "&amp;H95&amp;" جنيه "&amp;U95)</f>
        <v>Kia كيا Sorento UM سورينتو UM 2018 مستعمل SUV أوتوماتيك بنزين سعر 2000000 جنيه تكييف، زجاج كهربائي، قفل مركزي، ABS، مرايات كهربائية، حساسات ركن خلفية، جنوط ألومنيوم، تحكم في الثبات ESP، مقاعد كهربائية، إضاءة LED</v>
      </c>
    </row>
    <row r="96" customFormat="false" ht="35.05" hidden="false" customHeight="false" outlineLevel="0" collapsed="false">
      <c r="A96" s="6" t="s">
        <v>404</v>
      </c>
      <c r="B96" s="7" t="s">
        <v>110</v>
      </c>
      <c r="C96" s="6" t="str">
        <f aca="false">IF(B96="","",IFERROR(INDEX(Lists!$K$2:$K$60,MATCH(B96,Lists!$J$2:$J$60,0)),""))</f>
        <v>كيا</v>
      </c>
      <c r="D96" s="7" t="s">
        <v>405</v>
      </c>
      <c r="E96" s="7" t="s">
        <v>406</v>
      </c>
      <c r="F96" s="7" t="n">
        <v>2013</v>
      </c>
      <c r="G96" s="7" t="s">
        <v>249</v>
      </c>
      <c r="H96" s="8" t="n">
        <v>600000</v>
      </c>
      <c r="I96" s="7" t="s">
        <v>105</v>
      </c>
      <c r="J96" s="9" t="n">
        <v>1600</v>
      </c>
      <c r="K96" s="7" t="n">
        <v>124</v>
      </c>
      <c r="L96" s="7" t="s">
        <v>78</v>
      </c>
      <c r="M96" s="7" t="s">
        <v>79</v>
      </c>
      <c r="N96" s="7" t="n">
        <v>8</v>
      </c>
      <c r="O96" s="7" t="n">
        <v>5</v>
      </c>
      <c r="P96" s="7" t="s">
        <v>80</v>
      </c>
      <c r="Q96" s="7" t="s">
        <v>80</v>
      </c>
      <c r="R96" s="7" t="s">
        <v>80</v>
      </c>
      <c r="S96" s="7" t="s">
        <v>80</v>
      </c>
      <c r="T96" s="7" t="s">
        <v>80</v>
      </c>
      <c r="U96" s="7" t="s">
        <v>144</v>
      </c>
      <c r="V96" s="7" t="s">
        <v>266</v>
      </c>
      <c r="W96" s="6" t="str">
        <f aca="false">IF(COUNTA(B96:V96)=0,"",IF(OR(B96="",C96="",D96="",F96="",G96="",H96="",I96="",L96="",M96=""),"ناقص",IF(AND(ISNUMBER(F96),ISNUMBER(H96)),"OK","السنة/السعر لازم أرقام")))</f>
        <v>OK</v>
      </c>
      <c r="X96" s="6" t="str">
        <f aca="false">IF(B96="","",B96&amp;" "&amp;C96&amp;" "&amp;D96&amp;" "&amp;E96&amp;" "&amp;F96&amp;" "&amp;G96&amp;" "&amp;I96&amp;" "&amp;L96&amp;" "&amp;M96&amp;" سعر "&amp;H96&amp;" جنيه "&amp;U96)</f>
        <v>Kia كيا Soul AM سول AM 2013 مستعمل كروس أوفر أوتوماتيك بنزين سعر 600000 جنيه تكييف، زجاج كهربائي، قفل مركزي، ABS، مرايات كهربائية، حساسات ركن خلفية</v>
      </c>
    </row>
    <row r="97" customFormat="false" ht="35.05" hidden="false" customHeight="false" outlineLevel="0" collapsed="false">
      <c r="A97" s="6" t="s">
        <v>407</v>
      </c>
      <c r="B97" s="7" t="s">
        <v>110</v>
      </c>
      <c r="C97" s="6" t="str">
        <f aca="false">IF(B97="","",IFERROR(INDEX(Lists!$K$2:$K$60,MATCH(B97,Lists!$J$2:$J$60,0)),""))</f>
        <v>كيا</v>
      </c>
      <c r="D97" s="7" t="s">
        <v>408</v>
      </c>
      <c r="E97" s="7" t="s">
        <v>409</v>
      </c>
      <c r="F97" s="7" t="n">
        <v>2013</v>
      </c>
      <c r="G97" s="7" t="s">
        <v>249</v>
      </c>
      <c r="H97" s="8" t="n">
        <v>750000</v>
      </c>
      <c r="I97" s="7" t="s">
        <v>77</v>
      </c>
      <c r="J97" s="9" t="n">
        <v>2400</v>
      </c>
      <c r="K97" s="7" t="n">
        <v>178</v>
      </c>
      <c r="L97" s="7" t="s">
        <v>78</v>
      </c>
      <c r="M97" s="7" t="s">
        <v>79</v>
      </c>
      <c r="N97" s="7" t="n">
        <v>9.5</v>
      </c>
      <c r="O97" s="7" t="n">
        <v>5</v>
      </c>
      <c r="P97" s="7" t="s">
        <v>81</v>
      </c>
      <c r="Q97" s="7" t="s">
        <v>80</v>
      </c>
      <c r="R97" s="7" t="s">
        <v>81</v>
      </c>
      <c r="S97" s="7" t="s">
        <v>81</v>
      </c>
      <c r="T97" s="7" t="s">
        <v>81</v>
      </c>
      <c r="U97" s="7" t="s">
        <v>144</v>
      </c>
      <c r="V97" s="7" t="s">
        <v>266</v>
      </c>
      <c r="W97" s="6" t="str">
        <f aca="false">IF(COUNTA(B97:V97)=0,"",IF(OR(B97="",C97="",D97="",F97="",G97="",H97="",I97="",L97="",M97=""),"ناقص",IF(AND(ISNUMBER(F97),ISNUMBER(H97)),"OK","السنة/السعر لازم أرقام")))</f>
        <v>OK</v>
      </c>
      <c r="X97" s="6" t="str">
        <f aca="false">IF(B97="","",B97&amp;" "&amp;C97&amp;" "&amp;D97&amp;" "&amp;E97&amp;" "&amp;F97&amp;" "&amp;G97&amp;" "&amp;I97&amp;" "&amp;L97&amp;" "&amp;M97&amp;" سعر "&amp;H97&amp;" جنيه "&amp;U97)</f>
        <v>Kia كيا Optima TF أوبتيما TF 2013 مستعمل سيدان أوتوماتيك بنزين سعر 750000 جنيه تكييف، زجاج كهربائي، قفل مركزي، ABS، مرايات كهربائية، حساسات ركن خلفية</v>
      </c>
    </row>
    <row r="98" customFormat="false" ht="35.05" hidden="false" customHeight="false" outlineLevel="0" collapsed="false">
      <c r="A98" s="6" t="s">
        <v>410</v>
      </c>
      <c r="B98" s="7" t="s">
        <v>110</v>
      </c>
      <c r="C98" s="6" t="str">
        <f aca="false">IF(B98="","",IFERROR(INDEX(Lists!$K$2:$K$60,MATCH(B98,Lists!$J$2:$J$60,0)),""))</f>
        <v>كيا</v>
      </c>
      <c r="D98" s="7" t="s">
        <v>411</v>
      </c>
      <c r="E98" s="7" t="s">
        <v>412</v>
      </c>
      <c r="F98" s="7" t="n">
        <v>2022</v>
      </c>
      <c r="G98" s="7" t="s">
        <v>249</v>
      </c>
      <c r="H98" s="8" t="n">
        <v>900000</v>
      </c>
      <c r="I98" s="7" t="s">
        <v>77</v>
      </c>
      <c r="J98" s="9" t="n">
        <v>1400</v>
      </c>
      <c r="K98" s="7" t="n">
        <v>97</v>
      </c>
      <c r="L98" s="7" t="s">
        <v>230</v>
      </c>
      <c r="M98" s="7" t="s">
        <v>79</v>
      </c>
      <c r="N98" s="7" t="n">
        <v>6.5</v>
      </c>
      <c r="O98" s="7" t="n">
        <v>5</v>
      </c>
      <c r="P98" s="7" t="s">
        <v>80</v>
      </c>
      <c r="Q98" s="7" t="s">
        <v>81</v>
      </c>
      <c r="R98" s="7" t="s">
        <v>81</v>
      </c>
      <c r="S98" s="7" t="s">
        <v>80</v>
      </c>
      <c r="T98" s="7" t="s">
        <v>81</v>
      </c>
      <c r="U98" s="7" t="s">
        <v>144</v>
      </c>
      <c r="V98" s="7" t="s">
        <v>266</v>
      </c>
      <c r="W98" s="6" t="str">
        <f aca="false">IF(COUNTA(B98:V98)=0,"",IF(OR(B98="",C98="",D98="",F98="",G98="",H98="",I98="",L98="",M98=""),"ناقص",IF(AND(ISNUMBER(F98),ISNUMBER(H98)),"OK","السنة/السعر لازم أرقام")))</f>
        <v>OK</v>
      </c>
      <c r="X98" s="6" t="str">
        <f aca="false">IF(B98="","",B98&amp;" "&amp;C98&amp;" "&amp;D98&amp;" "&amp;E98&amp;" "&amp;F98&amp;" "&amp;G98&amp;" "&amp;I98&amp;" "&amp;L98&amp;" "&amp;M98&amp;" سعر "&amp;H98&amp;" جنيه "&amp;U98)</f>
        <v>Kia كيا Pegas بيجاس 2022 مستعمل سيدان CVT بنزين سعر 900000 جنيه تكييف، زجاج كهربائي، قفل مركزي، ABS، مرايات كهربائية، حساسات ركن خلفية</v>
      </c>
    </row>
    <row r="99" customFormat="false" ht="35.05" hidden="false" customHeight="false" outlineLevel="0" collapsed="false">
      <c r="A99" s="6" t="s">
        <v>413</v>
      </c>
      <c r="B99" s="7" t="s">
        <v>123</v>
      </c>
      <c r="C99" s="6" t="str">
        <f aca="false">IF(B99="","",IFERROR(INDEX(Lists!$K$2:$K$60,MATCH(B99,Lists!$J$2:$J$60,0)),""))</f>
        <v>نيسان</v>
      </c>
      <c r="D99" s="7" t="s">
        <v>414</v>
      </c>
      <c r="E99" s="7" t="s">
        <v>415</v>
      </c>
      <c r="F99" s="7" t="n">
        <v>1998</v>
      </c>
      <c r="G99" s="7" t="s">
        <v>249</v>
      </c>
      <c r="H99" s="8" t="n">
        <v>230000</v>
      </c>
      <c r="I99" s="7" t="s">
        <v>77</v>
      </c>
      <c r="J99" s="9" t="n">
        <v>1600</v>
      </c>
      <c r="K99" s="7" t="n">
        <v>87</v>
      </c>
      <c r="L99" s="7" t="s">
        <v>250</v>
      </c>
      <c r="M99" s="7" t="s">
        <v>79</v>
      </c>
      <c r="N99" s="7" t="n">
        <v>8.5</v>
      </c>
      <c r="O99" s="7" t="n">
        <v>5</v>
      </c>
      <c r="P99" s="7" t="s">
        <v>80</v>
      </c>
      <c r="Q99" s="7" t="s">
        <v>80</v>
      </c>
      <c r="R99" s="7" t="s">
        <v>80</v>
      </c>
      <c r="S99" s="7" t="s">
        <v>80</v>
      </c>
      <c r="T99" s="7" t="s">
        <v>80</v>
      </c>
      <c r="U99" s="7" t="s">
        <v>251</v>
      </c>
      <c r="V99" s="7" t="s">
        <v>266</v>
      </c>
      <c r="W99" s="6" t="str">
        <f aca="false">IF(COUNTA(B99:V99)=0,"",IF(OR(B99="",C99="",D99="",F99="",G99="",H99="",I99="",L99="",M99=""),"ناقص",IF(AND(ISNUMBER(F99),ISNUMBER(H99)),"OK","السنة/السعر لازم أرقام")))</f>
        <v>OK</v>
      </c>
      <c r="X99" s="6" t="str">
        <f aca="false">IF(B99="","",B99&amp;" "&amp;C99&amp;" "&amp;D99&amp;" "&amp;E99&amp;" "&amp;F99&amp;" "&amp;G99&amp;" "&amp;I99&amp;" "&amp;L99&amp;" "&amp;M99&amp;" سعر "&amp;H99&amp;" جنيه "&amp;U99)</f>
        <v>Nissan نيسان Sunny B13 صني B13 1998 مستعمل سيدان مانيوال بنزين سعر 230000 جنيه تكييف، زجاج كهربائي، قفل مركزي</v>
      </c>
    </row>
    <row r="100" customFormat="false" ht="35.05" hidden="false" customHeight="false" outlineLevel="0" collapsed="false">
      <c r="A100" s="6" t="s">
        <v>416</v>
      </c>
      <c r="B100" s="7" t="s">
        <v>123</v>
      </c>
      <c r="C100" s="6" t="str">
        <f aca="false">IF(B100="","",IFERROR(INDEX(Lists!$K$2:$K$60,MATCH(B100,Lists!$J$2:$J$60,0)),""))</f>
        <v>نيسان</v>
      </c>
      <c r="D100" s="7" t="s">
        <v>417</v>
      </c>
      <c r="E100" s="7" t="s">
        <v>418</v>
      </c>
      <c r="F100" s="7" t="n">
        <v>2008</v>
      </c>
      <c r="G100" s="7" t="s">
        <v>249</v>
      </c>
      <c r="H100" s="8" t="n">
        <v>300000</v>
      </c>
      <c r="I100" s="7" t="s">
        <v>77</v>
      </c>
      <c r="J100" s="9" t="n">
        <v>1600</v>
      </c>
      <c r="K100" s="7" t="n">
        <v>110</v>
      </c>
      <c r="L100" s="7" t="s">
        <v>78</v>
      </c>
      <c r="M100" s="7" t="s">
        <v>79</v>
      </c>
      <c r="N100" s="7" t="n">
        <v>8</v>
      </c>
      <c r="O100" s="7" t="n">
        <v>5</v>
      </c>
      <c r="P100" s="7" t="s">
        <v>80</v>
      </c>
      <c r="Q100" s="7" t="s">
        <v>80</v>
      </c>
      <c r="R100" s="7" t="s">
        <v>80</v>
      </c>
      <c r="S100" s="7" t="s">
        <v>80</v>
      </c>
      <c r="T100" s="7" t="s">
        <v>80</v>
      </c>
      <c r="U100" s="7" t="s">
        <v>251</v>
      </c>
      <c r="V100" s="7" t="s">
        <v>266</v>
      </c>
      <c r="W100" s="6" t="str">
        <f aca="false">IF(COUNTA(B100:V100)=0,"",IF(OR(B100="",C100="",D100="",F100="",G100="",H100="",I100="",L100="",M100=""),"ناقص",IF(AND(ISNUMBER(F100),ISNUMBER(H100)),"OK","السنة/السعر لازم أرقام")))</f>
        <v>OK</v>
      </c>
      <c r="X100" s="6" t="str">
        <f aca="false">IF(B100="","",B100&amp;" "&amp;C100&amp;" "&amp;D100&amp;" "&amp;E100&amp;" "&amp;F100&amp;" "&amp;G100&amp;" "&amp;I100&amp;" "&amp;L100&amp;" "&amp;M100&amp;" سعر "&amp;H100&amp;" جنيه "&amp;U100)</f>
        <v>Nissan نيسان Sunny N16 صني N16 2008 مستعمل سيدان أوتوماتيك بنزين سعر 300000 جنيه تكييف، زجاج كهربائي، قفل مركزي</v>
      </c>
    </row>
    <row r="101" customFormat="false" ht="35.05" hidden="false" customHeight="false" outlineLevel="0" collapsed="false">
      <c r="A101" s="6" t="s">
        <v>419</v>
      </c>
      <c r="B101" s="7" t="s">
        <v>123</v>
      </c>
      <c r="C101" s="6" t="str">
        <f aca="false">IF(B101="","",IFERROR(INDEX(Lists!$K$2:$K$60,MATCH(B101,Lists!$J$2:$J$60,0)),""))</f>
        <v>نيسان</v>
      </c>
      <c r="D101" s="7" t="s">
        <v>420</v>
      </c>
      <c r="E101" s="7" t="s">
        <v>421</v>
      </c>
      <c r="F101" s="7" t="n">
        <v>2013</v>
      </c>
      <c r="G101" s="7" t="s">
        <v>249</v>
      </c>
      <c r="H101" s="8" t="n">
        <v>450000</v>
      </c>
      <c r="I101" s="7" t="s">
        <v>77</v>
      </c>
      <c r="J101" s="9" t="n">
        <v>1500</v>
      </c>
      <c r="K101" s="7" t="n">
        <v>99</v>
      </c>
      <c r="L101" s="7" t="s">
        <v>78</v>
      </c>
      <c r="M101" s="7" t="s">
        <v>79</v>
      </c>
      <c r="N101" s="7" t="n">
        <v>7</v>
      </c>
      <c r="O101" s="7" t="n">
        <v>5</v>
      </c>
      <c r="P101" s="7" t="s">
        <v>80</v>
      </c>
      <c r="Q101" s="7" t="s">
        <v>80</v>
      </c>
      <c r="R101" s="7" t="s">
        <v>80</v>
      </c>
      <c r="S101" s="7" t="s">
        <v>80</v>
      </c>
      <c r="T101" s="7" t="s">
        <v>80</v>
      </c>
      <c r="U101" s="7" t="s">
        <v>144</v>
      </c>
      <c r="V101" s="7" t="s">
        <v>266</v>
      </c>
      <c r="W101" s="6" t="str">
        <f aca="false">IF(COUNTA(B101:V101)=0,"",IF(OR(B101="",C101="",D101="",F101="",G101="",H101="",I101="",L101="",M101=""),"ناقص",IF(AND(ISNUMBER(F101),ISNUMBER(H101)),"OK","السنة/السعر لازم أرقام")))</f>
        <v>OK</v>
      </c>
      <c r="X101" s="6" t="str">
        <f aca="false">IF(B101="","",B101&amp;" "&amp;C101&amp;" "&amp;D101&amp;" "&amp;E101&amp;" "&amp;F101&amp;" "&amp;G101&amp;" "&amp;I101&amp;" "&amp;L101&amp;" "&amp;M101&amp;" سعر "&amp;H101&amp;" جنيه "&amp;U101)</f>
        <v>Nissan نيسان Sunny N17 صني N17 2013 مستعمل سيدان أوتوماتيك بنزين سعر 450000 جنيه تكييف، زجاج كهربائي، قفل مركزي، ABS، مرايات كهربائية، حساسات ركن خلفية</v>
      </c>
    </row>
    <row r="102" customFormat="false" ht="35.05" hidden="false" customHeight="false" outlineLevel="0" collapsed="false">
      <c r="A102" s="6" t="s">
        <v>422</v>
      </c>
      <c r="B102" s="7" t="s">
        <v>123</v>
      </c>
      <c r="C102" s="6" t="str">
        <f aca="false">IF(B102="","",IFERROR(INDEX(Lists!$K$2:$K$60,MATCH(B102,Lists!$J$2:$J$60,0)),""))</f>
        <v>نيسان</v>
      </c>
      <c r="D102" s="7" t="s">
        <v>423</v>
      </c>
      <c r="E102" s="7" t="s">
        <v>424</v>
      </c>
      <c r="F102" s="7" t="n">
        <v>2019</v>
      </c>
      <c r="G102" s="7" t="s">
        <v>249</v>
      </c>
      <c r="H102" s="8" t="n">
        <v>650000</v>
      </c>
      <c r="I102" s="7" t="s">
        <v>77</v>
      </c>
      <c r="J102" s="9" t="n">
        <v>1500</v>
      </c>
      <c r="K102" s="7" t="n">
        <v>99</v>
      </c>
      <c r="L102" s="7" t="s">
        <v>230</v>
      </c>
      <c r="M102" s="7" t="s">
        <v>79</v>
      </c>
      <c r="N102" s="7" t="n">
        <v>6.8</v>
      </c>
      <c r="O102" s="7" t="n">
        <v>5</v>
      </c>
      <c r="P102" s="7" t="s">
        <v>80</v>
      </c>
      <c r="Q102" s="7" t="s">
        <v>81</v>
      </c>
      <c r="R102" s="7" t="s">
        <v>81</v>
      </c>
      <c r="S102" s="7" t="s">
        <v>80</v>
      </c>
      <c r="T102" s="7" t="s">
        <v>81</v>
      </c>
      <c r="U102" s="7" t="s">
        <v>144</v>
      </c>
      <c r="V102" s="7" t="s">
        <v>266</v>
      </c>
      <c r="W102" s="6" t="str">
        <f aca="false">IF(COUNTA(B102:V102)=0,"",IF(OR(B102="",C102="",D102="",F102="",G102="",H102="",I102="",L102="",M102=""),"ناقص",IF(AND(ISNUMBER(F102),ISNUMBER(H102)),"OK","السنة/السعر لازم أرقام")))</f>
        <v>OK</v>
      </c>
      <c r="X102" s="6" t="str">
        <f aca="false">IF(B102="","",B102&amp;" "&amp;C102&amp;" "&amp;D102&amp;" "&amp;E102&amp;" "&amp;F102&amp;" "&amp;G102&amp;" "&amp;I102&amp;" "&amp;L102&amp;" "&amp;M102&amp;" سعر "&amp;H102&amp;" جنيه "&amp;U102)</f>
        <v>Nissan نيسان Sunny N18 صني N18 2019 مستعمل سيدان CVT بنزين سعر 650000 جنيه تكييف، زجاج كهربائي، قفل مركزي، ABS، مرايات كهربائية، حساسات ركن خلفية</v>
      </c>
    </row>
    <row r="103" customFormat="false" ht="35.05" hidden="false" customHeight="false" outlineLevel="0" collapsed="false">
      <c r="A103" s="6" t="s">
        <v>425</v>
      </c>
      <c r="B103" s="7" t="s">
        <v>123</v>
      </c>
      <c r="C103" s="6" t="str">
        <f aca="false">IF(B103="","",IFERROR(INDEX(Lists!$K$2:$K$60,MATCH(B103,Lists!$J$2:$J$60,0)),""))</f>
        <v>نيسان</v>
      </c>
      <c r="D103" s="7" t="s">
        <v>426</v>
      </c>
      <c r="E103" s="7" t="s">
        <v>427</v>
      </c>
      <c r="F103" s="7" t="n">
        <v>2015</v>
      </c>
      <c r="G103" s="7" t="s">
        <v>249</v>
      </c>
      <c r="H103" s="8" t="n">
        <v>600000</v>
      </c>
      <c r="I103" s="7" t="s">
        <v>77</v>
      </c>
      <c r="J103" s="9" t="n">
        <v>1600</v>
      </c>
      <c r="K103" s="7" t="n">
        <v>117</v>
      </c>
      <c r="L103" s="7" t="s">
        <v>230</v>
      </c>
      <c r="M103" s="7" t="s">
        <v>79</v>
      </c>
      <c r="N103" s="7" t="n">
        <v>7</v>
      </c>
      <c r="O103" s="7" t="n">
        <v>5</v>
      </c>
      <c r="P103" s="7" t="s">
        <v>80</v>
      </c>
      <c r="Q103" s="7" t="s">
        <v>80</v>
      </c>
      <c r="R103" s="7" t="s">
        <v>81</v>
      </c>
      <c r="S103" s="7" t="s">
        <v>80</v>
      </c>
      <c r="T103" s="7" t="s">
        <v>80</v>
      </c>
      <c r="U103" s="7" t="s">
        <v>144</v>
      </c>
      <c r="V103" s="7" t="s">
        <v>266</v>
      </c>
      <c r="W103" s="6" t="str">
        <f aca="false">IF(COUNTA(B103:V103)=0,"",IF(OR(B103="",C103="",D103="",F103="",G103="",H103="",I103="",L103="",M103=""),"ناقص",IF(AND(ISNUMBER(F103),ISNUMBER(H103)),"OK","السنة/السعر لازم أرقام")))</f>
        <v>OK</v>
      </c>
      <c r="X103" s="6" t="str">
        <f aca="false">IF(B103="","",B103&amp;" "&amp;C103&amp;" "&amp;D103&amp;" "&amp;E103&amp;" "&amp;F103&amp;" "&amp;G103&amp;" "&amp;I103&amp;" "&amp;L103&amp;" "&amp;M103&amp;" سعر "&amp;H103&amp;" جنيه "&amp;U103)</f>
        <v>Nissan نيسان Sentra B17 سنترا B17 2015 مستعمل سيدان CVT بنزين سعر 600000 جنيه تكييف، زجاج كهربائي، قفل مركزي، ABS، مرايات كهربائية، حساسات ركن خلفية</v>
      </c>
    </row>
    <row r="104" customFormat="false" ht="35.05" hidden="false" customHeight="false" outlineLevel="0" collapsed="false">
      <c r="A104" s="6" t="s">
        <v>428</v>
      </c>
      <c r="B104" s="7" t="s">
        <v>123</v>
      </c>
      <c r="C104" s="6" t="str">
        <f aca="false">IF(B104="","",IFERROR(INDEX(Lists!$K$2:$K$60,MATCH(B104,Lists!$J$2:$J$60,0)),""))</f>
        <v>نيسان</v>
      </c>
      <c r="D104" s="7" t="s">
        <v>429</v>
      </c>
      <c r="E104" s="7" t="s">
        <v>430</v>
      </c>
      <c r="F104" s="7" t="n">
        <v>2020</v>
      </c>
      <c r="G104" s="7" t="s">
        <v>249</v>
      </c>
      <c r="H104" s="8" t="n">
        <v>900000</v>
      </c>
      <c r="I104" s="7" t="s">
        <v>77</v>
      </c>
      <c r="J104" s="9" t="n">
        <v>1600</v>
      </c>
      <c r="K104" s="7" t="n">
        <v>122</v>
      </c>
      <c r="L104" s="7" t="s">
        <v>230</v>
      </c>
      <c r="M104" s="7" t="s">
        <v>79</v>
      </c>
      <c r="N104" s="7" t="n">
        <v>6.8</v>
      </c>
      <c r="O104" s="7" t="n">
        <v>5</v>
      </c>
      <c r="P104" s="7" t="s">
        <v>81</v>
      </c>
      <c r="Q104" s="7" t="s">
        <v>81</v>
      </c>
      <c r="R104" s="7" t="s">
        <v>81</v>
      </c>
      <c r="S104" s="7" t="s">
        <v>81</v>
      </c>
      <c r="T104" s="7" t="s">
        <v>81</v>
      </c>
      <c r="U104" s="7" t="s">
        <v>148</v>
      </c>
      <c r="V104" s="7" t="s">
        <v>266</v>
      </c>
      <c r="W104" s="6" t="str">
        <f aca="false">IF(COUNTA(B104:V104)=0,"",IF(OR(B104="",C104="",D104="",F104="",G104="",H104="",I104="",L104="",M104=""),"ناقص",IF(AND(ISNUMBER(F104),ISNUMBER(H104)),"OK","السنة/السعر لازم أرقام")))</f>
        <v>OK</v>
      </c>
      <c r="X104" s="6" t="str">
        <f aca="false">IF(B104="","",B104&amp;" "&amp;C104&amp;" "&amp;D104&amp;" "&amp;E104&amp;" "&amp;F104&amp;" "&amp;G104&amp;" "&amp;I104&amp;" "&amp;L104&amp;" "&amp;M104&amp;" سعر "&amp;H104&amp;" جنيه "&amp;U104)</f>
        <v>Nissan نيسان Sentra B18 سنترا B18 2020 مستعمل سيدان CVT بنزين سعر 900000 جنيه تكييف، زجاج كهربائي، قفل مركزي، ABS، مرايات كهربائية، حساسات ركن خلفية، جنوط ألومنيوم، تحكم في الثبات ESP</v>
      </c>
    </row>
    <row r="105" customFormat="false" ht="35.05" hidden="false" customHeight="false" outlineLevel="0" collapsed="false">
      <c r="A105" s="6" t="s">
        <v>431</v>
      </c>
      <c r="B105" s="7" t="s">
        <v>123</v>
      </c>
      <c r="C105" s="6" t="str">
        <f aca="false">IF(B105="","",IFERROR(INDEX(Lists!$K$2:$K$60,MATCH(B105,Lists!$J$2:$J$60,0)),""))</f>
        <v>نيسان</v>
      </c>
      <c r="D105" s="7" t="s">
        <v>432</v>
      </c>
      <c r="E105" s="7" t="s">
        <v>433</v>
      </c>
      <c r="F105" s="7" t="n">
        <v>2011</v>
      </c>
      <c r="G105" s="7" t="s">
        <v>249</v>
      </c>
      <c r="H105" s="8" t="n">
        <v>600000</v>
      </c>
      <c r="I105" s="7" t="s">
        <v>105</v>
      </c>
      <c r="J105" s="9" t="n">
        <v>2000</v>
      </c>
      <c r="K105" s="7" t="n">
        <v>140</v>
      </c>
      <c r="L105" s="7" t="s">
        <v>230</v>
      </c>
      <c r="M105" s="7" t="s">
        <v>79</v>
      </c>
      <c r="N105" s="7" t="n">
        <v>9</v>
      </c>
      <c r="O105" s="7" t="n">
        <v>5</v>
      </c>
      <c r="P105" s="7" t="s">
        <v>80</v>
      </c>
      <c r="Q105" s="7" t="s">
        <v>80</v>
      </c>
      <c r="R105" s="7" t="s">
        <v>80</v>
      </c>
      <c r="S105" s="7" t="s">
        <v>80</v>
      </c>
      <c r="T105" s="7" t="s">
        <v>80</v>
      </c>
      <c r="U105" s="7" t="s">
        <v>256</v>
      </c>
      <c r="V105" s="7" t="s">
        <v>266</v>
      </c>
      <c r="W105" s="6" t="str">
        <f aca="false">IF(COUNTA(B105:V105)=0,"",IF(OR(B105="",C105="",D105="",F105="",G105="",H105="",I105="",L105="",M105=""),"ناقص",IF(AND(ISNUMBER(F105),ISNUMBER(H105)),"OK","السنة/السعر لازم أرقام")))</f>
        <v>OK</v>
      </c>
      <c r="X105" s="6" t="str">
        <f aca="false">IF(B105="","",B105&amp;" "&amp;C105&amp;" "&amp;D105&amp;" "&amp;E105&amp;" "&amp;F105&amp;" "&amp;G105&amp;" "&amp;I105&amp;" "&amp;L105&amp;" "&amp;M105&amp;" سعر "&amp;H105&amp;" جنيه "&amp;U105)</f>
        <v>Nissan نيسان Qashqai J10 قشقاي J10 2011 مستعمل كروس أوفر CVT بنزين سعر 600000 جنيه تكييف، زجاج كهربائي، قفل مركزي، ABS</v>
      </c>
    </row>
    <row r="106" customFormat="false" ht="35.05" hidden="false" customHeight="false" outlineLevel="0" collapsed="false">
      <c r="A106" s="6" t="s">
        <v>434</v>
      </c>
      <c r="B106" s="7" t="s">
        <v>123</v>
      </c>
      <c r="C106" s="6" t="str">
        <f aca="false">IF(B106="","",IFERROR(INDEX(Lists!$K$2:$K$60,MATCH(B106,Lists!$J$2:$J$60,0)),""))</f>
        <v>نيسان</v>
      </c>
      <c r="D106" s="7" t="s">
        <v>435</v>
      </c>
      <c r="E106" s="7" t="s">
        <v>436</v>
      </c>
      <c r="F106" s="7" t="n">
        <v>2016</v>
      </c>
      <c r="G106" s="7" t="s">
        <v>249</v>
      </c>
      <c r="H106" s="8" t="n">
        <v>1000000</v>
      </c>
      <c r="I106" s="7" t="s">
        <v>105</v>
      </c>
      <c r="J106" s="9" t="n">
        <v>1600</v>
      </c>
      <c r="K106" s="7" t="n">
        <v>117</v>
      </c>
      <c r="L106" s="7" t="s">
        <v>230</v>
      </c>
      <c r="M106" s="7" t="s">
        <v>79</v>
      </c>
      <c r="N106" s="7" t="n">
        <v>7.5</v>
      </c>
      <c r="O106" s="7" t="n">
        <v>5</v>
      </c>
      <c r="P106" s="7" t="s">
        <v>81</v>
      </c>
      <c r="Q106" s="7" t="s">
        <v>81</v>
      </c>
      <c r="R106" s="7" t="s">
        <v>81</v>
      </c>
      <c r="S106" s="7" t="s">
        <v>81</v>
      </c>
      <c r="T106" s="7" t="s">
        <v>81</v>
      </c>
      <c r="U106" s="7" t="s">
        <v>148</v>
      </c>
      <c r="V106" s="7" t="s">
        <v>266</v>
      </c>
      <c r="W106" s="6" t="str">
        <f aca="false">IF(COUNTA(B106:V106)=0,"",IF(OR(B106="",C106="",D106="",F106="",G106="",H106="",I106="",L106="",M106=""),"ناقص",IF(AND(ISNUMBER(F106),ISNUMBER(H106)),"OK","السنة/السعر لازم أرقام")))</f>
        <v>OK</v>
      </c>
      <c r="X106" s="6" t="str">
        <f aca="false">IF(B106="","",B106&amp;" "&amp;C106&amp;" "&amp;D106&amp;" "&amp;E106&amp;" "&amp;F106&amp;" "&amp;G106&amp;" "&amp;I106&amp;" "&amp;L106&amp;" "&amp;M106&amp;" سعر "&amp;H106&amp;" جنيه "&amp;U106)</f>
        <v>Nissan نيسان Qashqai J11 قشقاي J11 2016 مستعمل كروس أوفر CVT بنزين سعر 1000000 جنيه تكييف، زجاج كهربائي، قفل مركزي، ABS، مرايات كهربائية، حساسات ركن خلفية، جنوط ألومنيوم، تحكم في الثبات ESP</v>
      </c>
    </row>
    <row r="107" customFormat="false" ht="35.05" hidden="false" customHeight="false" outlineLevel="0" collapsed="false">
      <c r="A107" s="6" t="s">
        <v>437</v>
      </c>
      <c r="B107" s="7" t="s">
        <v>123</v>
      </c>
      <c r="C107" s="6" t="str">
        <f aca="false">IF(B107="","",IFERROR(INDEX(Lists!$K$2:$K$60,MATCH(B107,Lists!$J$2:$J$60,0)),""))</f>
        <v>نيسان</v>
      </c>
      <c r="D107" s="7" t="s">
        <v>438</v>
      </c>
      <c r="E107" s="7" t="s">
        <v>439</v>
      </c>
      <c r="F107" s="7" t="n">
        <v>2014</v>
      </c>
      <c r="G107" s="7" t="s">
        <v>249</v>
      </c>
      <c r="H107" s="8" t="n">
        <v>700000</v>
      </c>
      <c r="I107" s="7" t="s">
        <v>105</v>
      </c>
      <c r="J107" s="9" t="n">
        <v>1600</v>
      </c>
      <c r="K107" s="7" t="n">
        <v>117</v>
      </c>
      <c r="L107" s="7" t="s">
        <v>230</v>
      </c>
      <c r="M107" s="7" t="s">
        <v>79</v>
      </c>
      <c r="N107" s="7" t="n">
        <v>7.5</v>
      </c>
      <c r="O107" s="7" t="n">
        <v>5</v>
      </c>
      <c r="P107" s="7" t="s">
        <v>80</v>
      </c>
      <c r="Q107" s="7" t="s">
        <v>80</v>
      </c>
      <c r="R107" s="7" t="s">
        <v>81</v>
      </c>
      <c r="S107" s="7" t="s">
        <v>80</v>
      </c>
      <c r="T107" s="7" t="s">
        <v>80</v>
      </c>
      <c r="U107" s="7" t="s">
        <v>144</v>
      </c>
      <c r="V107" s="7" t="s">
        <v>266</v>
      </c>
      <c r="W107" s="6" t="str">
        <f aca="false">IF(COUNTA(B107:V107)=0,"",IF(OR(B107="",C107="",D107="",F107="",G107="",H107="",I107="",L107="",M107=""),"ناقص",IF(AND(ISNUMBER(F107),ISNUMBER(H107)),"OK","السنة/السعر لازم أرقام")))</f>
        <v>OK</v>
      </c>
      <c r="X107" s="6" t="str">
        <f aca="false">IF(B107="","",B107&amp;" "&amp;C107&amp;" "&amp;D107&amp;" "&amp;E107&amp;" "&amp;F107&amp;" "&amp;G107&amp;" "&amp;I107&amp;" "&amp;L107&amp;" "&amp;M107&amp;" سعر "&amp;H107&amp;" جنيه "&amp;U107)</f>
        <v>Nissan نيسان Juke F15 جوك F15 2014 مستعمل كروس أوفر CVT بنزين سعر 700000 جنيه تكييف، زجاج كهربائي، قفل مركزي، ABS، مرايات كهربائية، حساسات ركن خلفية</v>
      </c>
    </row>
    <row r="108" customFormat="false" ht="35.05" hidden="false" customHeight="false" outlineLevel="0" collapsed="false">
      <c r="A108" s="6" t="s">
        <v>440</v>
      </c>
      <c r="B108" s="7" t="s">
        <v>123</v>
      </c>
      <c r="C108" s="6" t="str">
        <f aca="false">IF(B108="","",IFERROR(INDEX(Lists!$K$2:$K$60,MATCH(B108,Lists!$J$2:$J$60,0)),""))</f>
        <v>نيسان</v>
      </c>
      <c r="D108" s="7" t="s">
        <v>441</v>
      </c>
      <c r="E108" s="7" t="s">
        <v>442</v>
      </c>
      <c r="F108" s="7" t="n">
        <v>2010</v>
      </c>
      <c r="G108" s="7" t="s">
        <v>249</v>
      </c>
      <c r="H108" s="8" t="n">
        <v>700000</v>
      </c>
      <c r="I108" s="7" t="s">
        <v>113</v>
      </c>
      <c r="J108" s="9" t="n">
        <v>2500</v>
      </c>
      <c r="K108" s="7" t="n">
        <v>169</v>
      </c>
      <c r="L108" s="7" t="s">
        <v>230</v>
      </c>
      <c r="M108" s="7" t="s">
        <v>79</v>
      </c>
      <c r="N108" s="7" t="n">
        <v>10</v>
      </c>
      <c r="O108" s="7" t="n">
        <v>7</v>
      </c>
      <c r="P108" s="7" t="s">
        <v>80</v>
      </c>
      <c r="Q108" s="7" t="s">
        <v>80</v>
      </c>
      <c r="R108" s="7" t="s">
        <v>81</v>
      </c>
      <c r="S108" s="7" t="s">
        <v>81</v>
      </c>
      <c r="T108" s="7" t="s">
        <v>80</v>
      </c>
      <c r="U108" s="7" t="s">
        <v>256</v>
      </c>
      <c r="V108" s="7" t="s">
        <v>266</v>
      </c>
      <c r="W108" s="6" t="str">
        <f aca="false">IF(COUNTA(B108:V108)=0,"",IF(OR(B108="",C108="",D108="",F108="",G108="",H108="",I108="",L108="",M108=""),"ناقص",IF(AND(ISNUMBER(F108),ISNUMBER(H108)),"OK","السنة/السعر لازم أرقام")))</f>
        <v>OK</v>
      </c>
      <c r="X108" s="6" t="str">
        <f aca="false">IF(B108="","",B108&amp;" "&amp;C108&amp;" "&amp;D108&amp;" "&amp;E108&amp;" "&amp;F108&amp;" "&amp;G108&amp;" "&amp;I108&amp;" "&amp;L108&amp;" "&amp;M108&amp;" سعر "&amp;H108&amp;" جنيه "&amp;U108)</f>
        <v>Nissan نيسان X-Trail T31 إكس تريل T31 2010 مستعمل SUV CVT بنزين سعر 700000 جنيه تكييف، زجاج كهربائي، قفل مركزي، ABS</v>
      </c>
    </row>
    <row r="109" customFormat="false" ht="35.05" hidden="false" customHeight="false" outlineLevel="0" collapsed="false">
      <c r="A109" s="6" t="s">
        <v>443</v>
      </c>
      <c r="B109" s="7" t="s">
        <v>123</v>
      </c>
      <c r="C109" s="6" t="str">
        <f aca="false">IF(B109="","",IFERROR(INDEX(Lists!$K$2:$K$60,MATCH(B109,Lists!$J$2:$J$60,0)),""))</f>
        <v>نيسان</v>
      </c>
      <c r="D109" s="7" t="s">
        <v>444</v>
      </c>
      <c r="E109" s="7" t="s">
        <v>445</v>
      </c>
      <c r="F109" s="7" t="n">
        <v>2017</v>
      </c>
      <c r="G109" s="7" t="s">
        <v>249</v>
      </c>
      <c r="H109" s="8" t="n">
        <v>1600000</v>
      </c>
      <c r="I109" s="7" t="s">
        <v>113</v>
      </c>
      <c r="J109" s="9" t="n">
        <v>2500</v>
      </c>
      <c r="K109" s="7" t="n">
        <v>171</v>
      </c>
      <c r="L109" s="7" t="s">
        <v>230</v>
      </c>
      <c r="M109" s="7" t="s">
        <v>79</v>
      </c>
      <c r="N109" s="7" t="n">
        <v>9</v>
      </c>
      <c r="O109" s="7" t="n">
        <v>7</v>
      </c>
      <c r="P109" s="7" t="s">
        <v>81</v>
      </c>
      <c r="Q109" s="7" t="s">
        <v>81</v>
      </c>
      <c r="R109" s="7" t="s">
        <v>81</v>
      </c>
      <c r="S109" s="7" t="s">
        <v>81</v>
      </c>
      <c r="T109" s="7" t="s">
        <v>81</v>
      </c>
      <c r="U109" s="7" t="s">
        <v>148</v>
      </c>
      <c r="V109" s="7" t="s">
        <v>266</v>
      </c>
      <c r="W109" s="6" t="str">
        <f aca="false">IF(COUNTA(B109:V109)=0,"",IF(OR(B109="",C109="",D109="",F109="",G109="",H109="",I109="",L109="",M109=""),"ناقص",IF(AND(ISNUMBER(F109),ISNUMBER(H109)),"OK","السنة/السعر لازم أرقام")))</f>
        <v>OK</v>
      </c>
      <c r="X109" s="6" t="str">
        <f aca="false">IF(B109="","",B109&amp;" "&amp;C109&amp;" "&amp;D109&amp;" "&amp;E109&amp;" "&amp;F109&amp;" "&amp;G109&amp;" "&amp;I109&amp;" "&amp;L109&amp;" "&amp;M109&amp;" سعر "&amp;H109&amp;" جنيه "&amp;U109)</f>
        <v>Nissan نيسان X-Trail T32 إكس تريل T32 2017 مستعمل SUV CVT بنزين سعر 1600000 جنيه تكييف، زجاج كهربائي، قفل مركزي، ABS، مرايات كهربائية، حساسات ركن خلفية، جنوط ألومنيوم، تحكم في الثبات ESP</v>
      </c>
    </row>
    <row r="110" customFormat="false" ht="35.05" hidden="false" customHeight="false" outlineLevel="0" collapsed="false">
      <c r="A110" s="6" t="s">
        <v>446</v>
      </c>
      <c r="B110" s="7" t="s">
        <v>123</v>
      </c>
      <c r="C110" s="6" t="str">
        <f aca="false">IF(B110="","",IFERROR(INDEX(Lists!$K$2:$K$60,MATCH(B110,Lists!$J$2:$J$60,0)),""))</f>
        <v>نيسان</v>
      </c>
      <c r="D110" s="7" t="s">
        <v>447</v>
      </c>
      <c r="E110" s="7" t="s">
        <v>448</v>
      </c>
      <c r="F110" s="7" t="n">
        <v>2020</v>
      </c>
      <c r="G110" s="7" t="s">
        <v>249</v>
      </c>
      <c r="H110" s="8" t="n">
        <v>1000000</v>
      </c>
      <c r="I110" s="7" t="s">
        <v>105</v>
      </c>
      <c r="J110" s="9" t="n">
        <v>1600</v>
      </c>
      <c r="K110" s="7" t="n">
        <v>118</v>
      </c>
      <c r="L110" s="7" t="s">
        <v>230</v>
      </c>
      <c r="M110" s="7" t="s">
        <v>79</v>
      </c>
      <c r="N110" s="7" t="n">
        <v>7</v>
      </c>
      <c r="O110" s="7" t="n">
        <v>5</v>
      </c>
      <c r="P110" s="7" t="s">
        <v>81</v>
      </c>
      <c r="Q110" s="7" t="s">
        <v>81</v>
      </c>
      <c r="R110" s="7" t="s">
        <v>81</v>
      </c>
      <c r="S110" s="7" t="s">
        <v>81</v>
      </c>
      <c r="T110" s="7" t="s">
        <v>81</v>
      </c>
      <c r="U110" s="7" t="s">
        <v>148</v>
      </c>
      <c r="V110" s="7" t="s">
        <v>266</v>
      </c>
      <c r="W110" s="6" t="str">
        <f aca="false">IF(COUNTA(B110:V110)=0,"",IF(OR(B110="",C110="",D110="",F110="",G110="",H110="",I110="",L110="",M110=""),"ناقص",IF(AND(ISNUMBER(F110),ISNUMBER(H110)),"OK","السنة/السعر لازم أرقام")))</f>
        <v>OK</v>
      </c>
      <c r="X110" s="6" t="str">
        <f aca="false">IF(B110="","",B110&amp;" "&amp;C110&amp;" "&amp;D110&amp;" "&amp;E110&amp;" "&amp;F110&amp;" "&amp;G110&amp;" "&amp;I110&amp;" "&amp;L110&amp;" "&amp;M110&amp;" سعر "&amp;H110&amp;" جنيه "&amp;U110)</f>
        <v>Nissan نيسان Kicks P15 كيكس P15 2020 مستعمل كروس أوفر CVT بنزين سعر 1000000 جنيه تكييف، زجاج كهربائي، قفل مركزي، ABS، مرايات كهربائية، حساسات ركن خلفية، جنوط ألومنيوم، تحكم في الثبات ESP</v>
      </c>
    </row>
    <row r="111" customFormat="false" ht="35.05" hidden="false" customHeight="false" outlineLevel="0" collapsed="false">
      <c r="A111" s="6" t="s">
        <v>449</v>
      </c>
      <c r="B111" s="7" t="s">
        <v>123</v>
      </c>
      <c r="C111" s="6" t="str">
        <f aca="false">IF(B111="","",IFERROR(INDEX(Lists!$K$2:$K$60,MATCH(B111,Lists!$J$2:$J$60,0)),""))</f>
        <v>نيسان</v>
      </c>
      <c r="D111" s="7" t="s">
        <v>450</v>
      </c>
      <c r="E111" s="7" t="s">
        <v>451</v>
      </c>
      <c r="F111" s="7" t="n">
        <v>2013</v>
      </c>
      <c r="G111" s="7" t="s">
        <v>249</v>
      </c>
      <c r="H111" s="8" t="n">
        <v>380000</v>
      </c>
      <c r="I111" s="7" t="s">
        <v>270</v>
      </c>
      <c r="J111" s="9" t="n">
        <v>1200</v>
      </c>
      <c r="K111" s="7" t="n">
        <v>79</v>
      </c>
      <c r="L111" s="7" t="s">
        <v>230</v>
      </c>
      <c r="M111" s="7" t="s">
        <v>79</v>
      </c>
      <c r="N111" s="7" t="n">
        <v>6</v>
      </c>
      <c r="O111" s="7" t="n">
        <v>5</v>
      </c>
      <c r="P111" s="7" t="s">
        <v>80</v>
      </c>
      <c r="Q111" s="7" t="s">
        <v>80</v>
      </c>
      <c r="R111" s="7" t="s">
        <v>80</v>
      </c>
      <c r="S111" s="7" t="s">
        <v>80</v>
      </c>
      <c r="T111" s="7" t="s">
        <v>80</v>
      </c>
      <c r="U111" s="7" t="s">
        <v>256</v>
      </c>
      <c r="V111" s="7" t="s">
        <v>266</v>
      </c>
      <c r="W111" s="6" t="str">
        <f aca="false">IF(COUNTA(B111:V111)=0,"",IF(OR(B111="",C111="",D111="",F111="",G111="",H111="",I111="",L111="",M111=""),"ناقص",IF(AND(ISNUMBER(F111),ISNUMBER(H111)),"OK","السنة/السعر لازم أرقام")))</f>
        <v>OK</v>
      </c>
      <c r="X111" s="6" t="str">
        <f aca="false">IF(B111="","",B111&amp;" "&amp;C111&amp;" "&amp;D111&amp;" "&amp;E111&amp;" "&amp;F111&amp;" "&amp;G111&amp;" "&amp;I111&amp;" "&amp;L111&amp;" "&amp;M111&amp;" سعر "&amp;H111&amp;" جنيه "&amp;U111)</f>
        <v>Nissan نيسان Micra K13 ميكرا K13 2013 مستعمل هاتشباك CVT بنزين سعر 380000 جنيه تكييف، زجاج كهربائي، قفل مركزي، ABS</v>
      </c>
    </row>
    <row r="112" customFormat="false" ht="35.05" hidden="false" customHeight="false" outlineLevel="0" collapsed="false">
      <c r="A112" s="6" t="s">
        <v>452</v>
      </c>
      <c r="B112" s="7" t="s">
        <v>123</v>
      </c>
      <c r="C112" s="6" t="str">
        <f aca="false">IF(B112="","",IFERROR(INDEX(Lists!$K$2:$K$60,MATCH(B112,Lists!$J$2:$J$60,0)),""))</f>
        <v>نيسان</v>
      </c>
      <c r="D112" s="7" t="s">
        <v>453</v>
      </c>
      <c r="E112" s="7" t="s">
        <v>454</v>
      </c>
      <c r="F112" s="7" t="n">
        <v>2019</v>
      </c>
      <c r="G112" s="7" t="s">
        <v>249</v>
      </c>
      <c r="H112" s="8" t="n">
        <v>600000</v>
      </c>
      <c r="I112" s="7" t="s">
        <v>270</v>
      </c>
      <c r="J112" s="9" t="n">
        <v>1500</v>
      </c>
      <c r="K112" s="7" t="n">
        <v>90</v>
      </c>
      <c r="L112" s="7" t="s">
        <v>78</v>
      </c>
      <c r="M112" s="7" t="s">
        <v>79</v>
      </c>
      <c r="N112" s="7" t="n">
        <v>6.2</v>
      </c>
      <c r="O112" s="7" t="n">
        <v>5</v>
      </c>
      <c r="P112" s="7" t="s">
        <v>80</v>
      </c>
      <c r="Q112" s="7" t="s">
        <v>81</v>
      </c>
      <c r="R112" s="7" t="s">
        <v>81</v>
      </c>
      <c r="S112" s="7" t="s">
        <v>80</v>
      </c>
      <c r="T112" s="7" t="s">
        <v>81</v>
      </c>
      <c r="U112" s="7" t="s">
        <v>144</v>
      </c>
      <c r="V112" s="7" t="s">
        <v>266</v>
      </c>
      <c r="W112" s="6" t="str">
        <f aca="false">IF(COUNTA(B112:V112)=0,"",IF(OR(B112="",C112="",D112="",F112="",G112="",H112="",I112="",L112="",M112=""),"ناقص",IF(AND(ISNUMBER(F112),ISNUMBER(H112)),"OK","السنة/السعر لازم أرقام")))</f>
        <v>OK</v>
      </c>
      <c r="X112" s="6" t="str">
        <f aca="false">IF(B112="","",B112&amp;" "&amp;C112&amp;" "&amp;D112&amp;" "&amp;E112&amp;" "&amp;F112&amp;" "&amp;G112&amp;" "&amp;I112&amp;" "&amp;L112&amp;" "&amp;M112&amp;" سعر "&amp;H112&amp;" جنيه "&amp;U112)</f>
        <v>Nissan نيسان Micra K14 ميكرا K14 2019 مستعمل هاتشباك أوتوماتيك بنزين سعر 600000 جنيه تكييف، زجاج كهربائي، قفل مركزي، ABS، مرايات كهربائية، حساسات ركن خلفية</v>
      </c>
    </row>
    <row r="113" customFormat="false" ht="35.05" hidden="false" customHeight="false" outlineLevel="0" collapsed="false">
      <c r="A113" s="6" t="s">
        <v>455</v>
      </c>
      <c r="B113" s="7" t="s">
        <v>123</v>
      </c>
      <c r="C113" s="6" t="str">
        <f aca="false">IF(B113="","",IFERROR(INDEX(Lists!$K$2:$K$60,MATCH(B113,Lists!$J$2:$J$60,0)),""))</f>
        <v>نيسان</v>
      </c>
      <c r="D113" s="7" t="s">
        <v>456</v>
      </c>
      <c r="E113" s="7" t="s">
        <v>457</v>
      </c>
      <c r="F113" s="7" t="n">
        <v>2015</v>
      </c>
      <c r="G113" s="7" t="s">
        <v>249</v>
      </c>
      <c r="H113" s="8" t="n">
        <v>1100000</v>
      </c>
      <c r="I113" s="7" t="s">
        <v>77</v>
      </c>
      <c r="J113" s="9" t="n">
        <v>2500</v>
      </c>
      <c r="K113" s="7" t="n">
        <v>179</v>
      </c>
      <c r="L113" s="7" t="s">
        <v>230</v>
      </c>
      <c r="M113" s="7" t="s">
        <v>79</v>
      </c>
      <c r="N113" s="7" t="n">
        <v>8.5</v>
      </c>
      <c r="O113" s="7" t="n">
        <v>5</v>
      </c>
      <c r="P113" s="7" t="s">
        <v>81</v>
      </c>
      <c r="Q113" s="7" t="s">
        <v>81</v>
      </c>
      <c r="R113" s="7" t="s">
        <v>81</v>
      </c>
      <c r="S113" s="7" t="s">
        <v>81</v>
      </c>
      <c r="T113" s="7" t="s">
        <v>81</v>
      </c>
      <c r="U113" s="7" t="s">
        <v>148</v>
      </c>
      <c r="V113" s="7" t="s">
        <v>266</v>
      </c>
      <c r="W113" s="6" t="str">
        <f aca="false">IF(COUNTA(B113:V113)=0,"",IF(OR(B113="",C113="",D113="",F113="",G113="",H113="",I113="",L113="",M113=""),"ناقص",IF(AND(ISNUMBER(F113),ISNUMBER(H113)),"OK","السنة/السعر لازم أرقام")))</f>
        <v>OK</v>
      </c>
      <c r="X113" s="6" t="str">
        <f aca="false">IF(B113="","",B113&amp;" "&amp;C113&amp;" "&amp;D113&amp;" "&amp;E113&amp;" "&amp;F113&amp;" "&amp;G113&amp;" "&amp;I113&amp;" "&amp;L113&amp;" "&amp;M113&amp;" سعر "&amp;H113&amp;" جنيه "&amp;U113)</f>
        <v>Nissan نيسان Altima L33 ألتيما L33 2015 مستعمل سيدان CVT بنزين سعر 1100000 جنيه تكييف، زجاج كهربائي، قفل مركزي، ABS، مرايات كهربائية، حساسات ركن خلفية، جنوط ألومنيوم، تحكم في الثبات ESP</v>
      </c>
    </row>
    <row r="114" customFormat="false" ht="35.05" hidden="false" customHeight="false" outlineLevel="0" collapsed="false">
      <c r="A114" s="6" t="s">
        <v>458</v>
      </c>
      <c r="B114" s="7" t="s">
        <v>123</v>
      </c>
      <c r="C114" s="6" t="str">
        <f aca="false">IF(B114="","",IFERROR(INDEX(Lists!$K$2:$K$60,MATCH(B114,Lists!$J$2:$J$60,0)),""))</f>
        <v>نيسان</v>
      </c>
      <c r="D114" s="7" t="s">
        <v>459</v>
      </c>
      <c r="E114" s="7" t="s">
        <v>460</v>
      </c>
      <c r="F114" s="7" t="n">
        <v>2005</v>
      </c>
      <c r="G114" s="7" t="s">
        <v>249</v>
      </c>
      <c r="H114" s="8" t="n">
        <v>1200000</v>
      </c>
      <c r="I114" s="7" t="s">
        <v>113</v>
      </c>
      <c r="J114" s="9" t="n">
        <v>4800</v>
      </c>
      <c r="K114" s="7" t="n">
        <v>245</v>
      </c>
      <c r="L114" s="7" t="s">
        <v>250</v>
      </c>
      <c r="M114" s="7" t="s">
        <v>79</v>
      </c>
      <c r="N114" s="7" t="n">
        <v>17</v>
      </c>
      <c r="O114" s="7" t="n">
        <v>7</v>
      </c>
      <c r="P114" s="7" t="s">
        <v>80</v>
      </c>
      <c r="Q114" s="7" t="s">
        <v>80</v>
      </c>
      <c r="R114" s="7" t="s">
        <v>80</v>
      </c>
      <c r="S114" s="7" t="s">
        <v>80</v>
      </c>
      <c r="T114" s="7" t="s">
        <v>80</v>
      </c>
      <c r="U114" s="7" t="s">
        <v>251</v>
      </c>
      <c r="V114" s="7" t="s">
        <v>266</v>
      </c>
      <c r="W114" s="6" t="str">
        <f aca="false">IF(COUNTA(B114:V114)=0,"",IF(OR(B114="",C114="",D114="",F114="",G114="",H114="",I114="",L114="",M114=""),"ناقص",IF(AND(ISNUMBER(F114),ISNUMBER(H114)),"OK","السنة/السعر لازم أرقام")))</f>
        <v>OK</v>
      </c>
      <c r="X114" s="6" t="str">
        <f aca="false">IF(B114="","",B114&amp;" "&amp;C114&amp;" "&amp;D114&amp;" "&amp;E114&amp;" "&amp;F114&amp;" "&amp;G114&amp;" "&amp;I114&amp;" "&amp;L114&amp;" "&amp;M114&amp;" سعر "&amp;H114&amp;" جنيه "&amp;U114)</f>
        <v>Nissan نيسان Patrol Y61 باترول Y61 2005 مستعمل SUV مانيوال بنزين سعر 1200000 جنيه تكييف، زجاج كهربائي، قفل مركزي</v>
      </c>
    </row>
    <row r="115" customFormat="false" ht="35.05" hidden="false" customHeight="false" outlineLevel="0" collapsed="false">
      <c r="A115" s="6" t="s">
        <v>461</v>
      </c>
      <c r="B115" s="7" t="s">
        <v>123</v>
      </c>
      <c r="C115" s="6" t="str">
        <f aca="false">IF(B115="","",IFERROR(INDEX(Lists!$K$2:$K$60,MATCH(B115,Lists!$J$2:$J$60,0)),""))</f>
        <v>نيسان</v>
      </c>
      <c r="D115" s="7" t="s">
        <v>462</v>
      </c>
      <c r="E115" s="7" t="s">
        <v>463</v>
      </c>
      <c r="F115" s="7" t="n">
        <v>2012</v>
      </c>
      <c r="G115" s="7" t="s">
        <v>249</v>
      </c>
      <c r="H115" s="8" t="n">
        <v>950000</v>
      </c>
      <c r="I115" s="7" t="s">
        <v>295</v>
      </c>
      <c r="J115" s="9" t="n">
        <v>2500</v>
      </c>
      <c r="K115" s="7" t="n">
        <v>171</v>
      </c>
      <c r="L115" s="7" t="s">
        <v>250</v>
      </c>
      <c r="M115" s="7" t="s">
        <v>464</v>
      </c>
      <c r="N115" s="7" t="n">
        <v>9</v>
      </c>
      <c r="O115" s="7" t="n">
        <v>5</v>
      </c>
      <c r="P115" s="7" t="s">
        <v>80</v>
      </c>
      <c r="Q115" s="7" t="s">
        <v>80</v>
      </c>
      <c r="R115" s="7" t="s">
        <v>80</v>
      </c>
      <c r="S115" s="7" t="s">
        <v>80</v>
      </c>
      <c r="T115" s="7" t="s">
        <v>80</v>
      </c>
      <c r="U115" s="7" t="s">
        <v>144</v>
      </c>
      <c r="V115" s="7" t="s">
        <v>266</v>
      </c>
      <c r="W115" s="6" t="str">
        <f aca="false">IF(COUNTA(B115:V115)=0,"",IF(OR(B115="",C115="",D115="",F115="",G115="",H115="",I115="",L115="",M115=""),"ناقص",IF(AND(ISNUMBER(F115),ISNUMBER(H115)),"OK","السنة/السعر لازم أرقام")))</f>
        <v>OK</v>
      </c>
      <c r="X115" s="6" t="str">
        <f aca="false">IF(B115="","",B115&amp;" "&amp;C115&amp;" "&amp;D115&amp;" "&amp;E115&amp;" "&amp;F115&amp;" "&amp;G115&amp;" "&amp;I115&amp;" "&amp;L115&amp;" "&amp;M115&amp;" سعر "&amp;H115&amp;" جنيه "&amp;U115)</f>
        <v>Nissan نيسان Navara D40 نافارا D40 2012 مستعمل بيك أب مانيوال ديزل سعر 950000 جنيه تكييف، زجاج كهربائي، قفل مركزي، ABS، مرايات كهربائية، حساسات ركن خلفية</v>
      </c>
    </row>
    <row r="116" customFormat="false" ht="35.05" hidden="false" customHeight="false" outlineLevel="0" collapsed="false">
      <c r="A116" s="6" t="s">
        <v>465</v>
      </c>
      <c r="B116" s="7" t="s">
        <v>466</v>
      </c>
      <c r="C116" s="6" t="str">
        <f aca="false">IF(B116="","",IFERROR(INDEX(Lists!$K$2:$K$60,MATCH(B116,Lists!$J$2:$J$60,0)),""))</f>
        <v>شيفروليه</v>
      </c>
      <c r="D116" s="7" t="s">
        <v>467</v>
      </c>
      <c r="E116" s="7" t="s">
        <v>468</v>
      </c>
      <c r="F116" s="7" t="n">
        <v>2007</v>
      </c>
      <c r="G116" s="7" t="s">
        <v>249</v>
      </c>
      <c r="H116" s="8" t="n">
        <v>300000</v>
      </c>
      <c r="I116" s="7" t="s">
        <v>77</v>
      </c>
      <c r="J116" s="9" t="n">
        <v>1600</v>
      </c>
      <c r="K116" s="7" t="n">
        <v>109</v>
      </c>
      <c r="L116" s="7" t="s">
        <v>78</v>
      </c>
      <c r="M116" s="7" t="s">
        <v>79</v>
      </c>
      <c r="N116" s="7" t="n">
        <v>9</v>
      </c>
      <c r="O116" s="7" t="n">
        <v>5</v>
      </c>
      <c r="P116" s="7" t="s">
        <v>80</v>
      </c>
      <c r="Q116" s="7" t="s">
        <v>80</v>
      </c>
      <c r="R116" s="7" t="s">
        <v>80</v>
      </c>
      <c r="S116" s="7" t="s">
        <v>80</v>
      </c>
      <c r="T116" s="7" t="s">
        <v>80</v>
      </c>
      <c r="U116" s="7" t="s">
        <v>251</v>
      </c>
      <c r="V116" s="7" t="s">
        <v>266</v>
      </c>
      <c r="W116" s="6" t="str">
        <f aca="false">IF(COUNTA(B116:V116)=0,"",IF(OR(B116="",C116="",D116="",F116="",G116="",H116="",I116="",L116="",M116=""),"ناقص",IF(AND(ISNUMBER(F116),ISNUMBER(H116)),"OK","السنة/السعر لازم أرقام")))</f>
        <v>OK</v>
      </c>
      <c r="X116" s="6" t="str">
        <f aca="false">IF(B116="","",B116&amp;" "&amp;C116&amp;" "&amp;D116&amp;" "&amp;E116&amp;" "&amp;F116&amp;" "&amp;G116&amp;" "&amp;I116&amp;" "&amp;L116&amp;" "&amp;M116&amp;" سعر "&amp;H116&amp;" جنيه "&amp;U116)</f>
        <v>Chevrolet شيفروليه Optra 1.6 أوبترا 1.6 2007 مستعمل سيدان أوتوماتيك بنزين سعر 300000 جنيه تكييف، زجاج كهربائي، قفل مركزي</v>
      </c>
    </row>
    <row r="117" customFormat="false" ht="35.05" hidden="false" customHeight="false" outlineLevel="0" collapsed="false">
      <c r="A117" s="6" t="s">
        <v>469</v>
      </c>
      <c r="B117" s="7" t="s">
        <v>466</v>
      </c>
      <c r="C117" s="6" t="str">
        <f aca="false">IF(B117="","",IFERROR(INDEX(Lists!$K$2:$K$60,MATCH(B117,Lists!$J$2:$J$60,0)),""))</f>
        <v>شيفروليه</v>
      </c>
      <c r="D117" s="7" t="s">
        <v>470</v>
      </c>
      <c r="E117" s="7" t="s">
        <v>471</v>
      </c>
      <c r="F117" s="7" t="n">
        <v>2011</v>
      </c>
      <c r="G117" s="7" t="s">
        <v>249</v>
      </c>
      <c r="H117" s="8" t="n">
        <v>350000</v>
      </c>
      <c r="I117" s="7" t="s">
        <v>77</v>
      </c>
      <c r="J117" s="9" t="n">
        <v>1800</v>
      </c>
      <c r="K117" s="7" t="n">
        <v>122</v>
      </c>
      <c r="L117" s="7" t="s">
        <v>78</v>
      </c>
      <c r="M117" s="7" t="s">
        <v>79</v>
      </c>
      <c r="N117" s="7" t="n">
        <v>9.5</v>
      </c>
      <c r="O117" s="7" t="n">
        <v>5</v>
      </c>
      <c r="P117" s="7" t="s">
        <v>80</v>
      </c>
      <c r="Q117" s="7" t="s">
        <v>80</v>
      </c>
      <c r="R117" s="7" t="s">
        <v>80</v>
      </c>
      <c r="S117" s="7" t="s">
        <v>80</v>
      </c>
      <c r="T117" s="7" t="s">
        <v>80</v>
      </c>
      <c r="U117" s="7" t="s">
        <v>256</v>
      </c>
      <c r="V117" s="7" t="s">
        <v>266</v>
      </c>
      <c r="W117" s="6" t="str">
        <f aca="false">IF(COUNTA(B117:V117)=0,"",IF(OR(B117="",C117="",D117="",F117="",G117="",H117="",I117="",L117="",M117=""),"ناقص",IF(AND(ISNUMBER(F117),ISNUMBER(H117)),"OK","السنة/السعر لازم أرقام")))</f>
        <v>OK</v>
      </c>
      <c r="X117" s="6" t="str">
        <f aca="false">IF(B117="","",B117&amp;" "&amp;C117&amp;" "&amp;D117&amp;" "&amp;E117&amp;" "&amp;F117&amp;" "&amp;G117&amp;" "&amp;I117&amp;" "&amp;L117&amp;" "&amp;M117&amp;" سعر "&amp;H117&amp;" جنيه "&amp;U117)</f>
        <v>Chevrolet شيفروليه Optra 1.8 Design أوبترا 1.8 ديزاين 2011 مستعمل سيدان أوتوماتيك بنزين سعر 350000 جنيه تكييف، زجاج كهربائي، قفل مركزي، ABS</v>
      </c>
    </row>
    <row r="118" customFormat="false" ht="35.05" hidden="false" customHeight="false" outlineLevel="0" collapsed="false">
      <c r="A118" s="6" t="s">
        <v>472</v>
      </c>
      <c r="B118" s="7" t="s">
        <v>466</v>
      </c>
      <c r="C118" s="6" t="str">
        <f aca="false">IF(B118="","",IFERROR(INDEX(Lists!$K$2:$K$60,MATCH(B118,Lists!$J$2:$J$60,0)),""))</f>
        <v>شيفروليه</v>
      </c>
      <c r="D118" s="7" t="s">
        <v>473</v>
      </c>
      <c r="E118" s="7" t="s">
        <v>474</v>
      </c>
      <c r="F118" s="7" t="n">
        <v>2013</v>
      </c>
      <c r="G118" s="7" t="s">
        <v>249</v>
      </c>
      <c r="H118" s="8" t="n">
        <v>550000</v>
      </c>
      <c r="I118" s="7" t="s">
        <v>77</v>
      </c>
      <c r="J118" s="9" t="n">
        <v>1800</v>
      </c>
      <c r="K118" s="7" t="n">
        <v>141</v>
      </c>
      <c r="L118" s="7" t="s">
        <v>78</v>
      </c>
      <c r="M118" s="7" t="s">
        <v>79</v>
      </c>
      <c r="N118" s="7" t="n">
        <v>9</v>
      </c>
      <c r="O118" s="7" t="n">
        <v>5</v>
      </c>
      <c r="P118" s="7" t="s">
        <v>80</v>
      </c>
      <c r="Q118" s="7" t="s">
        <v>80</v>
      </c>
      <c r="R118" s="7" t="s">
        <v>80</v>
      </c>
      <c r="S118" s="7" t="s">
        <v>80</v>
      </c>
      <c r="T118" s="7" t="s">
        <v>80</v>
      </c>
      <c r="U118" s="7" t="s">
        <v>144</v>
      </c>
      <c r="V118" s="7" t="s">
        <v>266</v>
      </c>
      <c r="W118" s="6" t="str">
        <f aca="false">IF(COUNTA(B118:V118)=0,"",IF(OR(B118="",C118="",D118="",F118="",G118="",H118="",I118="",L118="",M118=""),"ناقص",IF(AND(ISNUMBER(F118),ISNUMBER(H118)),"OK","السنة/السعر لازم أرقام")))</f>
        <v>OK</v>
      </c>
      <c r="X118" s="6" t="str">
        <f aca="false">IF(B118="","",B118&amp;" "&amp;C118&amp;" "&amp;D118&amp;" "&amp;E118&amp;" "&amp;F118&amp;" "&amp;G118&amp;" "&amp;I118&amp;" "&amp;L118&amp;" "&amp;M118&amp;" سعر "&amp;H118&amp;" جنيه "&amp;U118)</f>
        <v>Chevrolet شيفروليه Cruze J300 كروز J300 2013 مستعمل سيدان أوتوماتيك بنزين سعر 550000 جنيه تكييف، زجاج كهربائي، قفل مركزي، ABS، مرايات كهربائية، حساسات ركن خلفية</v>
      </c>
    </row>
    <row r="119" customFormat="false" ht="35.05" hidden="false" customHeight="false" outlineLevel="0" collapsed="false">
      <c r="A119" s="6" t="s">
        <v>475</v>
      </c>
      <c r="B119" s="7" t="s">
        <v>466</v>
      </c>
      <c r="C119" s="6" t="str">
        <f aca="false">IF(B119="","",IFERROR(INDEX(Lists!$K$2:$K$60,MATCH(B119,Lists!$J$2:$J$60,0)),""))</f>
        <v>شيفروليه</v>
      </c>
      <c r="D119" s="7" t="s">
        <v>476</v>
      </c>
      <c r="E119" s="7" t="s">
        <v>477</v>
      </c>
      <c r="F119" s="7" t="n">
        <v>2017</v>
      </c>
      <c r="G119" s="7" t="s">
        <v>249</v>
      </c>
      <c r="H119" s="8" t="n">
        <v>800000</v>
      </c>
      <c r="I119" s="7" t="s">
        <v>77</v>
      </c>
      <c r="J119" s="9" t="n">
        <v>1400</v>
      </c>
      <c r="K119" s="7" t="n">
        <v>153</v>
      </c>
      <c r="L119" s="7" t="s">
        <v>78</v>
      </c>
      <c r="M119" s="7" t="s">
        <v>79</v>
      </c>
      <c r="N119" s="7" t="n">
        <v>7.5</v>
      </c>
      <c r="O119" s="7" t="n">
        <v>5</v>
      </c>
      <c r="P119" s="7" t="s">
        <v>81</v>
      </c>
      <c r="Q119" s="7" t="s">
        <v>81</v>
      </c>
      <c r="R119" s="7" t="s">
        <v>81</v>
      </c>
      <c r="S119" s="7" t="s">
        <v>81</v>
      </c>
      <c r="T119" s="7" t="s">
        <v>81</v>
      </c>
      <c r="U119" s="7" t="s">
        <v>148</v>
      </c>
      <c r="V119" s="7" t="s">
        <v>266</v>
      </c>
      <c r="W119" s="6" t="str">
        <f aca="false">IF(COUNTA(B119:V119)=0,"",IF(OR(B119="",C119="",D119="",F119="",G119="",H119="",I119="",L119="",M119=""),"ناقص",IF(AND(ISNUMBER(F119),ISNUMBER(H119)),"OK","السنة/السعر لازم أرقام")))</f>
        <v>OK</v>
      </c>
      <c r="X119" s="6" t="str">
        <f aca="false">IF(B119="","",B119&amp;" "&amp;C119&amp;" "&amp;D119&amp;" "&amp;E119&amp;" "&amp;F119&amp;" "&amp;G119&amp;" "&amp;I119&amp;" "&amp;L119&amp;" "&amp;M119&amp;" سعر "&amp;H119&amp;" جنيه "&amp;U119)</f>
        <v>Chevrolet شيفروليه Cruze J400 كروز J400 2017 مستعمل سيدان أوتوماتيك بنزين سعر 800000 جنيه تكييف، زجاج كهربائي، قفل مركزي، ABS، مرايات كهربائية، حساسات ركن خلفية، جنوط ألومنيوم، تحكم في الثبات ESP</v>
      </c>
    </row>
    <row r="120" customFormat="false" ht="35.05" hidden="false" customHeight="false" outlineLevel="0" collapsed="false">
      <c r="A120" s="6" t="s">
        <v>478</v>
      </c>
      <c r="B120" s="7" t="s">
        <v>466</v>
      </c>
      <c r="C120" s="6" t="str">
        <f aca="false">IF(B120="","",IFERROR(INDEX(Lists!$K$2:$K$60,MATCH(B120,Lists!$J$2:$J$60,0)),""))</f>
        <v>شيفروليه</v>
      </c>
      <c r="D120" s="7" t="s">
        <v>479</v>
      </c>
      <c r="E120" s="7" t="s">
        <v>480</v>
      </c>
      <c r="F120" s="7" t="n">
        <v>2014</v>
      </c>
      <c r="G120" s="7" t="s">
        <v>249</v>
      </c>
      <c r="H120" s="8" t="n">
        <v>400000</v>
      </c>
      <c r="I120" s="7" t="s">
        <v>77</v>
      </c>
      <c r="J120" s="9" t="n">
        <v>1500</v>
      </c>
      <c r="K120" s="7" t="n">
        <v>108</v>
      </c>
      <c r="L120" s="7" t="s">
        <v>78</v>
      </c>
      <c r="M120" s="7" t="s">
        <v>79</v>
      </c>
      <c r="N120" s="7" t="n">
        <v>7.5</v>
      </c>
      <c r="O120" s="7" t="n">
        <v>5</v>
      </c>
      <c r="P120" s="7" t="s">
        <v>80</v>
      </c>
      <c r="Q120" s="7" t="s">
        <v>80</v>
      </c>
      <c r="R120" s="7" t="s">
        <v>80</v>
      </c>
      <c r="S120" s="7" t="s">
        <v>80</v>
      </c>
      <c r="T120" s="7" t="s">
        <v>80</v>
      </c>
      <c r="U120" s="7" t="s">
        <v>256</v>
      </c>
      <c r="V120" s="7" t="s">
        <v>266</v>
      </c>
      <c r="W120" s="6" t="str">
        <f aca="false">IF(COUNTA(B120:V120)=0,"",IF(OR(B120="",C120="",D120="",F120="",G120="",H120="",I120="",L120="",M120=""),"ناقص",IF(AND(ISNUMBER(F120),ISNUMBER(H120)),"OK","السنة/السعر لازم أرقام")))</f>
        <v>OK</v>
      </c>
      <c r="X120" s="6" t="str">
        <f aca="false">IF(B120="","",B120&amp;" "&amp;C120&amp;" "&amp;D120&amp;" "&amp;E120&amp;" "&amp;F120&amp;" "&amp;G120&amp;" "&amp;I120&amp;" "&amp;L120&amp;" "&amp;M120&amp;" سعر "&amp;H120&amp;" جنيه "&amp;U120)</f>
        <v>Chevrolet شيفروليه Aveo T300 أفيو T300 2014 مستعمل سيدان أوتوماتيك بنزين سعر 400000 جنيه تكييف، زجاج كهربائي، قفل مركزي، ABS</v>
      </c>
    </row>
    <row r="121" customFormat="false" ht="35.05" hidden="false" customHeight="false" outlineLevel="0" collapsed="false">
      <c r="A121" s="6" t="s">
        <v>481</v>
      </c>
      <c r="B121" s="7" t="s">
        <v>466</v>
      </c>
      <c r="C121" s="6" t="str">
        <f aca="false">IF(B121="","",IFERROR(INDEX(Lists!$K$2:$K$60,MATCH(B121,Lists!$J$2:$J$60,0)),""))</f>
        <v>شيفروليه</v>
      </c>
      <c r="D121" s="7" t="s">
        <v>482</v>
      </c>
      <c r="E121" s="7" t="s">
        <v>483</v>
      </c>
      <c r="F121" s="7" t="n">
        <v>2010</v>
      </c>
      <c r="G121" s="7" t="s">
        <v>249</v>
      </c>
      <c r="H121" s="8" t="n">
        <v>650000</v>
      </c>
      <c r="I121" s="7" t="s">
        <v>113</v>
      </c>
      <c r="J121" s="9" t="n">
        <v>2400</v>
      </c>
      <c r="K121" s="7" t="n">
        <v>167</v>
      </c>
      <c r="L121" s="7" t="s">
        <v>78</v>
      </c>
      <c r="M121" s="7" t="s">
        <v>79</v>
      </c>
      <c r="N121" s="7" t="n">
        <v>11</v>
      </c>
      <c r="O121" s="7" t="n">
        <v>7</v>
      </c>
      <c r="P121" s="7" t="s">
        <v>80</v>
      </c>
      <c r="Q121" s="7" t="s">
        <v>80</v>
      </c>
      <c r="R121" s="7" t="s">
        <v>81</v>
      </c>
      <c r="S121" s="7" t="s">
        <v>81</v>
      </c>
      <c r="T121" s="7" t="s">
        <v>80</v>
      </c>
      <c r="U121" s="7" t="s">
        <v>256</v>
      </c>
      <c r="V121" s="7" t="s">
        <v>266</v>
      </c>
      <c r="W121" s="6" t="str">
        <f aca="false">IF(COUNTA(B121:V121)=0,"",IF(OR(B121="",C121="",D121="",F121="",G121="",H121="",I121="",L121="",M121=""),"ناقص",IF(AND(ISNUMBER(F121),ISNUMBER(H121)),"OK","السنة/السعر لازم أرقام")))</f>
        <v>OK</v>
      </c>
      <c r="X121" s="6" t="str">
        <f aca="false">IF(B121="","",B121&amp;" "&amp;C121&amp;" "&amp;D121&amp;" "&amp;E121&amp;" "&amp;F121&amp;" "&amp;G121&amp;" "&amp;I121&amp;" "&amp;L121&amp;" "&amp;M121&amp;" سعر "&amp;H121&amp;" جنيه "&amp;U121)</f>
        <v>Chevrolet شيفروليه Captiva C100 كابتيفا C100 2010 مستعمل SUV أوتوماتيك بنزين سعر 650000 جنيه تكييف، زجاج كهربائي، قفل مركزي، ABS</v>
      </c>
    </row>
    <row r="122" customFormat="false" ht="35.05" hidden="false" customHeight="false" outlineLevel="0" collapsed="false">
      <c r="A122" s="6" t="s">
        <v>484</v>
      </c>
      <c r="B122" s="7" t="s">
        <v>466</v>
      </c>
      <c r="C122" s="6" t="str">
        <f aca="false">IF(B122="","",IFERROR(INDEX(Lists!$K$2:$K$60,MATCH(B122,Lists!$J$2:$J$60,0)),""))</f>
        <v>شيفروليه</v>
      </c>
      <c r="D122" s="7" t="s">
        <v>485</v>
      </c>
      <c r="E122" s="7" t="s">
        <v>486</v>
      </c>
      <c r="F122" s="7" t="n">
        <v>2014</v>
      </c>
      <c r="G122" s="7" t="s">
        <v>249</v>
      </c>
      <c r="H122" s="8" t="n">
        <v>900000</v>
      </c>
      <c r="I122" s="7" t="s">
        <v>113</v>
      </c>
      <c r="J122" s="9" t="n">
        <v>2400</v>
      </c>
      <c r="K122" s="7" t="n">
        <v>167</v>
      </c>
      <c r="L122" s="7" t="s">
        <v>78</v>
      </c>
      <c r="M122" s="7" t="s">
        <v>79</v>
      </c>
      <c r="N122" s="7" t="n">
        <v>11</v>
      </c>
      <c r="O122" s="7" t="n">
        <v>7</v>
      </c>
      <c r="P122" s="7" t="s">
        <v>81</v>
      </c>
      <c r="Q122" s="7" t="s">
        <v>80</v>
      </c>
      <c r="R122" s="7" t="s">
        <v>81</v>
      </c>
      <c r="S122" s="7" t="s">
        <v>81</v>
      </c>
      <c r="T122" s="7" t="s">
        <v>81</v>
      </c>
      <c r="U122" s="7" t="s">
        <v>148</v>
      </c>
      <c r="V122" s="7" t="s">
        <v>266</v>
      </c>
      <c r="W122" s="6" t="str">
        <f aca="false">IF(COUNTA(B122:V122)=0,"",IF(OR(B122="",C122="",D122="",F122="",G122="",H122="",I122="",L122="",M122=""),"ناقص",IF(AND(ISNUMBER(F122),ISNUMBER(H122)),"OK","السنة/السعر لازم أرقام")))</f>
        <v>OK</v>
      </c>
      <c r="X122" s="6" t="str">
        <f aca="false">IF(B122="","",B122&amp;" "&amp;C122&amp;" "&amp;D122&amp;" "&amp;E122&amp;" "&amp;F122&amp;" "&amp;G122&amp;" "&amp;I122&amp;" "&amp;L122&amp;" "&amp;M122&amp;" سعر "&amp;H122&amp;" جنيه "&amp;U122)</f>
        <v>Chevrolet شيفروليه Captiva C140 كابتيفا C140 2014 مستعمل SUV أوتوماتيك بنزين سعر 900000 جنيه تكييف، زجاج كهربائي، قفل مركزي، ABS، مرايات كهربائية، حساسات ركن خلفية، جنوط ألومنيوم، تحكم في الثبات ESP</v>
      </c>
    </row>
    <row r="123" customFormat="false" ht="35.05" hidden="false" customHeight="false" outlineLevel="0" collapsed="false">
      <c r="A123" s="6" t="s">
        <v>487</v>
      </c>
      <c r="B123" s="7" t="s">
        <v>466</v>
      </c>
      <c r="C123" s="6" t="str">
        <f aca="false">IF(B123="","",IFERROR(INDEX(Lists!$K$2:$K$60,MATCH(B123,Lists!$J$2:$J$60,0)),""))</f>
        <v>شيفروليه</v>
      </c>
      <c r="D123" s="7" t="s">
        <v>488</v>
      </c>
      <c r="E123" s="7" t="s">
        <v>489</v>
      </c>
      <c r="F123" s="7" t="n">
        <v>2013</v>
      </c>
      <c r="G123" s="7" t="s">
        <v>249</v>
      </c>
      <c r="H123" s="8" t="n">
        <v>330000</v>
      </c>
      <c r="I123" s="7" t="s">
        <v>270</v>
      </c>
      <c r="J123" s="9" t="n">
        <v>1200</v>
      </c>
      <c r="K123" s="7" t="n">
        <v>81</v>
      </c>
      <c r="L123" s="7" t="s">
        <v>250</v>
      </c>
      <c r="M123" s="7" t="s">
        <v>79</v>
      </c>
      <c r="N123" s="7" t="n">
        <v>6.5</v>
      </c>
      <c r="O123" s="7" t="n">
        <v>5</v>
      </c>
      <c r="P123" s="7" t="s">
        <v>80</v>
      </c>
      <c r="Q123" s="7" t="s">
        <v>80</v>
      </c>
      <c r="R123" s="7" t="s">
        <v>80</v>
      </c>
      <c r="S123" s="7" t="s">
        <v>80</v>
      </c>
      <c r="T123" s="7" t="s">
        <v>80</v>
      </c>
      <c r="U123" s="7" t="s">
        <v>256</v>
      </c>
      <c r="V123" s="7" t="s">
        <v>266</v>
      </c>
      <c r="W123" s="6" t="str">
        <f aca="false">IF(COUNTA(B123:V123)=0,"",IF(OR(B123="",C123="",D123="",F123="",G123="",H123="",I123="",L123="",M123=""),"ناقص",IF(AND(ISNUMBER(F123),ISNUMBER(H123)),"OK","السنة/السعر لازم أرقام")))</f>
        <v>OK</v>
      </c>
      <c r="X123" s="6" t="str">
        <f aca="false">IF(B123="","",B123&amp;" "&amp;C123&amp;" "&amp;D123&amp;" "&amp;E123&amp;" "&amp;F123&amp;" "&amp;G123&amp;" "&amp;I123&amp;" "&amp;L123&amp;" "&amp;M123&amp;" سعر "&amp;H123&amp;" جنيه "&amp;U123)</f>
        <v>Chevrolet شيفروليه Spark M300 سبارك M300 2013 مستعمل هاتشباك مانيوال بنزين سعر 330000 جنيه تكييف، زجاج كهربائي، قفل مركزي، ABS</v>
      </c>
    </row>
    <row r="124" customFormat="false" ht="35.05" hidden="false" customHeight="false" outlineLevel="0" collapsed="false">
      <c r="A124" s="6" t="s">
        <v>490</v>
      </c>
      <c r="B124" s="7" t="s">
        <v>466</v>
      </c>
      <c r="C124" s="6" t="str">
        <f aca="false">IF(B124="","",IFERROR(INDEX(Lists!$K$2:$K$60,MATCH(B124,Lists!$J$2:$J$60,0)),""))</f>
        <v>شيفروليه</v>
      </c>
      <c r="D124" s="7" t="s">
        <v>491</v>
      </c>
      <c r="E124" s="7" t="s">
        <v>492</v>
      </c>
      <c r="F124" s="7" t="n">
        <v>2017</v>
      </c>
      <c r="G124" s="7" t="s">
        <v>249</v>
      </c>
      <c r="H124" s="8" t="n">
        <v>480000</v>
      </c>
      <c r="I124" s="7" t="s">
        <v>270</v>
      </c>
      <c r="J124" s="9" t="n">
        <v>1400</v>
      </c>
      <c r="K124" s="7" t="n">
        <v>98</v>
      </c>
      <c r="L124" s="7" t="s">
        <v>78</v>
      </c>
      <c r="M124" s="7" t="s">
        <v>79</v>
      </c>
      <c r="N124" s="7" t="n">
        <v>6</v>
      </c>
      <c r="O124" s="7" t="n">
        <v>5</v>
      </c>
      <c r="P124" s="7" t="s">
        <v>80</v>
      </c>
      <c r="Q124" s="7" t="s">
        <v>80</v>
      </c>
      <c r="R124" s="7" t="s">
        <v>81</v>
      </c>
      <c r="S124" s="7" t="s">
        <v>80</v>
      </c>
      <c r="T124" s="7" t="s">
        <v>81</v>
      </c>
      <c r="U124" s="7" t="s">
        <v>144</v>
      </c>
      <c r="V124" s="7" t="s">
        <v>266</v>
      </c>
      <c r="W124" s="6" t="str">
        <f aca="false">IF(COUNTA(B124:V124)=0,"",IF(OR(B124="",C124="",D124="",F124="",G124="",H124="",I124="",L124="",M124=""),"ناقص",IF(AND(ISNUMBER(F124),ISNUMBER(H124)),"OK","السنة/السعر لازم أرقام")))</f>
        <v>OK</v>
      </c>
      <c r="X124" s="6" t="str">
        <f aca="false">IF(B124="","",B124&amp;" "&amp;C124&amp;" "&amp;D124&amp;" "&amp;E124&amp;" "&amp;F124&amp;" "&amp;G124&amp;" "&amp;I124&amp;" "&amp;L124&amp;" "&amp;M124&amp;" سعر "&amp;H124&amp;" جنيه "&amp;U124)</f>
        <v>Chevrolet شيفروليه Spark M400 سبارك M400 2017 مستعمل هاتشباك أوتوماتيك بنزين سعر 480000 جنيه تكييف، زجاج كهربائي، قفل مركزي، ABS، مرايات كهربائية، حساسات ركن خلفية</v>
      </c>
    </row>
    <row r="125" customFormat="false" ht="35.05" hidden="false" customHeight="false" outlineLevel="0" collapsed="false">
      <c r="A125" s="6" t="s">
        <v>493</v>
      </c>
      <c r="B125" s="7" t="s">
        <v>466</v>
      </c>
      <c r="C125" s="6" t="str">
        <f aca="false">IF(B125="","",IFERROR(INDEX(Lists!$K$2:$K$60,MATCH(B125,Lists!$J$2:$J$60,0)),""))</f>
        <v>شيفروليه</v>
      </c>
      <c r="D125" s="7" t="s">
        <v>494</v>
      </c>
      <c r="E125" s="7" t="s">
        <v>495</v>
      </c>
      <c r="F125" s="7" t="n">
        <v>2014</v>
      </c>
      <c r="G125" s="7" t="s">
        <v>249</v>
      </c>
      <c r="H125" s="8" t="n">
        <v>850000</v>
      </c>
      <c r="I125" s="7" t="s">
        <v>77</v>
      </c>
      <c r="J125" s="9" t="n">
        <v>2400</v>
      </c>
      <c r="K125" s="7" t="n">
        <v>167</v>
      </c>
      <c r="L125" s="7" t="s">
        <v>78</v>
      </c>
      <c r="M125" s="7" t="s">
        <v>79</v>
      </c>
      <c r="N125" s="7" t="n">
        <v>9.5</v>
      </c>
      <c r="O125" s="7" t="n">
        <v>5</v>
      </c>
      <c r="P125" s="7" t="s">
        <v>81</v>
      </c>
      <c r="Q125" s="7" t="s">
        <v>80</v>
      </c>
      <c r="R125" s="7" t="s">
        <v>81</v>
      </c>
      <c r="S125" s="7" t="s">
        <v>81</v>
      </c>
      <c r="T125" s="7" t="s">
        <v>81</v>
      </c>
      <c r="U125" s="7" t="s">
        <v>148</v>
      </c>
      <c r="V125" s="7" t="s">
        <v>266</v>
      </c>
      <c r="W125" s="6" t="str">
        <f aca="false">IF(COUNTA(B125:V125)=0,"",IF(OR(B125="",C125="",D125="",F125="",G125="",H125="",I125="",L125="",M125=""),"ناقص",IF(AND(ISNUMBER(F125),ISNUMBER(H125)),"OK","السنة/السعر لازم أرقام")))</f>
        <v>OK</v>
      </c>
      <c r="X125" s="6" t="str">
        <f aca="false">IF(B125="","",B125&amp;" "&amp;C125&amp;" "&amp;D125&amp;" "&amp;E125&amp;" "&amp;F125&amp;" "&amp;G125&amp;" "&amp;I125&amp;" "&amp;L125&amp;" "&amp;M125&amp;" سعر "&amp;H125&amp;" جنيه "&amp;U125)</f>
        <v>Chevrolet شيفروليه Malibu V300 ماليبو V300 2014 مستعمل سيدان أوتوماتيك بنزين سعر 850000 جنيه تكييف، زجاج كهربائي، قفل مركزي، ABS، مرايات كهربائية، حساسات ركن خلفية، جنوط ألومنيوم، تحكم في الثبات ESP</v>
      </c>
    </row>
    <row r="126" customFormat="false" ht="35.05" hidden="false" customHeight="false" outlineLevel="0" collapsed="false">
      <c r="A126" s="6" t="s">
        <v>496</v>
      </c>
      <c r="B126" s="7" t="s">
        <v>466</v>
      </c>
      <c r="C126" s="6" t="str">
        <f aca="false">IF(B126="","",IFERROR(INDEX(Lists!$K$2:$K$60,MATCH(B126,Lists!$J$2:$J$60,0)),""))</f>
        <v>شيفروليه</v>
      </c>
      <c r="D126" s="7" t="s">
        <v>497</v>
      </c>
      <c r="E126" s="7" t="s">
        <v>498</v>
      </c>
      <c r="F126" s="7" t="n">
        <v>2016</v>
      </c>
      <c r="G126" s="7" t="s">
        <v>249</v>
      </c>
      <c r="H126" s="8" t="n">
        <v>900000</v>
      </c>
      <c r="I126" s="7" t="s">
        <v>105</v>
      </c>
      <c r="J126" s="9" t="n">
        <v>1800</v>
      </c>
      <c r="K126" s="7" t="n">
        <v>138</v>
      </c>
      <c r="L126" s="7" t="s">
        <v>78</v>
      </c>
      <c r="M126" s="7" t="s">
        <v>79</v>
      </c>
      <c r="N126" s="7" t="n">
        <v>8</v>
      </c>
      <c r="O126" s="7" t="n">
        <v>5</v>
      </c>
      <c r="P126" s="7" t="s">
        <v>81</v>
      </c>
      <c r="Q126" s="7" t="s">
        <v>81</v>
      </c>
      <c r="R126" s="7" t="s">
        <v>81</v>
      </c>
      <c r="S126" s="7" t="s">
        <v>81</v>
      </c>
      <c r="T126" s="7" t="s">
        <v>81</v>
      </c>
      <c r="U126" s="7" t="s">
        <v>148</v>
      </c>
      <c r="V126" s="7" t="s">
        <v>266</v>
      </c>
      <c r="W126" s="6" t="str">
        <f aca="false">IF(COUNTA(B126:V126)=0,"",IF(OR(B126="",C126="",D126="",F126="",G126="",H126="",I126="",L126="",M126=""),"ناقص",IF(AND(ISNUMBER(F126),ISNUMBER(H126)),"OK","السنة/السعر لازم أرقام")))</f>
        <v>OK</v>
      </c>
      <c r="X126" s="6" t="str">
        <f aca="false">IF(B126="","",B126&amp;" "&amp;C126&amp;" "&amp;D126&amp;" "&amp;E126&amp;" "&amp;F126&amp;" "&amp;G126&amp;" "&amp;I126&amp;" "&amp;L126&amp;" "&amp;M126&amp;" سعر "&amp;H126&amp;" جنيه "&amp;U126)</f>
        <v>Chevrolet شيفروليه Trax U200 تراكس U200 2016 مستعمل كروس أوفر أوتوماتيك بنزين سعر 900000 جنيه تكييف، زجاج كهربائي، قفل مركزي، ABS، مرايات كهربائية، حساسات ركن خلفية، جنوط ألومنيوم، تحكم في الثبات ESP</v>
      </c>
    </row>
    <row r="127" customFormat="false" ht="35.05" hidden="false" customHeight="false" outlineLevel="0" collapsed="false">
      <c r="A127" s="6" t="s">
        <v>499</v>
      </c>
      <c r="B127" s="7" t="s">
        <v>500</v>
      </c>
      <c r="C127" s="6" t="str">
        <f aca="false">IF(B127="","",IFERROR(INDEX(Lists!$K$2:$K$60,MATCH(B127,Lists!$J$2:$J$60,0)),""))</f>
        <v>دايو</v>
      </c>
      <c r="D127" s="7" t="s">
        <v>501</v>
      </c>
      <c r="E127" s="7" t="s">
        <v>502</v>
      </c>
      <c r="F127" s="7" t="n">
        <v>2000</v>
      </c>
      <c r="G127" s="7" t="s">
        <v>249</v>
      </c>
      <c r="H127" s="8" t="n">
        <v>200000</v>
      </c>
      <c r="I127" s="7" t="s">
        <v>77</v>
      </c>
      <c r="J127" s="9" t="n">
        <v>1500</v>
      </c>
      <c r="K127" s="7" t="n">
        <v>86</v>
      </c>
      <c r="L127" s="7" t="s">
        <v>250</v>
      </c>
      <c r="M127" s="7" t="s">
        <v>79</v>
      </c>
      <c r="N127" s="7" t="n">
        <v>8.5</v>
      </c>
      <c r="O127" s="7" t="n">
        <v>5</v>
      </c>
      <c r="P127" s="7" t="s">
        <v>80</v>
      </c>
      <c r="Q127" s="7" t="s">
        <v>80</v>
      </c>
      <c r="R127" s="7" t="s">
        <v>80</v>
      </c>
      <c r="S127" s="7" t="s">
        <v>80</v>
      </c>
      <c r="T127" s="7" t="s">
        <v>80</v>
      </c>
      <c r="U127" s="7" t="s">
        <v>251</v>
      </c>
      <c r="V127" s="7" t="s">
        <v>266</v>
      </c>
      <c r="W127" s="6" t="str">
        <f aca="false">IF(COUNTA(B127:V127)=0,"",IF(OR(B127="",C127="",D127="",F127="",G127="",H127="",I127="",L127="",M127=""),"ناقص",IF(AND(ISNUMBER(F127),ISNUMBER(H127)),"OK","السنة/السعر لازم أرقام")))</f>
        <v>OK</v>
      </c>
      <c r="X127" s="6" t="str">
        <f aca="false">IF(B127="","",B127&amp;" "&amp;C127&amp;" "&amp;D127&amp;" "&amp;E127&amp;" "&amp;F127&amp;" "&amp;G127&amp;" "&amp;I127&amp;" "&amp;L127&amp;" "&amp;M127&amp;" سعر "&amp;H127&amp;" جنيه "&amp;U127)</f>
        <v>Daewoo دايو Lanos لانوس 2000 مستعمل سيدان مانيوال بنزين سعر 200000 جنيه تكييف، زجاج كهربائي، قفل مركزي</v>
      </c>
    </row>
    <row r="128" customFormat="false" ht="35.05" hidden="false" customHeight="false" outlineLevel="0" collapsed="false">
      <c r="A128" s="6" t="s">
        <v>503</v>
      </c>
      <c r="B128" s="7" t="s">
        <v>500</v>
      </c>
      <c r="C128" s="6" t="str">
        <f aca="false">IF(B128="","",IFERROR(INDEX(Lists!$K$2:$K$60,MATCH(B128,Lists!$J$2:$J$60,0)),""))</f>
        <v>دايو</v>
      </c>
      <c r="D128" s="7" t="s">
        <v>504</v>
      </c>
      <c r="E128" s="7" t="s">
        <v>505</v>
      </c>
      <c r="F128" s="7" t="n">
        <v>2003</v>
      </c>
      <c r="G128" s="7" t="s">
        <v>249</v>
      </c>
      <c r="H128" s="8" t="n">
        <v>130000</v>
      </c>
      <c r="I128" s="7" t="s">
        <v>270</v>
      </c>
      <c r="J128" s="9" t="n">
        <v>800</v>
      </c>
      <c r="K128" s="7" t="n">
        <v>52</v>
      </c>
      <c r="L128" s="7" t="s">
        <v>250</v>
      </c>
      <c r="M128" s="7" t="s">
        <v>79</v>
      </c>
      <c r="N128" s="7" t="n">
        <v>5.5</v>
      </c>
      <c r="O128" s="7" t="n">
        <v>4</v>
      </c>
      <c r="P128" s="7" t="s">
        <v>80</v>
      </c>
      <c r="Q128" s="7" t="s">
        <v>80</v>
      </c>
      <c r="R128" s="7" t="s">
        <v>80</v>
      </c>
      <c r="S128" s="7" t="s">
        <v>80</v>
      </c>
      <c r="T128" s="7" t="s">
        <v>80</v>
      </c>
      <c r="U128" s="7" t="s">
        <v>251</v>
      </c>
      <c r="V128" s="7" t="s">
        <v>266</v>
      </c>
      <c r="W128" s="6" t="str">
        <f aca="false">IF(COUNTA(B128:V128)=0,"",IF(OR(B128="",C128="",D128="",F128="",G128="",H128="",I128="",L128="",M128=""),"ناقص",IF(AND(ISNUMBER(F128),ISNUMBER(H128)),"OK","السنة/السعر لازم أرقام")))</f>
        <v>OK</v>
      </c>
      <c r="X128" s="6" t="str">
        <f aca="false">IF(B128="","",B128&amp;" "&amp;C128&amp;" "&amp;D128&amp;" "&amp;E128&amp;" "&amp;F128&amp;" "&amp;G128&amp;" "&amp;I128&amp;" "&amp;L128&amp;" "&amp;M128&amp;" سعر "&amp;H128&amp;" جنيه "&amp;U128)</f>
        <v>Daewoo دايو Matiz M100 ماتيز M100 2003 مستعمل هاتشباك مانيوال بنزين سعر 130000 جنيه تكييف، زجاج كهربائي، قفل مركزي</v>
      </c>
    </row>
    <row r="129" customFormat="false" ht="35.05" hidden="false" customHeight="false" outlineLevel="0" collapsed="false">
      <c r="A129" s="6" t="s">
        <v>506</v>
      </c>
      <c r="B129" s="7" t="s">
        <v>507</v>
      </c>
      <c r="C129" s="6" t="str">
        <f aca="false">IF(B129="","",IFERROR(INDEX(Lists!$K$2:$K$60,MATCH(B129,Lists!$J$2:$J$60,0)),""))</f>
        <v>سوزوكي</v>
      </c>
      <c r="D129" s="7" t="s">
        <v>508</v>
      </c>
      <c r="E129" s="7" t="s">
        <v>509</v>
      </c>
      <c r="F129" s="7" t="n">
        <v>2008</v>
      </c>
      <c r="G129" s="7" t="s">
        <v>249</v>
      </c>
      <c r="H129" s="8" t="n">
        <v>330000</v>
      </c>
      <c r="I129" s="7" t="s">
        <v>270</v>
      </c>
      <c r="J129" s="9" t="n">
        <v>1300</v>
      </c>
      <c r="K129" s="7" t="n">
        <v>92</v>
      </c>
      <c r="L129" s="7" t="s">
        <v>250</v>
      </c>
      <c r="M129" s="7" t="s">
        <v>79</v>
      </c>
      <c r="N129" s="7" t="n">
        <v>6.5</v>
      </c>
      <c r="O129" s="7" t="n">
        <v>5</v>
      </c>
      <c r="P129" s="7" t="s">
        <v>80</v>
      </c>
      <c r="Q129" s="7" t="s">
        <v>80</v>
      </c>
      <c r="R129" s="7" t="s">
        <v>80</v>
      </c>
      <c r="S129" s="7" t="s">
        <v>80</v>
      </c>
      <c r="T129" s="7" t="s">
        <v>80</v>
      </c>
      <c r="U129" s="7" t="s">
        <v>251</v>
      </c>
      <c r="V129" s="7" t="s">
        <v>266</v>
      </c>
      <c r="W129" s="6" t="str">
        <f aca="false">IF(COUNTA(B129:V129)=0,"",IF(OR(B129="",C129="",D129="",F129="",G129="",H129="",I129="",L129="",M129=""),"ناقص",IF(AND(ISNUMBER(F129),ISNUMBER(H129)),"OK","السنة/السعر لازم أرقام")))</f>
        <v>OK</v>
      </c>
      <c r="X129" s="6" t="str">
        <f aca="false">IF(B129="","",B129&amp;" "&amp;C129&amp;" "&amp;D129&amp;" "&amp;E129&amp;" "&amp;F129&amp;" "&amp;G129&amp;" "&amp;I129&amp;" "&amp;L129&amp;" "&amp;M129&amp;" سعر "&amp;H129&amp;" جنيه "&amp;U129)</f>
        <v>Suzuki سوزوكي Swift ZC سويفت ZC 2008 مستعمل هاتشباك مانيوال بنزين سعر 330000 جنيه تكييف، زجاج كهربائي، قفل مركزي</v>
      </c>
    </row>
    <row r="130" customFormat="false" ht="35.05" hidden="false" customHeight="false" outlineLevel="0" collapsed="false">
      <c r="A130" s="6" t="s">
        <v>510</v>
      </c>
      <c r="B130" s="7" t="s">
        <v>507</v>
      </c>
      <c r="C130" s="6" t="str">
        <f aca="false">IF(B130="","",IFERROR(INDEX(Lists!$K$2:$K$60,MATCH(B130,Lists!$J$2:$J$60,0)),""))</f>
        <v>سوزوكي</v>
      </c>
      <c r="D130" s="7" t="s">
        <v>511</v>
      </c>
      <c r="E130" s="7" t="s">
        <v>512</v>
      </c>
      <c r="F130" s="7" t="n">
        <v>2012</v>
      </c>
      <c r="G130" s="7" t="s">
        <v>249</v>
      </c>
      <c r="H130" s="8" t="n">
        <v>420000</v>
      </c>
      <c r="I130" s="7" t="s">
        <v>270</v>
      </c>
      <c r="J130" s="9" t="n">
        <v>1200</v>
      </c>
      <c r="K130" s="7" t="n">
        <v>94</v>
      </c>
      <c r="L130" s="7" t="s">
        <v>78</v>
      </c>
      <c r="M130" s="7" t="s">
        <v>79</v>
      </c>
      <c r="N130" s="7" t="n">
        <v>6</v>
      </c>
      <c r="O130" s="7" t="n">
        <v>5</v>
      </c>
      <c r="P130" s="7" t="s">
        <v>80</v>
      </c>
      <c r="Q130" s="7" t="s">
        <v>80</v>
      </c>
      <c r="R130" s="7" t="s">
        <v>80</v>
      </c>
      <c r="S130" s="7" t="s">
        <v>80</v>
      </c>
      <c r="T130" s="7" t="s">
        <v>80</v>
      </c>
      <c r="U130" s="7" t="s">
        <v>144</v>
      </c>
      <c r="V130" s="7" t="s">
        <v>266</v>
      </c>
      <c r="W130" s="6" t="str">
        <f aca="false">IF(COUNTA(B130:V130)=0,"",IF(OR(B130="",C130="",D130="",F130="",G130="",H130="",I130="",L130="",M130=""),"ناقص",IF(AND(ISNUMBER(F130),ISNUMBER(H130)),"OK","السنة/السعر لازم أرقام")))</f>
        <v>OK</v>
      </c>
      <c r="X130" s="6" t="str">
        <f aca="false">IF(B130="","",B130&amp;" "&amp;C130&amp;" "&amp;D130&amp;" "&amp;E130&amp;" "&amp;F130&amp;" "&amp;G130&amp;" "&amp;I130&amp;" "&amp;L130&amp;" "&amp;M130&amp;" سعر "&amp;H130&amp;" جنيه "&amp;U130)</f>
        <v>Suzuki سوزوكي Swift ZC72 سويفت ZC72 2012 مستعمل هاتشباك أوتوماتيك بنزين سعر 420000 جنيه تكييف، زجاج كهربائي، قفل مركزي، ABS، مرايات كهربائية، حساسات ركن خلفية</v>
      </c>
    </row>
    <row r="131" customFormat="false" ht="35.05" hidden="false" customHeight="false" outlineLevel="0" collapsed="false">
      <c r="A131" s="6" t="s">
        <v>513</v>
      </c>
      <c r="B131" s="7" t="s">
        <v>507</v>
      </c>
      <c r="C131" s="6" t="str">
        <f aca="false">IF(B131="","",IFERROR(INDEX(Lists!$K$2:$K$60,MATCH(B131,Lists!$J$2:$J$60,0)),""))</f>
        <v>سوزوكي</v>
      </c>
      <c r="D131" s="7" t="s">
        <v>514</v>
      </c>
      <c r="E131" s="7" t="s">
        <v>515</v>
      </c>
      <c r="F131" s="7" t="n">
        <v>2019</v>
      </c>
      <c r="G131" s="7" t="s">
        <v>249</v>
      </c>
      <c r="H131" s="8" t="n">
        <v>650000</v>
      </c>
      <c r="I131" s="7" t="s">
        <v>270</v>
      </c>
      <c r="J131" s="9" t="n">
        <v>1200</v>
      </c>
      <c r="K131" s="7" t="n">
        <v>83</v>
      </c>
      <c r="L131" s="7" t="s">
        <v>230</v>
      </c>
      <c r="M131" s="7" t="s">
        <v>79</v>
      </c>
      <c r="N131" s="7" t="n">
        <v>5.4</v>
      </c>
      <c r="O131" s="7" t="n">
        <v>5</v>
      </c>
      <c r="P131" s="7" t="s">
        <v>80</v>
      </c>
      <c r="Q131" s="7" t="s">
        <v>81</v>
      </c>
      <c r="R131" s="7" t="s">
        <v>81</v>
      </c>
      <c r="S131" s="7" t="s">
        <v>80</v>
      </c>
      <c r="T131" s="7" t="s">
        <v>81</v>
      </c>
      <c r="U131" s="7" t="s">
        <v>144</v>
      </c>
      <c r="V131" s="7" t="s">
        <v>266</v>
      </c>
      <c r="W131" s="6" t="str">
        <f aca="false">IF(COUNTA(B131:V131)=0,"",IF(OR(B131="",C131="",D131="",F131="",G131="",H131="",I131="",L131="",M131=""),"ناقص",IF(AND(ISNUMBER(F131),ISNUMBER(H131)),"OK","السنة/السعر لازم أرقام")))</f>
        <v>OK</v>
      </c>
      <c r="X131" s="6" t="str">
        <f aca="false">IF(B131="","",B131&amp;" "&amp;C131&amp;" "&amp;D131&amp;" "&amp;E131&amp;" "&amp;F131&amp;" "&amp;G131&amp;" "&amp;I131&amp;" "&amp;L131&amp;" "&amp;M131&amp;" سعر "&amp;H131&amp;" جنيه "&amp;U131)</f>
        <v>Suzuki سوزوكي Swift AZ سويفت AZ 2019 مستعمل هاتشباك CVT بنزين سعر 650000 جنيه تكييف، زجاج كهربائي، قفل مركزي، ABS، مرايات كهربائية، حساسات ركن خلفية</v>
      </c>
    </row>
    <row r="132" customFormat="false" ht="35.05" hidden="false" customHeight="false" outlineLevel="0" collapsed="false">
      <c r="A132" s="6" t="s">
        <v>516</v>
      </c>
      <c r="B132" s="7" t="s">
        <v>507</v>
      </c>
      <c r="C132" s="6" t="str">
        <f aca="false">IF(B132="","",IFERROR(INDEX(Lists!$K$2:$K$60,MATCH(B132,Lists!$J$2:$J$60,0)),""))</f>
        <v>سوزوكي</v>
      </c>
      <c r="D132" s="7" t="s">
        <v>517</v>
      </c>
      <c r="E132" s="7" t="s">
        <v>518</v>
      </c>
      <c r="F132" s="7" t="n">
        <v>2018</v>
      </c>
      <c r="G132" s="7" t="s">
        <v>249</v>
      </c>
      <c r="H132" s="8" t="n">
        <v>560000</v>
      </c>
      <c r="I132" s="7" t="s">
        <v>77</v>
      </c>
      <c r="J132" s="9" t="n">
        <v>1200</v>
      </c>
      <c r="K132" s="7" t="n">
        <v>83</v>
      </c>
      <c r="L132" s="7" t="s">
        <v>250</v>
      </c>
      <c r="M132" s="7" t="s">
        <v>79</v>
      </c>
      <c r="N132" s="7" t="n">
        <v>5.5</v>
      </c>
      <c r="O132" s="7" t="n">
        <v>5</v>
      </c>
      <c r="P132" s="7" t="s">
        <v>80</v>
      </c>
      <c r="Q132" s="7" t="s">
        <v>80</v>
      </c>
      <c r="R132" s="7" t="s">
        <v>80</v>
      </c>
      <c r="S132" s="7" t="s">
        <v>80</v>
      </c>
      <c r="T132" s="7" t="s">
        <v>81</v>
      </c>
      <c r="U132" s="7" t="s">
        <v>256</v>
      </c>
      <c r="V132" s="7" t="s">
        <v>266</v>
      </c>
      <c r="W132" s="6" t="str">
        <f aca="false">IF(COUNTA(B132:V132)=0,"",IF(OR(B132="",C132="",D132="",F132="",G132="",H132="",I132="",L132="",M132=""),"ناقص",IF(AND(ISNUMBER(F132),ISNUMBER(H132)),"OK","السنة/السعر لازم أرقام")))</f>
        <v>OK</v>
      </c>
      <c r="X132" s="6" t="str">
        <f aca="false">IF(B132="","",B132&amp;" "&amp;C132&amp;" "&amp;D132&amp;" "&amp;E132&amp;" "&amp;F132&amp;" "&amp;G132&amp;" "&amp;I132&amp;" "&amp;L132&amp;" "&amp;M132&amp;" سعر "&amp;H132&amp;" جنيه "&amp;U132)</f>
        <v>Suzuki سوزوكي Dzire ديزاير 2018 مستعمل سيدان مانيوال بنزين سعر 560000 جنيه تكييف، زجاج كهربائي، قفل مركزي، ABS</v>
      </c>
    </row>
    <row r="133" customFormat="false" ht="35.05" hidden="false" customHeight="false" outlineLevel="0" collapsed="false">
      <c r="A133" s="6" t="s">
        <v>519</v>
      </c>
      <c r="B133" s="7" t="s">
        <v>507</v>
      </c>
      <c r="C133" s="6" t="str">
        <f aca="false">IF(B133="","",IFERROR(INDEX(Lists!$K$2:$K$60,MATCH(B133,Lists!$J$2:$J$60,0)),""))</f>
        <v>سوزوكي</v>
      </c>
      <c r="D133" s="7" t="s">
        <v>520</v>
      </c>
      <c r="E133" s="7" t="s">
        <v>521</v>
      </c>
      <c r="F133" s="7" t="n">
        <v>2019</v>
      </c>
      <c r="G133" s="7" t="s">
        <v>249</v>
      </c>
      <c r="H133" s="8" t="n">
        <v>850000</v>
      </c>
      <c r="I133" s="7" t="s">
        <v>159</v>
      </c>
      <c r="J133" s="9" t="n">
        <v>1500</v>
      </c>
      <c r="K133" s="7" t="n">
        <v>104</v>
      </c>
      <c r="L133" s="7" t="s">
        <v>78</v>
      </c>
      <c r="M133" s="7" t="s">
        <v>79</v>
      </c>
      <c r="N133" s="7" t="n">
        <v>6.5</v>
      </c>
      <c r="O133" s="7" t="n">
        <v>7</v>
      </c>
      <c r="P133" s="7" t="s">
        <v>80</v>
      </c>
      <c r="Q133" s="7" t="s">
        <v>81</v>
      </c>
      <c r="R133" s="7" t="s">
        <v>81</v>
      </c>
      <c r="S133" s="7" t="s">
        <v>80</v>
      </c>
      <c r="T133" s="7" t="s">
        <v>81</v>
      </c>
      <c r="U133" s="7" t="s">
        <v>144</v>
      </c>
      <c r="V133" s="7" t="s">
        <v>266</v>
      </c>
      <c r="W133" s="6" t="str">
        <f aca="false">IF(COUNTA(B133:V133)=0,"",IF(OR(B133="",C133="",D133="",F133="",G133="",H133="",I133="",L133="",M133=""),"ناقص",IF(AND(ISNUMBER(F133),ISNUMBER(H133)),"OK","السنة/السعر لازم أرقام")))</f>
        <v>OK</v>
      </c>
      <c r="X133" s="6" t="str">
        <f aca="false">IF(B133="","",B133&amp;" "&amp;C133&amp;" "&amp;D133&amp;" "&amp;E133&amp;" "&amp;F133&amp;" "&amp;G133&amp;" "&amp;I133&amp;" "&amp;L133&amp;" "&amp;M133&amp;" سعر "&amp;H133&amp;" جنيه "&amp;U133)</f>
        <v>Suzuki سوزوكي Ertiga إرتيجا 2019 مستعمل ميني فان أوتوماتيك بنزين سعر 850000 جنيه تكييف، زجاج كهربائي، قفل مركزي، ABS، مرايات كهربائية، حساسات ركن خلفية</v>
      </c>
    </row>
    <row r="134" customFormat="false" ht="35.05" hidden="false" customHeight="false" outlineLevel="0" collapsed="false">
      <c r="A134" s="6" t="s">
        <v>522</v>
      </c>
      <c r="B134" s="7" t="s">
        <v>507</v>
      </c>
      <c r="C134" s="6" t="str">
        <f aca="false">IF(B134="","",IFERROR(INDEX(Lists!$K$2:$K$60,MATCH(B134,Lists!$J$2:$J$60,0)),""))</f>
        <v>سوزوكي</v>
      </c>
      <c r="D134" s="7" t="s">
        <v>523</v>
      </c>
      <c r="E134" s="7" t="s">
        <v>524</v>
      </c>
      <c r="F134" s="7" t="n">
        <v>2018</v>
      </c>
      <c r="G134" s="7" t="s">
        <v>249</v>
      </c>
      <c r="H134" s="8" t="n">
        <v>1050000</v>
      </c>
      <c r="I134" s="7" t="s">
        <v>105</v>
      </c>
      <c r="J134" s="9" t="n">
        <v>1600</v>
      </c>
      <c r="K134" s="7" t="n">
        <v>117</v>
      </c>
      <c r="L134" s="7" t="s">
        <v>78</v>
      </c>
      <c r="M134" s="7" t="s">
        <v>79</v>
      </c>
      <c r="N134" s="7" t="n">
        <v>7</v>
      </c>
      <c r="O134" s="7" t="n">
        <v>5</v>
      </c>
      <c r="P134" s="7" t="s">
        <v>81</v>
      </c>
      <c r="Q134" s="7" t="s">
        <v>81</v>
      </c>
      <c r="R134" s="7" t="s">
        <v>81</v>
      </c>
      <c r="S134" s="7" t="s">
        <v>81</v>
      </c>
      <c r="T134" s="7" t="s">
        <v>81</v>
      </c>
      <c r="U134" s="7" t="s">
        <v>148</v>
      </c>
      <c r="V134" s="7" t="s">
        <v>266</v>
      </c>
      <c r="W134" s="6" t="str">
        <f aca="false">IF(COUNTA(B134:V134)=0,"",IF(OR(B134="",C134="",D134="",F134="",G134="",H134="",I134="",L134="",M134=""),"ناقص",IF(AND(ISNUMBER(F134),ISNUMBER(H134)),"OK","السنة/السعر لازم أرقام")))</f>
        <v>OK</v>
      </c>
      <c r="X134" s="6" t="str">
        <f aca="false">IF(B134="","",B134&amp;" "&amp;C134&amp;" "&amp;D134&amp;" "&amp;E134&amp;" "&amp;F134&amp;" "&amp;G134&amp;" "&amp;I134&amp;" "&amp;L134&amp;" "&amp;M134&amp;" سعر "&amp;H134&amp;" جنيه "&amp;U134)</f>
        <v>Suzuki سوزوكي Vitara LY فيتارا LY 2018 مستعمل كروس أوفر أوتوماتيك بنزين سعر 1050000 جنيه تكييف، زجاج كهربائي، قفل مركزي، ABS، مرايات كهربائية، حساسات ركن خلفية، جنوط ألومنيوم، تحكم في الثبات ESP</v>
      </c>
    </row>
    <row r="135" customFormat="false" ht="35.05" hidden="false" customHeight="false" outlineLevel="0" collapsed="false">
      <c r="A135" s="6" t="s">
        <v>525</v>
      </c>
      <c r="B135" s="7" t="s">
        <v>507</v>
      </c>
      <c r="C135" s="6" t="str">
        <f aca="false">IF(B135="","",IFERROR(INDEX(Lists!$K$2:$K$60,MATCH(B135,Lists!$J$2:$J$60,0)),""))</f>
        <v>سوزوكي</v>
      </c>
      <c r="D135" s="7" t="s">
        <v>526</v>
      </c>
      <c r="E135" s="7" t="s">
        <v>527</v>
      </c>
      <c r="F135" s="7" t="n">
        <v>2012</v>
      </c>
      <c r="G135" s="7" t="s">
        <v>249</v>
      </c>
      <c r="H135" s="8" t="n">
        <v>700000</v>
      </c>
      <c r="I135" s="7" t="s">
        <v>113</v>
      </c>
      <c r="J135" s="9" t="n">
        <v>1300</v>
      </c>
      <c r="K135" s="7" t="n">
        <v>85</v>
      </c>
      <c r="L135" s="7" t="s">
        <v>250</v>
      </c>
      <c r="M135" s="7" t="s">
        <v>79</v>
      </c>
      <c r="N135" s="7" t="n">
        <v>8</v>
      </c>
      <c r="O135" s="7" t="n">
        <v>4</v>
      </c>
      <c r="P135" s="7" t="s">
        <v>80</v>
      </c>
      <c r="Q135" s="7" t="s">
        <v>80</v>
      </c>
      <c r="R135" s="7" t="s">
        <v>80</v>
      </c>
      <c r="S135" s="7" t="s">
        <v>80</v>
      </c>
      <c r="T135" s="7" t="s">
        <v>80</v>
      </c>
      <c r="U135" s="7" t="s">
        <v>144</v>
      </c>
      <c r="V135" s="7" t="s">
        <v>266</v>
      </c>
      <c r="W135" s="6" t="str">
        <f aca="false">IF(COUNTA(B135:V135)=0,"",IF(OR(B135="",C135="",D135="",F135="",G135="",H135="",I135="",L135="",M135=""),"ناقص",IF(AND(ISNUMBER(F135),ISNUMBER(H135)),"OK","السنة/السعر لازم أرقام")))</f>
        <v>OK</v>
      </c>
      <c r="X135" s="6" t="str">
        <f aca="false">IF(B135="","",B135&amp;" "&amp;C135&amp;" "&amp;D135&amp;" "&amp;E135&amp;" "&amp;F135&amp;" "&amp;G135&amp;" "&amp;I135&amp;" "&amp;L135&amp;" "&amp;M135&amp;" سعر "&amp;H135&amp;" جنيه "&amp;U135)</f>
        <v>Suzuki سوزوكي Jimny JB43 جيمني JB43 2012 مستعمل SUV مانيوال بنزين سعر 700000 جنيه تكييف، زجاج كهربائي، قفل مركزي، ABS، مرايات كهربائية، حساسات ركن خلفية</v>
      </c>
    </row>
    <row r="136" customFormat="false" ht="35.05" hidden="false" customHeight="false" outlineLevel="0" collapsed="false">
      <c r="A136" s="6" t="s">
        <v>528</v>
      </c>
      <c r="B136" s="7" t="s">
        <v>507</v>
      </c>
      <c r="C136" s="6" t="str">
        <f aca="false">IF(B136="","",IFERROR(INDEX(Lists!$K$2:$K$60,MATCH(B136,Lists!$J$2:$J$60,0)),""))</f>
        <v>سوزوكي</v>
      </c>
      <c r="D136" s="7" t="s">
        <v>529</v>
      </c>
      <c r="E136" s="7" t="s">
        <v>530</v>
      </c>
      <c r="F136" s="7" t="n">
        <v>2010</v>
      </c>
      <c r="G136" s="7" t="s">
        <v>249</v>
      </c>
      <c r="H136" s="8" t="n">
        <v>650000</v>
      </c>
      <c r="I136" s="7" t="s">
        <v>113</v>
      </c>
      <c r="J136" s="9" t="n">
        <v>2000</v>
      </c>
      <c r="K136" s="7" t="n">
        <v>140</v>
      </c>
      <c r="L136" s="7" t="s">
        <v>78</v>
      </c>
      <c r="M136" s="7" t="s">
        <v>79</v>
      </c>
      <c r="N136" s="7" t="n">
        <v>9.5</v>
      </c>
      <c r="O136" s="7" t="n">
        <v>5</v>
      </c>
      <c r="P136" s="7" t="s">
        <v>80</v>
      </c>
      <c r="Q136" s="7" t="s">
        <v>80</v>
      </c>
      <c r="R136" s="7" t="s">
        <v>81</v>
      </c>
      <c r="S136" s="7" t="s">
        <v>81</v>
      </c>
      <c r="T136" s="7" t="s">
        <v>80</v>
      </c>
      <c r="U136" s="7" t="s">
        <v>256</v>
      </c>
      <c r="V136" s="7" t="s">
        <v>266</v>
      </c>
      <c r="W136" s="6" t="str">
        <f aca="false">IF(COUNTA(B136:V136)=0,"",IF(OR(B136="",C136="",D136="",F136="",G136="",H136="",I136="",L136="",M136=""),"ناقص",IF(AND(ISNUMBER(F136),ISNUMBER(H136)),"OK","السنة/السعر لازم أرقام")))</f>
        <v>OK</v>
      </c>
      <c r="X136" s="6" t="str">
        <f aca="false">IF(B136="","",B136&amp;" "&amp;C136&amp;" "&amp;D136&amp;" "&amp;E136&amp;" "&amp;F136&amp;" "&amp;G136&amp;" "&amp;I136&amp;" "&amp;L136&amp;" "&amp;M136&amp;" سعر "&amp;H136&amp;" جنيه "&amp;U136)</f>
        <v>Suzuki سوزوكي Grand Vitara جراند فيتارا 2010 مستعمل SUV أوتوماتيك بنزين سعر 650000 جنيه تكييف، زجاج كهربائي، قفل مركزي، ABS</v>
      </c>
    </row>
    <row r="137" customFormat="false" ht="35.05" hidden="false" customHeight="false" outlineLevel="0" collapsed="false">
      <c r="A137" s="6" t="s">
        <v>531</v>
      </c>
      <c r="B137" s="7" t="s">
        <v>507</v>
      </c>
      <c r="C137" s="6" t="str">
        <f aca="false">IF(B137="","",IFERROR(INDEX(Lists!$K$2:$K$60,MATCH(B137,Lists!$J$2:$J$60,0)),""))</f>
        <v>سوزوكي</v>
      </c>
      <c r="D137" s="7" t="s">
        <v>532</v>
      </c>
      <c r="E137" s="7" t="s">
        <v>533</v>
      </c>
      <c r="F137" s="7" t="n">
        <v>2018</v>
      </c>
      <c r="G137" s="7" t="s">
        <v>249</v>
      </c>
      <c r="H137" s="8" t="n">
        <v>700000</v>
      </c>
      <c r="I137" s="7" t="s">
        <v>270</v>
      </c>
      <c r="J137" s="9" t="n">
        <v>1400</v>
      </c>
      <c r="K137" s="7" t="n">
        <v>92</v>
      </c>
      <c r="L137" s="7" t="s">
        <v>78</v>
      </c>
      <c r="M137" s="7" t="s">
        <v>79</v>
      </c>
      <c r="N137" s="7" t="n">
        <v>6</v>
      </c>
      <c r="O137" s="7" t="n">
        <v>5</v>
      </c>
      <c r="P137" s="7" t="s">
        <v>80</v>
      </c>
      <c r="Q137" s="7" t="s">
        <v>80</v>
      </c>
      <c r="R137" s="7" t="s">
        <v>81</v>
      </c>
      <c r="S137" s="7" t="s">
        <v>80</v>
      </c>
      <c r="T137" s="7" t="s">
        <v>81</v>
      </c>
      <c r="U137" s="7" t="s">
        <v>144</v>
      </c>
      <c r="V137" s="7" t="s">
        <v>266</v>
      </c>
      <c r="W137" s="6" t="str">
        <f aca="false">IF(COUNTA(B137:V137)=0,"",IF(OR(B137="",C137="",D137="",F137="",G137="",H137="",I137="",L137="",M137=""),"ناقص",IF(AND(ISNUMBER(F137),ISNUMBER(H137)),"OK","السنة/السعر لازم أرقام")))</f>
        <v>OK</v>
      </c>
      <c r="X137" s="6" t="str">
        <f aca="false">IF(B137="","",B137&amp;" "&amp;C137&amp;" "&amp;D137&amp;" "&amp;E137&amp;" "&amp;F137&amp;" "&amp;G137&amp;" "&amp;I137&amp;" "&amp;L137&amp;" "&amp;M137&amp;" سعر "&amp;H137&amp;" جنيه "&amp;U137)</f>
        <v>Suzuki سوزوكي Baleno بالينو 2018 مستعمل هاتشباك أوتوماتيك بنزين سعر 700000 جنيه تكييف، زجاج كهربائي، قفل مركزي، ABS، مرايات كهربائية، حساسات ركن خلفية</v>
      </c>
    </row>
    <row r="138" customFormat="false" ht="35.05" hidden="false" customHeight="false" outlineLevel="0" collapsed="false">
      <c r="A138" s="6" t="s">
        <v>534</v>
      </c>
      <c r="B138" s="7" t="s">
        <v>535</v>
      </c>
      <c r="C138" s="6" t="str">
        <f aca="false">IF(B138="","",IFERROR(INDEX(Lists!$K$2:$K$60,MATCH(B138,Lists!$J$2:$J$60,0)),""))</f>
        <v>ميتسوبيشي</v>
      </c>
      <c r="D138" s="7" t="s">
        <v>536</v>
      </c>
      <c r="E138" s="7" t="s">
        <v>537</v>
      </c>
      <c r="F138" s="7" t="n">
        <v>2005</v>
      </c>
      <c r="G138" s="7" t="s">
        <v>249</v>
      </c>
      <c r="H138" s="8" t="n">
        <v>330000</v>
      </c>
      <c r="I138" s="7" t="s">
        <v>77</v>
      </c>
      <c r="J138" s="9" t="n">
        <v>1600</v>
      </c>
      <c r="K138" s="7" t="n">
        <v>98</v>
      </c>
      <c r="L138" s="7" t="s">
        <v>78</v>
      </c>
      <c r="M138" s="7" t="s">
        <v>79</v>
      </c>
      <c r="N138" s="7" t="n">
        <v>8.5</v>
      </c>
      <c r="O138" s="7" t="n">
        <v>5</v>
      </c>
      <c r="P138" s="7" t="s">
        <v>80</v>
      </c>
      <c r="Q138" s="7" t="s">
        <v>80</v>
      </c>
      <c r="R138" s="7" t="s">
        <v>80</v>
      </c>
      <c r="S138" s="7" t="s">
        <v>80</v>
      </c>
      <c r="T138" s="7" t="s">
        <v>80</v>
      </c>
      <c r="U138" s="7" t="s">
        <v>251</v>
      </c>
      <c r="V138" s="7" t="s">
        <v>266</v>
      </c>
      <c r="W138" s="6" t="str">
        <f aca="false">IF(COUNTA(B138:V138)=0,"",IF(OR(B138="",C138="",D138="",F138="",G138="",H138="",I138="",L138="",M138=""),"ناقص",IF(AND(ISNUMBER(F138),ISNUMBER(H138)),"OK","السنة/السعر لازم أرقام")))</f>
        <v>OK</v>
      </c>
      <c r="X138" s="6" t="str">
        <f aca="false">IF(B138="","",B138&amp;" "&amp;C138&amp;" "&amp;D138&amp;" "&amp;E138&amp;" "&amp;F138&amp;" "&amp;G138&amp;" "&amp;I138&amp;" "&amp;L138&amp;" "&amp;M138&amp;" سعر "&amp;H138&amp;" جنيه "&amp;U138)</f>
        <v>Mitsubishi ميتسوبيشي Lancer CS3 لانسر CS3 2005 مستعمل سيدان أوتوماتيك بنزين سعر 330000 جنيه تكييف، زجاج كهربائي، قفل مركزي</v>
      </c>
    </row>
    <row r="139" customFormat="false" ht="35.05" hidden="false" customHeight="false" outlineLevel="0" collapsed="false">
      <c r="A139" s="6" t="s">
        <v>538</v>
      </c>
      <c r="B139" s="7" t="s">
        <v>535</v>
      </c>
      <c r="C139" s="6" t="str">
        <f aca="false">IF(B139="","",IFERROR(INDEX(Lists!$K$2:$K$60,MATCH(B139,Lists!$J$2:$J$60,0)),""))</f>
        <v>ميتسوبيشي</v>
      </c>
      <c r="D139" s="7" t="s">
        <v>539</v>
      </c>
      <c r="E139" s="7" t="s">
        <v>540</v>
      </c>
      <c r="F139" s="7" t="n">
        <v>2012</v>
      </c>
      <c r="G139" s="7" t="s">
        <v>249</v>
      </c>
      <c r="H139" s="8" t="n">
        <v>550000</v>
      </c>
      <c r="I139" s="7" t="s">
        <v>77</v>
      </c>
      <c r="J139" s="9" t="n">
        <v>1600</v>
      </c>
      <c r="K139" s="7" t="n">
        <v>117</v>
      </c>
      <c r="L139" s="7" t="s">
        <v>78</v>
      </c>
      <c r="M139" s="7" t="s">
        <v>79</v>
      </c>
      <c r="N139" s="7" t="n">
        <v>8</v>
      </c>
      <c r="O139" s="7" t="n">
        <v>5</v>
      </c>
      <c r="P139" s="7" t="s">
        <v>80</v>
      </c>
      <c r="Q139" s="7" t="s">
        <v>80</v>
      </c>
      <c r="R139" s="7" t="s">
        <v>80</v>
      </c>
      <c r="S139" s="7" t="s">
        <v>80</v>
      </c>
      <c r="T139" s="7" t="s">
        <v>80</v>
      </c>
      <c r="U139" s="7" t="s">
        <v>144</v>
      </c>
      <c r="V139" s="7" t="s">
        <v>266</v>
      </c>
      <c r="W139" s="6" t="str">
        <f aca="false">IF(COUNTA(B139:V139)=0,"",IF(OR(B139="",C139="",D139="",F139="",G139="",H139="",I139="",L139="",M139=""),"ناقص",IF(AND(ISNUMBER(F139),ISNUMBER(H139)),"OK","السنة/السعر لازم أرقام")))</f>
        <v>OK</v>
      </c>
      <c r="X139" s="6" t="str">
        <f aca="false">IF(B139="","",B139&amp;" "&amp;C139&amp;" "&amp;D139&amp;" "&amp;E139&amp;" "&amp;F139&amp;" "&amp;G139&amp;" "&amp;I139&amp;" "&amp;L139&amp;" "&amp;M139&amp;" سعر "&amp;H139&amp;" جنيه "&amp;U139)</f>
        <v>Mitsubishi ميتسوبيشي Lancer EX لانسر EX 2012 مستعمل سيدان أوتوماتيك بنزين سعر 550000 جنيه تكييف، زجاج كهربائي، قفل مركزي، ABS، مرايات كهربائية، حساسات ركن خلفية</v>
      </c>
    </row>
    <row r="140" customFormat="false" ht="35.05" hidden="false" customHeight="false" outlineLevel="0" collapsed="false">
      <c r="A140" s="6" t="s">
        <v>541</v>
      </c>
      <c r="B140" s="7" t="s">
        <v>535</v>
      </c>
      <c r="C140" s="6" t="str">
        <f aca="false">IF(B140="","",IFERROR(INDEX(Lists!$K$2:$K$60,MATCH(B140,Lists!$J$2:$J$60,0)),""))</f>
        <v>ميتسوبيشي</v>
      </c>
      <c r="D140" s="7" t="s">
        <v>542</v>
      </c>
      <c r="E140" s="7" t="s">
        <v>543</v>
      </c>
      <c r="F140" s="7" t="n">
        <v>2015</v>
      </c>
      <c r="G140" s="7" t="s">
        <v>249</v>
      </c>
      <c r="H140" s="8" t="n">
        <v>420000</v>
      </c>
      <c r="I140" s="7" t="s">
        <v>270</v>
      </c>
      <c r="J140" s="9" t="n">
        <v>1200</v>
      </c>
      <c r="K140" s="7" t="n">
        <v>78</v>
      </c>
      <c r="L140" s="7" t="s">
        <v>230</v>
      </c>
      <c r="M140" s="7" t="s">
        <v>79</v>
      </c>
      <c r="N140" s="7" t="n">
        <v>5.5</v>
      </c>
      <c r="O140" s="7" t="n">
        <v>5</v>
      </c>
      <c r="P140" s="7" t="s">
        <v>80</v>
      </c>
      <c r="Q140" s="7" t="s">
        <v>80</v>
      </c>
      <c r="R140" s="7" t="s">
        <v>80</v>
      </c>
      <c r="S140" s="7" t="s">
        <v>80</v>
      </c>
      <c r="T140" s="7" t="s">
        <v>80</v>
      </c>
      <c r="U140" s="7" t="s">
        <v>256</v>
      </c>
      <c r="V140" s="7" t="s">
        <v>266</v>
      </c>
      <c r="W140" s="6" t="str">
        <f aca="false">IF(COUNTA(B140:V140)=0,"",IF(OR(B140="",C140="",D140="",F140="",G140="",H140="",I140="",L140="",M140=""),"ناقص",IF(AND(ISNUMBER(F140),ISNUMBER(H140)),"OK","السنة/السعر لازم أرقام")))</f>
        <v>OK</v>
      </c>
      <c r="X140" s="6" t="str">
        <f aca="false">IF(B140="","",B140&amp;" "&amp;C140&amp;" "&amp;D140&amp;" "&amp;E140&amp;" "&amp;F140&amp;" "&amp;G140&amp;" "&amp;I140&amp;" "&amp;L140&amp;" "&amp;M140&amp;" سعر "&amp;H140&amp;" جنيه "&amp;U140)</f>
        <v>Mitsubishi ميتسوبيشي Mirage ميراج 2015 مستعمل هاتشباك CVT بنزين سعر 420000 جنيه تكييف، زجاج كهربائي، قفل مركزي، ABS</v>
      </c>
    </row>
    <row r="141" customFormat="false" ht="35.05" hidden="false" customHeight="false" outlineLevel="0" collapsed="false">
      <c r="A141" s="6" t="s">
        <v>544</v>
      </c>
      <c r="B141" s="7" t="s">
        <v>535</v>
      </c>
      <c r="C141" s="6" t="str">
        <f aca="false">IF(B141="","",IFERROR(INDEX(Lists!$K$2:$K$60,MATCH(B141,Lists!$J$2:$J$60,0)),""))</f>
        <v>ميتسوبيشي</v>
      </c>
      <c r="D141" s="7" t="s">
        <v>545</v>
      </c>
      <c r="E141" s="7" t="s">
        <v>546</v>
      </c>
      <c r="F141" s="7" t="n">
        <v>2014</v>
      </c>
      <c r="G141" s="7" t="s">
        <v>249</v>
      </c>
      <c r="H141" s="8" t="n">
        <v>800000</v>
      </c>
      <c r="I141" s="7" t="s">
        <v>105</v>
      </c>
      <c r="J141" s="9" t="n">
        <v>2000</v>
      </c>
      <c r="K141" s="7" t="n">
        <v>150</v>
      </c>
      <c r="L141" s="7" t="s">
        <v>230</v>
      </c>
      <c r="M141" s="7" t="s">
        <v>79</v>
      </c>
      <c r="N141" s="7" t="n">
        <v>8.5</v>
      </c>
      <c r="O141" s="7" t="n">
        <v>5</v>
      </c>
      <c r="P141" s="7" t="s">
        <v>81</v>
      </c>
      <c r="Q141" s="7" t="s">
        <v>80</v>
      </c>
      <c r="R141" s="7" t="s">
        <v>81</v>
      </c>
      <c r="S141" s="7" t="s">
        <v>81</v>
      </c>
      <c r="T141" s="7" t="s">
        <v>81</v>
      </c>
      <c r="U141" s="7" t="s">
        <v>148</v>
      </c>
      <c r="V141" s="7" t="s">
        <v>266</v>
      </c>
      <c r="W141" s="6" t="str">
        <f aca="false">IF(COUNTA(B141:V141)=0,"",IF(OR(B141="",C141="",D141="",F141="",G141="",H141="",I141="",L141="",M141=""),"ناقص",IF(AND(ISNUMBER(F141),ISNUMBER(H141)),"OK","السنة/السعر لازم أرقام")))</f>
        <v>OK</v>
      </c>
      <c r="X141" s="6" t="str">
        <f aca="false">IF(B141="","",B141&amp;" "&amp;C141&amp;" "&amp;D141&amp;" "&amp;E141&amp;" "&amp;F141&amp;" "&amp;G141&amp;" "&amp;I141&amp;" "&amp;L141&amp;" "&amp;M141&amp;" سعر "&amp;H141&amp;" جنيه "&amp;U141)</f>
        <v>Mitsubishi ميتسوبيشي ASX إيه إس إكس 2014 مستعمل كروس أوفر CVT بنزين سعر 800000 جنيه تكييف، زجاج كهربائي، قفل مركزي، ABS، مرايات كهربائية، حساسات ركن خلفية، جنوط ألومنيوم، تحكم في الثبات ESP</v>
      </c>
    </row>
    <row r="142" customFormat="false" ht="35.05" hidden="false" customHeight="false" outlineLevel="0" collapsed="false">
      <c r="A142" s="6" t="s">
        <v>547</v>
      </c>
      <c r="B142" s="7" t="s">
        <v>535</v>
      </c>
      <c r="C142" s="6" t="str">
        <f aca="false">IF(B142="","",IFERROR(INDEX(Lists!$K$2:$K$60,MATCH(B142,Lists!$J$2:$J$60,0)),""))</f>
        <v>ميتسوبيشي</v>
      </c>
      <c r="D142" s="7" t="s">
        <v>548</v>
      </c>
      <c r="E142" s="7" t="s">
        <v>549</v>
      </c>
      <c r="F142" s="7" t="n">
        <v>2010</v>
      </c>
      <c r="G142" s="7" t="s">
        <v>249</v>
      </c>
      <c r="H142" s="8" t="n">
        <v>650000</v>
      </c>
      <c r="I142" s="7" t="s">
        <v>113</v>
      </c>
      <c r="J142" s="9" t="n">
        <v>2400</v>
      </c>
      <c r="K142" s="7" t="n">
        <v>169</v>
      </c>
      <c r="L142" s="7" t="s">
        <v>78</v>
      </c>
      <c r="M142" s="7" t="s">
        <v>79</v>
      </c>
      <c r="N142" s="7" t="n">
        <v>10.5</v>
      </c>
      <c r="O142" s="7" t="n">
        <v>5</v>
      </c>
      <c r="P142" s="7" t="s">
        <v>80</v>
      </c>
      <c r="Q142" s="7" t="s">
        <v>80</v>
      </c>
      <c r="R142" s="7" t="s">
        <v>81</v>
      </c>
      <c r="S142" s="7" t="s">
        <v>81</v>
      </c>
      <c r="T142" s="7" t="s">
        <v>80</v>
      </c>
      <c r="U142" s="7" t="s">
        <v>256</v>
      </c>
      <c r="V142" s="7" t="s">
        <v>266</v>
      </c>
      <c r="W142" s="6" t="str">
        <f aca="false">IF(COUNTA(B142:V142)=0,"",IF(OR(B142="",C142="",D142="",F142="",G142="",H142="",I142="",L142="",M142=""),"ناقص",IF(AND(ISNUMBER(F142),ISNUMBER(H142)),"OK","السنة/السعر لازم أرقام")))</f>
        <v>OK</v>
      </c>
      <c r="X142" s="6" t="str">
        <f aca="false">IF(B142="","",B142&amp;" "&amp;C142&amp;" "&amp;D142&amp;" "&amp;E142&amp;" "&amp;F142&amp;" "&amp;G142&amp;" "&amp;I142&amp;" "&amp;L142&amp;" "&amp;M142&amp;" سعر "&amp;H142&amp;" جنيه "&amp;U142)</f>
        <v>Mitsubishi ميتسوبيشي Outlander CW أوتلاندر CW 2010 مستعمل SUV أوتوماتيك بنزين سعر 650000 جنيه تكييف، زجاج كهربائي، قفل مركزي، ABS</v>
      </c>
    </row>
    <row r="143" customFormat="false" ht="35.05" hidden="false" customHeight="false" outlineLevel="0" collapsed="false">
      <c r="A143" s="6" t="s">
        <v>550</v>
      </c>
      <c r="B143" s="7" t="s">
        <v>535</v>
      </c>
      <c r="C143" s="6" t="str">
        <f aca="false">IF(B143="","",IFERROR(INDEX(Lists!$K$2:$K$60,MATCH(B143,Lists!$J$2:$J$60,0)),""))</f>
        <v>ميتسوبيشي</v>
      </c>
      <c r="D143" s="7" t="s">
        <v>551</v>
      </c>
      <c r="E143" s="7" t="s">
        <v>552</v>
      </c>
      <c r="F143" s="7" t="n">
        <v>2018</v>
      </c>
      <c r="G143" s="7" t="s">
        <v>249</v>
      </c>
      <c r="H143" s="8" t="n">
        <v>1700000</v>
      </c>
      <c r="I143" s="7" t="s">
        <v>113</v>
      </c>
      <c r="J143" s="9" t="n">
        <v>2400</v>
      </c>
      <c r="K143" s="7" t="n">
        <v>167</v>
      </c>
      <c r="L143" s="7" t="s">
        <v>230</v>
      </c>
      <c r="M143" s="7" t="s">
        <v>79</v>
      </c>
      <c r="N143" s="7" t="n">
        <v>9</v>
      </c>
      <c r="O143" s="7" t="n">
        <v>7</v>
      </c>
      <c r="P143" s="7" t="s">
        <v>81</v>
      </c>
      <c r="Q143" s="7" t="s">
        <v>81</v>
      </c>
      <c r="R143" s="7" t="s">
        <v>81</v>
      </c>
      <c r="S143" s="7" t="s">
        <v>81</v>
      </c>
      <c r="T143" s="7" t="s">
        <v>81</v>
      </c>
      <c r="U143" s="7" t="s">
        <v>148</v>
      </c>
      <c r="V143" s="7" t="s">
        <v>266</v>
      </c>
      <c r="W143" s="6" t="str">
        <f aca="false">IF(COUNTA(B143:V143)=0,"",IF(OR(B143="",C143="",D143="",F143="",G143="",H143="",I143="",L143="",M143=""),"ناقص",IF(AND(ISNUMBER(F143),ISNUMBER(H143)),"OK","السنة/السعر لازم أرقام")))</f>
        <v>OK</v>
      </c>
      <c r="X143" s="6" t="str">
        <f aca="false">IF(B143="","",B143&amp;" "&amp;C143&amp;" "&amp;D143&amp;" "&amp;E143&amp;" "&amp;F143&amp;" "&amp;G143&amp;" "&amp;I143&amp;" "&amp;L143&amp;" "&amp;M143&amp;" سعر "&amp;H143&amp;" جنيه "&amp;U143)</f>
        <v>Mitsubishi ميتسوبيشي Outlander GF أوتلاندر GF 2018 مستعمل SUV CVT بنزين سعر 1700000 جنيه تكييف، زجاج كهربائي، قفل مركزي، ABS، مرايات كهربائية، حساسات ركن خلفية، جنوط ألومنيوم، تحكم في الثبات ESP</v>
      </c>
    </row>
    <row r="144" customFormat="false" ht="35.05" hidden="false" customHeight="false" outlineLevel="0" collapsed="false">
      <c r="A144" s="6" t="s">
        <v>553</v>
      </c>
      <c r="B144" s="7" t="s">
        <v>535</v>
      </c>
      <c r="C144" s="6" t="str">
        <f aca="false">IF(B144="","",IFERROR(INDEX(Lists!$K$2:$K$60,MATCH(B144,Lists!$J$2:$J$60,0)),""))</f>
        <v>ميتسوبيشي</v>
      </c>
      <c r="D144" s="7" t="s">
        <v>554</v>
      </c>
      <c r="E144" s="7" t="s">
        <v>555</v>
      </c>
      <c r="F144" s="7" t="n">
        <v>2005</v>
      </c>
      <c r="G144" s="7" t="s">
        <v>249</v>
      </c>
      <c r="H144" s="8" t="n">
        <v>750000</v>
      </c>
      <c r="I144" s="7" t="s">
        <v>113</v>
      </c>
      <c r="J144" s="9" t="n">
        <v>3500</v>
      </c>
      <c r="K144" s="7" t="n">
        <v>200</v>
      </c>
      <c r="L144" s="7" t="s">
        <v>78</v>
      </c>
      <c r="M144" s="7" t="s">
        <v>79</v>
      </c>
      <c r="N144" s="7" t="n">
        <v>14</v>
      </c>
      <c r="O144" s="7" t="n">
        <v>7</v>
      </c>
      <c r="P144" s="7" t="s">
        <v>80</v>
      </c>
      <c r="Q144" s="7" t="s">
        <v>80</v>
      </c>
      <c r="R144" s="7" t="s">
        <v>80</v>
      </c>
      <c r="S144" s="7" t="s">
        <v>80</v>
      </c>
      <c r="T144" s="7" t="s">
        <v>80</v>
      </c>
      <c r="U144" s="7" t="s">
        <v>251</v>
      </c>
      <c r="V144" s="7" t="s">
        <v>266</v>
      </c>
      <c r="W144" s="6" t="str">
        <f aca="false">IF(COUNTA(B144:V144)=0,"",IF(OR(B144="",C144="",D144="",F144="",G144="",H144="",I144="",L144="",M144=""),"ناقص",IF(AND(ISNUMBER(F144),ISNUMBER(H144)),"OK","السنة/السعر لازم أرقام")))</f>
        <v>OK</v>
      </c>
      <c r="X144" s="6" t="str">
        <f aca="false">IF(B144="","",B144&amp;" "&amp;C144&amp;" "&amp;D144&amp;" "&amp;E144&amp;" "&amp;F144&amp;" "&amp;G144&amp;" "&amp;I144&amp;" "&amp;L144&amp;" "&amp;M144&amp;" سعر "&amp;H144&amp;" جنيه "&amp;U144)</f>
        <v>Mitsubishi ميتسوبيشي Pajero V73 باجيرو V73 2005 مستعمل SUV أوتوماتيك بنزين سعر 750000 جنيه تكييف، زجاج كهربائي، قفل مركزي</v>
      </c>
    </row>
    <row r="145" customFormat="false" ht="35.05" hidden="false" customHeight="false" outlineLevel="0" collapsed="false">
      <c r="A145" s="6" t="s">
        <v>556</v>
      </c>
      <c r="B145" s="7" t="s">
        <v>535</v>
      </c>
      <c r="C145" s="6" t="str">
        <f aca="false">IF(B145="","",IFERROR(INDEX(Lists!$K$2:$K$60,MATCH(B145,Lists!$J$2:$J$60,0)),""))</f>
        <v>ميتسوبيشي</v>
      </c>
      <c r="D145" s="7" t="s">
        <v>557</v>
      </c>
      <c r="E145" s="7" t="s">
        <v>558</v>
      </c>
      <c r="F145" s="7" t="n">
        <v>2015</v>
      </c>
      <c r="G145" s="7" t="s">
        <v>249</v>
      </c>
      <c r="H145" s="8" t="n">
        <v>1200000</v>
      </c>
      <c r="I145" s="7" t="s">
        <v>295</v>
      </c>
      <c r="J145" s="9" t="n">
        <v>2500</v>
      </c>
      <c r="K145" s="7" t="n">
        <v>136</v>
      </c>
      <c r="L145" s="7" t="s">
        <v>250</v>
      </c>
      <c r="M145" s="7" t="s">
        <v>464</v>
      </c>
      <c r="N145" s="7" t="n">
        <v>8.5</v>
      </c>
      <c r="O145" s="7" t="n">
        <v>5</v>
      </c>
      <c r="P145" s="7" t="s">
        <v>80</v>
      </c>
      <c r="Q145" s="7" t="s">
        <v>80</v>
      </c>
      <c r="R145" s="7" t="s">
        <v>81</v>
      </c>
      <c r="S145" s="7" t="s">
        <v>80</v>
      </c>
      <c r="T145" s="7" t="s">
        <v>80</v>
      </c>
      <c r="U145" s="7" t="s">
        <v>144</v>
      </c>
      <c r="V145" s="7" t="s">
        <v>266</v>
      </c>
      <c r="W145" s="6" t="str">
        <f aca="false">IF(COUNTA(B145:V145)=0,"",IF(OR(B145="",C145="",D145="",F145="",G145="",H145="",I145="",L145="",M145=""),"ناقص",IF(AND(ISNUMBER(F145),ISNUMBER(H145)),"OK","السنة/السعر لازم أرقام")))</f>
        <v>OK</v>
      </c>
      <c r="X145" s="6" t="str">
        <f aca="false">IF(B145="","",B145&amp;" "&amp;C145&amp;" "&amp;D145&amp;" "&amp;E145&amp;" "&amp;F145&amp;" "&amp;G145&amp;" "&amp;I145&amp;" "&amp;L145&amp;" "&amp;M145&amp;" سعر "&amp;H145&amp;" جنيه "&amp;U145)</f>
        <v>Mitsubishi ميتسوبيشي L200 إل 200 2015 مستعمل بيك أب مانيوال ديزل سعر 1200000 جنيه تكييف، زجاج كهربائي، قفل مركزي، ABS، مرايات كهربائية، حساسات ركن خلفية</v>
      </c>
    </row>
    <row r="146" customFormat="false" ht="35.05" hidden="false" customHeight="false" outlineLevel="0" collapsed="false">
      <c r="A146" s="6" t="s">
        <v>559</v>
      </c>
      <c r="B146" s="7" t="s">
        <v>560</v>
      </c>
      <c r="C146" s="6" t="str">
        <f aca="false">IF(B146="","",IFERROR(INDEX(Lists!$K$2:$K$60,MATCH(B146,Lists!$J$2:$J$60,0)),""))</f>
        <v>هوندا</v>
      </c>
      <c r="D146" s="7" t="s">
        <v>561</v>
      </c>
      <c r="E146" s="7" t="s">
        <v>562</v>
      </c>
      <c r="F146" s="7" t="n">
        <v>2008</v>
      </c>
      <c r="G146" s="7" t="s">
        <v>249</v>
      </c>
      <c r="H146" s="8" t="n">
        <v>650000</v>
      </c>
      <c r="I146" s="7" t="s">
        <v>77</v>
      </c>
      <c r="J146" s="9" t="n">
        <v>1800</v>
      </c>
      <c r="K146" s="7" t="n">
        <v>140</v>
      </c>
      <c r="L146" s="7" t="s">
        <v>78</v>
      </c>
      <c r="M146" s="7" t="s">
        <v>79</v>
      </c>
      <c r="N146" s="7" t="n">
        <v>8.5</v>
      </c>
      <c r="O146" s="7" t="n">
        <v>5</v>
      </c>
      <c r="P146" s="7" t="s">
        <v>80</v>
      </c>
      <c r="Q146" s="7" t="s">
        <v>80</v>
      </c>
      <c r="R146" s="7" t="s">
        <v>80</v>
      </c>
      <c r="S146" s="7" t="s">
        <v>80</v>
      </c>
      <c r="T146" s="7" t="s">
        <v>80</v>
      </c>
      <c r="U146" s="7" t="s">
        <v>251</v>
      </c>
      <c r="V146" s="7" t="s">
        <v>266</v>
      </c>
      <c r="W146" s="6" t="str">
        <f aca="false">IF(COUNTA(B146:V146)=0,"",IF(OR(B146="",C146="",D146="",F146="",G146="",H146="",I146="",L146="",M146=""),"ناقص",IF(AND(ISNUMBER(F146),ISNUMBER(H146)),"OK","السنة/السعر لازم أرقام")))</f>
        <v>OK</v>
      </c>
      <c r="X146" s="6" t="str">
        <f aca="false">IF(B146="","",B146&amp;" "&amp;C146&amp;" "&amp;D146&amp;" "&amp;E146&amp;" "&amp;F146&amp;" "&amp;G146&amp;" "&amp;I146&amp;" "&amp;L146&amp;" "&amp;M146&amp;" سعر "&amp;H146&amp;" جنيه "&amp;U146)</f>
        <v>Honda هوندا Civic FD سيفيك FD 2008 مستعمل سيدان أوتوماتيك بنزين سعر 650000 جنيه تكييف، زجاج كهربائي، قفل مركزي</v>
      </c>
    </row>
    <row r="147" customFormat="false" ht="35.05" hidden="false" customHeight="false" outlineLevel="0" collapsed="false">
      <c r="A147" s="6" t="s">
        <v>563</v>
      </c>
      <c r="B147" s="7" t="s">
        <v>560</v>
      </c>
      <c r="C147" s="6" t="str">
        <f aca="false">IF(B147="","",IFERROR(INDEX(Lists!$K$2:$K$60,MATCH(B147,Lists!$J$2:$J$60,0)),""))</f>
        <v>هوندا</v>
      </c>
      <c r="D147" s="7" t="s">
        <v>564</v>
      </c>
      <c r="E147" s="7" t="s">
        <v>565</v>
      </c>
      <c r="F147" s="7" t="n">
        <v>2014</v>
      </c>
      <c r="G147" s="7" t="s">
        <v>249</v>
      </c>
      <c r="H147" s="8" t="n">
        <v>900000</v>
      </c>
      <c r="I147" s="7" t="s">
        <v>77</v>
      </c>
      <c r="J147" s="9" t="n">
        <v>1800</v>
      </c>
      <c r="K147" s="7" t="n">
        <v>141</v>
      </c>
      <c r="L147" s="7" t="s">
        <v>78</v>
      </c>
      <c r="M147" s="7" t="s">
        <v>79</v>
      </c>
      <c r="N147" s="7" t="n">
        <v>8</v>
      </c>
      <c r="O147" s="7" t="n">
        <v>5</v>
      </c>
      <c r="P147" s="7" t="s">
        <v>81</v>
      </c>
      <c r="Q147" s="7" t="s">
        <v>80</v>
      </c>
      <c r="R147" s="7" t="s">
        <v>81</v>
      </c>
      <c r="S147" s="7" t="s">
        <v>81</v>
      </c>
      <c r="T147" s="7" t="s">
        <v>81</v>
      </c>
      <c r="U147" s="7" t="s">
        <v>148</v>
      </c>
      <c r="V147" s="7" t="s">
        <v>266</v>
      </c>
      <c r="W147" s="6" t="str">
        <f aca="false">IF(COUNTA(B147:V147)=0,"",IF(OR(B147="",C147="",D147="",F147="",G147="",H147="",I147="",L147="",M147=""),"ناقص",IF(AND(ISNUMBER(F147),ISNUMBER(H147)),"OK","السنة/السعر لازم أرقام")))</f>
        <v>OK</v>
      </c>
      <c r="X147" s="6" t="str">
        <f aca="false">IF(B147="","",B147&amp;" "&amp;C147&amp;" "&amp;D147&amp;" "&amp;E147&amp;" "&amp;F147&amp;" "&amp;G147&amp;" "&amp;I147&amp;" "&amp;L147&amp;" "&amp;M147&amp;" سعر "&amp;H147&amp;" جنيه "&amp;U147)</f>
        <v>Honda هوندا Civic FB سيفيك FB 2014 مستعمل سيدان أوتوماتيك بنزين سعر 900000 جنيه تكييف، زجاج كهربائي، قفل مركزي، ABS، مرايات كهربائية، حساسات ركن خلفية، جنوط ألومنيوم، تحكم في الثبات ESP</v>
      </c>
    </row>
    <row r="148" customFormat="false" ht="35.05" hidden="false" customHeight="false" outlineLevel="0" collapsed="false">
      <c r="A148" s="6" t="s">
        <v>566</v>
      </c>
      <c r="B148" s="7" t="s">
        <v>560</v>
      </c>
      <c r="C148" s="6" t="str">
        <f aca="false">IF(B148="","",IFERROR(INDEX(Lists!$K$2:$K$60,MATCH(B148,Lists!$J$2:$J$60,0)),""))</f>
        <v>هوندا</v>
      </c>
      <c r="D148" s="7" t="s">
        <v>567</v>
      </c>
      <c r="E148" s="7" t="s">
        <v>568</v>
      </c>
      <c r="F148" s="7" t="n">
        <v>2017</v>
      </c>
      <c r="G148" s="7" t="s">
        <v>249</v>
      </c>
      <c r="H148" s="8" t="n">
        <v>1500000</v>
      </c>
      <c r="I148" s="7" t="s">
        <v>77</v>
      </c>
      <c r="J148" s="9" t="n">
        <v>1500</v>
      </c>
      <c r="K148" s="7" t="n">
        <v>182</v>
      </c>
      <c r="L148" s="7" t="s">
        <v>230</v>
      </c>
      <c r="M148" s="7" t="s">
        <v>79</v>
      </c>
      <c r="N148" s="7" t="n">
        <v>7</v>
      </c>
      <c r="O148" s="7" t="n">
        <v>5</v>
      </c>
      <c r="P148" s="7" t="s">
        <v>81</v>
      </c>
      <c r="Q148" s="7" t="s">
        <v>81</v>
      </c>
      <c r="R148" s="7" t="s">
        <v>81</v>
      </c>
      <c r="S148" s="7" t="s">
        <v>81</v>
      </c>
      <c r="T148" s="7" t="s">
        <v>81</v>
      </c>
      <c r="U148" s="7" t="s">
        <v>148</v>
      </c>
      <c r="V148" s="7" t="s">
        <v>266</v>
      </c>
      <c r="W148" s="6" t="str">
        <f aca="false">IF(COUNTA(B148:V148)=0,"",IF(OR(B148="",C148="",D148="",F148="",G148="",H148="",I148="",L148="",M148=""),"ناقص",IF(AND(ISNUMBER(F148),ISNUMBER(H148)),"OK","السنة/السعر لازم أرقام")))</f>
        <v>OK</v>
      </c>
      <c r="X148" s="6" t="str">
        <f aca="false">IF(B148="","",B148&amp;" "&amp;C148&amp;" "&amp;D148&amp;" "&amp;E148&amp;" "&amp;F148&amp;" "&amp;G148&amp;" "&amp;I148&amp;" "&amp;L148&amp;" "&amp;M148&amp;" سعر "&amp;H148&amp;" جنيه "&amp;U148)</f>
        <v>Honda هوندا Civic FC سيفيك FC 2017 مستعمل سيدان CVT بنزين سعر 1500000 جنيه تكييف، زجاج كهربائي، قفل مركزي، ABS، مرايات كهربائية، حساسات ركن خلفية، جنوط ألومنيوم، تحكم في الثبات ESP</v>
      </c>
    </row>
    <row r="149" customFormat="false" ht="35.05" hidden="false" customHeight="false" outlineLevel="0" collapsed="false">
      <c r="A149" s="6" t="s">
        <v>569</v>
      </c>
      <c r="B149" s="7" t="s">
        <v>560</v>
      </c>
      <c r="C149" s="6" t="str">
        <f aca="false">IF(B149="","",IFERROR(INDEX(Lists!$K$2:$K$60,MATCH(B149,Lists!$J$2:$J$60,0)),""))</f>
        <v>هوندا</v>
      </c>
      <c r="D149" s="7" t="s">
        <v>570</v>
      </c>
      <c r="E149" s="7" t="s">
        <v>571</v>
      </c>
      <c r="F149" s="7" t="n">
        <v>2010</v>
      </c>
      <c r="G149" s="7" t="s">
        <v>249</v>
      </c>
      <c r="H149" s="8" t="n">
        <v>750000</v>
      </c>
      <c r="I149" s="7" t="s">
        <v>77</v>
      </c>
      <c r="J149" s="9" t="n">
        <v>2400</v>
      </c>
      <c r="K149" s="7" t="n">
        <v>180</v>
      </c>
      <c r="L149" s="7" t="s">
        <v>78</v>
      </c>
      <c r="M149" s="7" t="s">
        <v>79</v>
      </c>
      <c r="N149" s="7" t="n">
        <v>9.5</v>
      </c>
      <c r="O149" s="7" t="n">
        <v>5</v>
      </c>
      <c r="P149" s="7" t="s">
        <v>80</v>
      </c>
      <c r="Q149" s="7" t="s">
        <v>80</v>
      </c>
      <c r="R149" s="7" t="s">
        <v>81</v>
      </c>
      <c r="S149" s="7" t="s">
        <v>81</v>
      </c>
      <c r="T149" s="7" t="s">
        <v>80</v>
      </c>
      <c r="U149" s="7" t="s">
        <v>256</v>
      </c>
      <c r="V149" s="7" t="s">
        <v>266</v>
      </c>
      <c r="W149" s="6" t="str">
        <f aca="false">IF(COUNTA(B149:V149)=0,"",IF(OR(B149="",C149="",D149="",F149="",G149="",H149="",I149="",L149="",M149=""),"ناقص",IF(AND(ISNUMBER(F149),ISNUMBER(H149)),"OK","السنة/السعر لازم أرقام")))</f>
        <v>OK</v>
      </c>
      <c r="X149" s="6" t="str">
        <f aca="false">IF(B149="","",B149&amp;" "&amp;C149&amp;" "&amp;D149&amp;" "&amp;E149&amp;" "&amp;F149&amp;" "&amp;G149&amp;" "&amp;I149&amp;" "&amp;L149&amp;" "&amp;M149&amp;" سعر "&amp;H149&amp;" جنيه "&amp;U149)</f>
        <v>Honda هوندا Accord CU أكورد CU 2010 مستعمل سيدان أوتوماتيك بنزين سعر 750000 جنيه تكييف، زجاج كهربائي، قفل مركزي، ABS</v>
      </c>
    </row>
    <row r="150" customFormat="false" ht="35.05" hidden="false" customHeight="false" outlineLevel="0" collapsed="false">
      <c r="A150" s="6" t="s">
        <v>572</v>
      </c>
      <c r="B150" s="7" t="s">
        <v>560</v>
      </c>
      <c r="C150" s="6" t="str">
        <f aca="false">IF(B150="","",IFERROR(INDEX(Lists!$K$2:$K$60,MATCH(B150,Lists!$J$2:$J$60,0)),""))</f>
        <v>هوندا</v>
      </c>
      <c r="D150" s="7" t="s">
        <v>573</v>
      </c>
      <c r="E150" s="7" t="s">
        <v>574</v>
      </c>
      <c r="F150" s="7" t="n">
        <v>2012</v>
      </c>
      <c r="G150" s="7" t="s">
        <v>249</v>
      </c>
      <c r="H150" s="8" t="n">
        <v>520000</v>
      </c>
      <c r="I150" s="7" t="s">
        <v>77</v>
      </c>
      <c r="J150" s="9" t="n">
        <v>1500</v>
      </c>
      <c r="K150" s="7" t="n">
        <v>118</v>
      </c>
      <c r="L150" s="7" t="s">
        <v>230</v>
      </c>
      <c r="M150" s="7" t="s">
        <v>79</v>
      </c>
      <c r="N150" s="7" t="n">
        <v>7</v>
      </c>
      <c r="O150" s="7" t="n">
        <v>5</v>
      </c>
      <c r="P150" s="7" t="s">
        <v>80</v>
      </c>
      <c r="Q150" s="7" t="s">
        <v>80</v>
      </c>
      <c r="R150" s="7" t="s">
        <v>80</v>
      </c>
      <c r="S150" s="7" t="s">
        <v>80</v>
      </c>
      <c r="T150" s="7" t="s">
        <v>80</v>
      </c>
      <c r="U150" s="7" t="s">
        <v>144</v>
      </c>
      <c r="V150" s="7" t="s">
        <v>266</v>
      </c>
      <c r="W150" s="6" t="str">
        <f aca="false">IF(COUNTA(B150:V150)=0,"",IF(OR(B150="",C150="",D150="",F150="",G150="",H150="",I150="",L150="",M150=""),"ناقص",IF(AND(ISNUMBER(F150),ISNUMBER(H150)),"OK","السنة/السعر لازم أرقام")))</f>
        <v>OK</v>
      </c>
      <c r="X150" s="6" t="str">
        <f aca="false">IF(B150="","",B150&amp;" "&amp;C150&amp;" "&amp;D150&amp;" "&amp;E150&amp;" "&amp;F150&amp;" "&amp;G150&amp;" "&amp;I150&amp;" "&amp;L150&amp;" "&amp;M150&amp;" سعر "&amp;H150&amp;" جنيه "&amp;U150)</f>
        <v>Honda هوندا City GM سيتي GM 2012 مستعمل سيدان CVT بنزين سعر 520000 جنيه تكييف، زجاج كهربائي، قفل مركزي، ABS، مرايات كهربائية، حساسات ركن خلفية</v>
      </c>
    </row>
    <row r="151" customFormat="false" ht="35.05" hidden="false" customHeight="false" outlineLevel="0" collapsed="false">
      <c r="A151" s="6" t="s">
        <v>575</v>
      </c>
      <c r="B151" s="7" t="s">
        <v>560</v>
      </c>
      <c r="C151" s="6" t="str">
        <f aca="false">IF(B151="","",IFERROR(INDEX(Lists!$K$2:$K$60,MATCH(B151,Lists!$J$2:$J$60,0)),""))</f>
        <v>هوندا</v>
      </c>
      <c r="D151" s="7" t="s">
        <v>576</v>
      </c>
      <c r="E151" s="7" t="s">
        <v>577</v>
      </c>
      <c r="F151" s="7" t="n">
        <v>2010</v>
      </c>
      <c r="G151" s="7" t="s">
        <v>249</v>
      </c>
      <c r="H151" s="8" t="n">
        <v>800000</v>
      </c>
      <c r="I151" s="7" t="s">
        <v>113</v>
      </c>
      <c r="J151" s="9" t="n">
        <v>2400</v>
      </c>
      <c r="K151" s="7" t="n">
        <v>166</v>
      </c>
      <c r="L151" s="7" t="s">
        <v>78</v>
      </c>
      <c r="M151" s="7" t="s">
        <v>79</v>
      </c>
      <c r="N151" s="7" t="n">
        <v>10</v>
      </c>
      <c r="O151" s="7" t="n">
        <v>5</v>
      </c>
      <c r="P151" s="7" t="s">
        <v>80</v>
      </c>
      <c r="Q151" s="7" t="s">
        <v>80</v>
      </c>
      <c r="R151" s="7" t="s">
        <v>81</v>
      </c>
      <c r="S151" s="7" t="s">
        <v>81</v>
      </c>
      <c r="T151" s="7" t="s">
        <v>80</v>
      </c>
      <c r="U151" s="7" t="s">
        <v>256</v>
      </c>
      <c r="V151" s="7" t="s">
        <v>266</v>
      </c>
      <c r="W151" s="6" t="str">
        <f aca="false">IF(COUNTA(B151:V151)=0,"",IF(OR(B151="",C151="",D151="",F151="",G151="",H151="",I151="",L151="",M151=""),"ناقص",IF(AND(ISNUMBER(F151),ISNUMBER(H151)),"OK","السنة/السعر لازم أرقام")))</f>
        <v>OK</v>
      </c>
      <c r="X151" s="6" t="str">
        <f aca="false">IF(B151="","",B151&amp;" "&amp;C151&amp;" "&amp;D151&amp;" "&amp;E151&amp;" "&amp;F151&amp;" "&amp;G151&amp;" "&amp;I151&amp;" "&amp;L151&amp;" "&amp;M151&amp;" سعر "&amp;H151&amp;" جنيه "&amp;U151)</f>
        <v>Honda هوندا CR-V RE سي آر في RE 2010 مستعمل SUV أوتوماتيك بنزين سعر 800000 جنيه تكييف، زجاج كهربائي، قفل مركزي، ABS</v>
      </c>
    </row>
    <row r="152" customFormat="false" ht="35.05" hidden="false" customHeight="false" outlineLevel="0" collapsed="false">
      <c r="A152" s="6" t="s">
        <v>578</v>
      </c>
      <c r="B152" s="7" t="s">
        <v>560</v>
      </c>
      <c r="C152" s="6" t="str">
        <f aca="false">IF(B152="","",IFERROR(INDEX(Lists!$K$2:$K$60,MATCH(B152,Lists!$J$2:$J$60,0)),""))</f>
        <v>هوندا</v>
      </c>
      <c r="D152" s="7" t="s">
        <v>579</v>
      </c>
      <c r="E152" s="7" t="s">
        <v>580</v>
      </c>
      <c r="F152" s="7" t="n">
        <v>2015</v>
      </c>
      <c r="G152" s="7" t="s">
        <v>249</v>
      </c>
      <c r="H152" s="8" t="n">
        <v>1500000</v>
      </c>
      <c r="I152" s="7" t="s">
        <v>113</v>
      </c>
      <c r="J152" s="9" t="n">
        <v>2400</v>
      </c>
      <c r="K152" s="7" t="n">
        <v>185</v>
      </c>
      <c r="L152" s="7" t="s">
        <v>230</v>
      </c>
      <c r="M152" s="7" t="s">
        <v>79</v>
      </c>
      <c r="N152" s="7" t="n">
        <v>9</v>
      </c>
      <c r="O152" s="7" t="n">
        <v>5</v>
      </c>
      <c r="P152" s="7" t="s">
        <v>81</v>
      </c>
      <c r="Q152" s="7" t="s">
        <v>81</v>
      </c>
      <c r="R152" s="7" t="s">
        <v>81</v>
      </c>
      <c r="S152" s="7" t="s">
        <v>81</v>
      </c>
      <c r="T152" s="7" t="s">
        <v>81</v>
      </c>
      <c r="U152" s="7" t="s">
        <v>148</v>
      </c>
      <c r="V152" s="7" t="s">
        <v>266</v>
      </c>
      <c r="W152" s="6" t="str">
        <f aca="false">IF(COUNTA(B152:V152)=0,"",IF(OR(B152="",C152="",D152="",F152="",G152="",H152="",I152="",L152="",M152=""),"ناقص",IF(AND(ISNUMBER(F152),ISNUMBER(H152)),"OK","السنة/السعر لازم أرقام")))</f>
        <v>OK</v>
      </c>
      <c r="X152" s="6" t="str">
        <f aca="false">IF(B152="","",B152&amp;" "&amp;C152&amp;" "&amp;D152&amp;" "&amp;E152&amp;" "&amp;F152&amp;" "&amp;G152&amp;" "&amp;I152&amp;" "&amp;L152&amp;" "&amp;M152&amp;" سعر "&amp;H152&amp;" جنيه "&amp;U152)</f>
        <v>Honda هوندا CR-V RM سي آر في RM 2015 مستعمل SUV CVT بنزين سعر 1500000 جنيه تكييف، زجاج كهربائي، قفل مركزي، ABS، مرايات كهربائية، حساسات ركن خلفية، جنوط ألومنيوم، تحكم في الثبات ESP</v>
      </c>
    </row>
    <row r="153" customFormat="false" ht="35.05" hidden="false" customHeight="false" outlineLevel="0" collapsed="false">
      <c r="A153" s="6" t="s">
        <v>581</v>
      </c>
      <c r="B153" s="7" t="s">
        <v>560</v>
      </c>
      <c r="C153" s="6" t="str">
        <f aca="false">IF(B153="","",IFERROR(INDEX(Lists!$K$2:$K$60,MATCH(B153,Lists!$J$2:$J$60,0)),""))</f>
        <v>هوندا</v>
      </c>
      <c r="D153" s="7" t="s">
        <v>582</v>
      </c>
      <c r="E153" s="7" t="s">
        <v>583</v>
      </c>
      <c r="F153" s="7" t="n">
        <v>2018</v>
      </c>
      <c r="G153" s="7" t="s">
        <v>249</v>
      </c>
      <c r="H153" s="8" t="n">
        <v>1400000</v>
      </c>
      <c r="I153" s="7" t="s">
        <v>105</v>
      </c>
      <c r="J153" s="9" t="n">
        <v>1800</v>
      </c>
      <c r="K153" s="7" t="n">
        <v>140</v>
      </c>
      <c r="L153" s="7" t="s">
        <v>230</v>
      </c>
      <c r="M153" s="7" t="s">
        <v>79</v>
      </c>
      <c r="N153" s="7" t="n">
        <v>7.5</v>
      </c>
      <c r="O153" s="7" t="n">
        <v>5</v>
      </c>
      <c r="P153" s="7" t="s">
        <v>81</v>
      </c>
      <c r="Q153" s="7" t="s">
        <v>81</v>
      </c>
      <c r="R153" s="7" t="s">
        <v>81</v>
      </c>
      <c r="S153" s="7" t="s">
        <v>81</v>
      </c>
      <c r="T153" s="7" t="s">
        <v>81</v>
      </c>
      <c r="U153" s="7" t="s">
        <v>148</v>
      </c>
      <c r="V153" s="7" t="s">
        <v>266</v>
      </c>
      <c r="W153" s="6" t="str">
        <f aca="false">IF(COUNTA(B153:V153)=0,"",IF(OR(B153="",C153="",D153="",F153="",G153="",H153="",I153="",L153="",M153=""),"ناقص",IF(AND(ISNUMBER(F153),ISNUMBER(H153)),"OK","السنة/السعر لازم أرقام")))</f>
        <v>OK</v>
      </c>
      <c r="X153" s="6" t="str">
        <f aca="false">IF(B153="","",B153&amp;" "&amp;C153&amp;" "&amp;D153&amp;" "&amp;E153&amp;" "&amp;F153&amp;" "&amp;G153&amp;" "&amp;I153&amp;" "&amp;L153&amp;" "&amp;M153&amp;" سعر "&amp;H153&amp;" جنيه "&amp;U153)</f>
        <v>Honda هوندا HR-V RU إتش آر في RU 2018 مستعمل كروس أوفر CVT بنزين سعر 1400000 جنيه تكييف، زجاج كهربائي، قفل مركزي، ABS، مرايات كهربائية، حساسات ركن خلفية، جنوط ألومنيوم، تحكم في الثبات ESP</v>
      </c>
    </row>
    <row r="154" customFormat="false" ht="35.05" hidden="false" customHeight="false" outlineLevel="0" collapsed="false">
      <c r="A154" s="6" t="s">
        <v>584</v>
      </c>
      <c r="B154" s="7" t="s">
        <v>119</v>
      </c>
      <c r="C154" s="6" t="str">
        <f aca="false">IF(B154="","",IFERROR(INDEX(Lists!$K$2:$K$60,MATCH(B154,Lists!$J$2:$J$60,0)),""))</f>
        <v>مازدا</v>
      </c>
      <c r="D154" s="7" t="s">
        <v>585</v>
      </c>
      <c r="E154" s="7" t="s">
        <v>586</v>
      </c>
      <c r="F154" s="7" t="n">
        <v>2008</v>
      </c>
      <c r="G154" s="7" t="s">
        <v>249</v>
      </c>
      <c r="H154" s="8" t="n">
        <v>450000</v>
      </c>
      <c r="I154" s="7" t="s">
        <v>77</v>
      </c>
      <c r="J154" s="9" t="n">
        <v>1600</v>
      </c>
      <c r="K154" s="7" t="n">
        <v>105</v>
      </c>
      <c r="L154" s="7" t="s">
        <v>78</v>
      </c>
      <c r="M154" s="7" t="s">
        <v>79</v>
      </c>
      <c r="N154" s="7" t="n">
        <v>8.5</v>
      </c>
      <c r="O154" s="7" t="n">
        <v>5</v>
      </c>
      <c r="P154" s="7" t="s">
        <v>80</v>
      </c>
      <c r="Q154" s="7" t="s">
        <v>80</v>
      </c>
      <c r="R154" s="7" t="s">
        <v>80</v>
      </c>
      <c r="S154" s="7" t="s">
        <v>80</v>
      </c>
      <c r="T154" s="7" t="s">
        <v>80</v>
      </c>
      <c r="U154" s="7" t="s">
        <v>251</v>
      </c>
      <c r="V154" s="7" t="s">
        <v>266</v>
      </c>
      <c r="W154" s="6" t="str">
        <f aca="false">IF(COUNTA(B154:V154)=0,"",IF(OR(B154="",C154="",D154="",F154="",G154="",H154="",I154="",L154="",M154=""),"ناقص",IF(AND(ISNUMBER(F154),ISNUMBER(H154)),"OK","السنة/السعر لازم أرقام")))</f>
        <v>OK</v>
      </c>
      <c r="X154" s="6" t="str">
        <f aca="false">IF(B154="","",B154&amp;" "&amp;C154&amp;" "&amp;D154&amp;" "&amp;E154&amp;" "&amp;F154&amp;" "&amp;G154&amp;" "&amp;I154&amp;" "&amp;L154&amp;" "&amp;M154&amp;" سعر "&amp;H154&amp;" جنيه "&amp;U154)</f>
        <v>Mazda مازدا Mazda3 BK مازدا 3 BK 2008 مستعمل سيدان أوتوماتيك بنزين سعر 450000 جنيه تكييف، زجاج كهربائي، قفل مركزي</v>
      </c>
    </row>
    <row r="155" customFormat="false" ht="35.05" hidden="false" customHeight="false" outlineLevel="0" collapsed="false">
      <c r="A155" s="6" t="s">
        <v>587</v>
      </c>
      <c r="B155" s="7" t="s">
        <v>119</v>
      </c>
      <c r="C155" s="6" t="str">
        <f aca="false">IF(B155="","",IFERROR(INDEX(Lists!$K$2:$K$60,MATCH(B155,Lists!$J$2:$J$60,0)),""))</f>
        <v>مازدا</v>
      </c>
      <c r="D155" s="7" t="s">
        <v>588</v>
      </c>
      <c r="E155" s="7" t="s">
        <v>589</v>
      </c>
      <c r="F155" s="7" t="n">
        <v>2012</v>
      </c>
      <c r="G155" s="7" t="s">
        <v>249</v>
      </c>
      <c r="H155" s="8" t="n">
        <v>650000</v>
      </c>
      <c r="I155" s="7" t="s">
        <v>77</v>
      </c>
      <c r="J155" s="9" t="n">
        <v>1600</v>
      </c>
      <c r="K155" s="7" t="n">
        <v>104</v>
      </c>
      <c r="L155" s="7" t="s">
        <v>78</v>
      </c>
      <c r="M155" s="7" t="s">
        <v>79</v>
      </c>
      <c r="N155" s="7" t="n">
        <v>7.8</v>
      </c>
      <c r="O155" s="7" t="n">
        <v>5</v>
      </c>
      <c r="P155" s="7" t="s">
        <v>80</v>
      </c>
      <c r="Q155" s="7" t="s">
        <v>80</v>
      </c>
      <c r="R155" s="7" t="s">
        <v>80</v>
      </c>
      <c r="S155" s="7" t="s">
        <v>80</v>
      </c>
      <c r="T155" s="7" t="s">
        <v>80</v>
      </c>
      <c r="U155" s="7" t="s">
        <v>144</v>
      </c>
      <c r="V155" s="7" t="s">
        <v>266</v>
      </c>
      <c r="W155" s="6" t="str">
        <f aca="false">IF(COUNTA(B155:V155)=0,"",IF(OR(B155="",C155="",D155="",F155="",G155="",H155="",I155="",L155="",M155=""),"ناقص",IF(AND(ISNUMBER(F155),ISNUMBER(H155)),"OK","السنة/السعر لازم أرقام")))</f>
        <v>OK</v>
      </c>
      <c r="X155" s="6" t="str">
        <f aca="false">IF(B155="","",B155&amp;" "&amp;C155&amp;" "&amp;D155&amp;" "&amp;E155&amp;" "&amp;F155&amp;" "&amp;G155&amp;" "&amp;I155&amp;" "&amp;L155&amp;" "&amp;M155&amp;" سعر "&amp;H155&amp;" جنيه "&amp;U155)</f>
        <v>Mazda مازدا Mazda3 BL مازدا 3 BL 2012 مستعمل سيدان أوتوماتيك بنزين سعر 650000 جنيه تكييف، زجاج كهربائي، قفل مركزي، ABS، مرايات كهربائية، حساسات ركن خلفية</v>
      </c>
    </row>
    <row r="156" customFormat="false" ht="35.05" hidden="false" customHeight="false" outlineLevel="0" collapsed="false">
      <c r="A156" s="6" t="s">
        <v>590</v>
      </c>
      <c r="B156" s="7" t="s">
        <v>119</v>
      </c>
      <c r="C156" s="6" t="str">
        <f aca="false">IF(B156="","",IFERROR(INDEX(Lists!$K$2:$K$60,MATCH(B156,Lists!$J$2:$J$60,0)),""))</f>
        <v>مازدا</v>
      </c>
      <c r="D156" s="7" t="s">
        <v>591</v>
      </c>
      <c r="E156" s="7" t="s">
        <v>592</v>
      </c>
      <c r="F156" s="7" t="n">
        <v>2016</v>
      </c>
      <c r="G156" s="7" t="s">
        <v>249</v>
      </c>
      <c r="H156" s="8" t="n">
        <v>950000</v>
      </c>
      <c r="I156" s="7" t="s">
        <v>77</v>
      </c>
      <c r="J156" s="9" t="n">
        <v>1500</v>
      </c>
      <c r="K156" s="7" t="n">
        <v>118</v>
      </c>
      <c r="L156" s="7" t="s">
        <v>78</v>
      </c>
      <c r="M156" s="7" t="s">
        <v>79</v>
      </c>
      <c r="N156" s="7" t="n">
        <v>7</v>
      </c>
      <c r="O156" s="7" t="n">
        <v>5</v>
      </c>
      <c r="P156" s="7" t="s">
        <v>81</v>
      </c>
      <c r="Q156" s="7" t="s">
        <v>81</v>
      </c>
      <c r="R156" s="7" t="s">
        <v>81</v>
      </c>
      <c r="S156" s="7" t="s">
        <v>81</v>
      </c>
      <c r="T156" s="7" t="s">
        <v>81</v>
      </c>
      <c r="U156" s="7" t="s">
        <v>148</v>
      </c>
      <c r="V156" s="7" t="s">
        <v>266</v>
      </c>
      <c r="W156" s="6" t="str">
        <f aca="false">IF(COUNTA(B156:V156)=0,"",IF(OR(B156="",C156="",D156="",F156="",G156="",H156="",I156="",L156="",M156=""),"ناقص",IF(AND(ISNUMBER(F156),ISNUMBER(H156)),"OK","السنة/السعر لازم أرقام")))</f>
        <v>OK</v>
      </c>
      <c r="X156" s="6" t="str">
        <f aca="false">IF(B156="","",B156&amp;" "&amp;C156&amp;" "&amp;D156&amp;" "&amp;E156&amp;" "&amp;F156&amp;" "&amp;G156&amp;" "&amp;I156&amp;" "&amp;L156&amp;" "&amp;M156&amp;" سعر "&amp;H156&amp;" جنيه "&amp;U156)</f>
        <v>Mazda مازدا Mazda3 BM مازدا 3 BM 2016 مستعمل سيدان أوتوماتيك بنزين سعر 950000 جنيه تكييف، زجاج كهربائي، قفل مركزي، ABS، مرايات كهربائية، حساسات ركن خلفية، جنوط ألومنيوم، تحكم في الثبات ESP</v>
      </c>
    </row>
    <row r="157" customFormat="false" ht="35.05" hidden="false" customHeight="false" outlineLevel="0" collapsed="false">
      <c r="A157" s="6" t="s">
        <v>593</v>
      </c>
      <c r="B157" s="7" t="s">
        <v>119</v>
      </c>
      <c r="C157" s="6" t="str">
        <f aca="false">IF(B157="","",IFERROR(INDEX(Lists!$K$2:$K$60,MATCH(B157,Lists!$J$2:$J$60,0)),""))</f>
        <v>مازدا</v>
      </c>
      <c r="D157" s="7" t="s">
        <v>594</v>
      </c>
      <c r="E157" s="7" t="s">
        <v>595</v>
      </c>
      <c r="F157" s="7" t="n">
        <v>2006</v>
      </c>
      <c r="G157" s="7" t="s">
        <v>249</v>
      </c>
      <c r="H157" s="8" t="n">
        <v>420000</v>
      </c>
      <c r="I157" s="7" t="s">
        <v>77</v>
      </c>
      <c r="J157" s="9" t="n">
        <v>2000</v>
      </c>
      <c r="K157" s="7" t="n">
        <v>141</v>
      </c>
      <c r="L157" s="7" t="s">
        <v>78</v>
      </c>
      <c r="M157" s="7" t="s">
        <v>79</v>
      </c>
      <c r="N157" s="7" t="n">
        <v>9.5</v>
      </c>
      <c r="O157" s="7" t="n">
        <v>5</v>
      </c>
      <c r="P157" s="7" t="s">
        <v>80</v>
      </c>
      <c r="Q157" s="7" t="s">
        <v>80</v>
      </c>
      <c r="R157" s="7" t="s">
        <v>80</v>
      </c>
      <c r="S157" s="7" t="s">
        <v>80</v>
      </c>
      <c r="T157" s="7" t="s">
        <v>80</v>
      </c>
      <c r="U157" s="7" t="s">
        <v>251</v>
      </c>
      <c r="V157" s="7" t="s">
        <v>266</v>
      </c>
      <c r="W157" s="6" t="str">
        <f aca="false">IF(COUNTA(B157:V157)=0,"",IF(OR(B157="",C157="",D157="",F157="",G157="",H157="",I157="",L157="",M157=""),"ناقص",IF(AND(ISNUMBER(F157),ISNUMBER(H157)),"OK","السنة/السعر لازم أرقام")))</f>
        <v>OK</v>
      </c>
      <c r="X157" s="6" t="str">
        <f aca="false">IF(B157="","",B157&amp;" "&amp;C157&amp;" "&amp;D157&amp;" "&amp;E157&amp;" "&amp;F157&amp;" "&amp;G157&amp;" "&amp;I157&amp;" "&amp;L157&amp;" "&amp;M157&amp;" سعر "&amp;H157&amp;" جنيه "&amp;U157)</f>
        <v>Mazda مازدا Mazda6 GG مازدا 6 GG 2006 مستعمل سيدان أوتوماتيك بنزين سعر 420000 جنيه تكييف، زجاج كهربائي، قفل مركزي</v>
      </c>
    </row>
    <row r="158" customFormat="false" ht="35.05" hidden="false" customHeight="false" outlineLevel="0" collapsed="false">
      <c r="A158" s="6" t="s">
        <v>596</v>
      </c>
      <c r="B158" s="7" t="s">
        <v>119</v>
      </c>
      <c r="C158" s="6" t="str">
        <f aca="false">IF(B158="","",IFERROR(INDEX(Lists!$K$2:$K$60,MATCH(B158,Lists!$J$2:$J$60,0)),""))</f>
        <v>مازدا</v>
      </c>
      <c r="D158" s="7" t="s">
        <v>597</v>
      </c>
      <c r="E158" s="7" t="s">
        <v>598</v>
      </c>
      <c r="F158" s="7" t="n">
        <v>2015</v>
      </c>
      <c r="G158" s="7" t="s">
        <v>249</v>
      </c>
      <c r="H158" s="8" t="n">
        <v>1100000</v>
      </c>
      <c r="I158" s="7" t="s">
        <v>77</v>
      </c>
      <c r="J158" s="9" t="n">
        <v>2500</v>
      </c>
      <c r="K158" s="7" t="n">
        <v>185</v>
      </c>
      <c r="L158" s="7" t="s">
        <v>78</v>
      </c>
      <c r="M158" s="7" t="s">
        <v>79</v>
      </c>
      <c r="N158" s="7" t="n">
        <v>8.5</v>
      </c>
      <c r="O158" s="7" t="n">
        <v>5</v>
      </c>
      <c r="P158" s="7" t="s">
        <v>81</v>
      </c>
      <c r="Q158" s="7" t="s">
        <v>81</v>
      </c>
      <c r="R158" s="7" t="s">
        <v>81</v>
      </c>
      <c r="S158" s="7" t="s">
        <v>81</v>
      </c>
      <c r="T158" s="7" t="s">
        <v>81</v>
      </c>
      <c r="U158" s="7" t="s">
        <v>148</v>
      </c>
      <c r="V158" s="7" t="s">
        <v>266</v>
      </c>
      <c r="W158" s="6" t="str">
        <f aca="false">IF(COUNTA(B158:V158)=0,"",IF(OR(B158="",C158="",D158="",F158="",G158="",H158="",I158="",L158="",M158=""),"ناقص",IF(AND(ISNUMBER(F158),ISNUMBER(H158)),"OK","السنة/السعر لازم أرقام")))</f>
        <v>OK</v>
      </c>
      <c r="X158" s="6" t="str">
        <f aca="false">IF(B158="","",B158&amp;" "&amp;C158&amp;" "&amp;D158&amp;" "&amp;E158&amp;" "&amp;F158&amp;" "&amp;G158&amp;" "&amp;I158&amp;" "&amp;L158&amp;" "&amp;M158&amp;" سعر "&amp;H158&amp;" جنيه "&amp;U158)</f>
        <v>Mazda مازدا Mazda6 GJ مازدا 6 GJ 2015 مستعمل سيدان أوتوماتيك بنزين سعر 1100000 جنيه تكييف، زجاج كهربائي، قفل مركزي، ABS، مرايات كهربائية، حساسات ركن خلفية، جنوط ألومنيوم، تحكم في الثبات ESP</v>
      </c>
    </row>
    <row r="159" customFormat="false" ht="35.05" hidden="false" customHeight="false" outlineLevel="0" collapsed="false">
      <c r="A159" s="6" t="s">
        <v>599</v>
      </c>
      <c r="B159" s="7" t="s">
        <v>119</v>
      </c>
      <c r="C159" s="6" t="str">
        <f aca="false">IF(B159="","",IFERROR(INDEX(Lists!$K$2:$K$60,MATCH(B159,Lists!$J$2:$J$60,0)),""))</f>
        <v>مازدا</v>
      </c>
      <c r="D159" s="7" t="s">
        <v>600</v>
      </c>
      <c r="E159" s="7" t="s">
        <v>601</v>
      </c>
      <c r="F159" s="7" t="n">
        <v>2015</v>
      </c>
      <c r="G159" s="7" t="s">
        <v>249</v>
      </c>
      <c r="H159" s="8" t="n">
        <v>1300000</v>
      </c>
      <c r="I159" s="7" t="s">
        <v>113</v>
      </c>
      <c r="J159" s="9" t="n">
        <v>2000</v>
      </c>
      <c r="K159" s="7" t="n">
        <v>155</v>
      </c>
      <c r="L159" s="7" t="s">
        <v>78</v>
      </c>
      <c r="M159" s="7" t="s">
        <v>79</v>
      </c>
      <c r="N159" s="7" t="n">
        <v>8</v>
      </c>
      <c r="O159" s="7" t="n">
        <v>5</v>
      </c>
      <c r="P159" s="7" t="s">
        <v>81</v>
      </c>
      <c r="Q159" s="7" t="s">
        <v>81</v>
      </c>
      <c r="R159" s="7" t="s">
        <v>81</v>
      </c>
      <c r="S159" s="7" t="s">
        <v>81</v>
      </c>
      <c r="T159" s="7" t="s">
        <v>81</v>
      </c>
      <c r="U159" s="7" t="s">
        <v>148</v>
      </c>
      <c r="V159" s="7" t="s">
        <v>266</v>
      </c>
      <c r="W159" s="6" t="str">
        <f aca="false">IF(COUNTA(B159:V159)=0,"",IF(OR(B159="",C159="",D159="",F159="",G159="",H159="",I159="",L159="",M159=""),"ناقص",IF(AND(ISNUMBER(F159),ISNUMBER(H159)),"OK","السنة/السعر لازم أرقام")))</f>
        <v>OK</v>
      </c>
      <c r="X159" s="6" t="str">
        <f aca="false">IF(B159="","",B159&amp;" "&amp;C159&amp;" "&amp;D159&amp;" "&amp;E159&amp;" "&amp;F159&amp;" "&amp;G159&amp;" "&amp;I159&amp;" "&amp;L159&amp;" "&amp;M159&amp;" سعر "&amp;H159&amp;" جنيه "&amp;U159)</f>
        <v>Mazda مازدا CX-5 KE سي إكس 5 KE 2015 مستعمل SUV أوتوماتيك بنزين سعر 1300000 جنيه تكييف، زجاج كهربائي، قفل مركزي، ABS، مرايات كهربائية، حساسات ركن خلفية، جنوط ألومنيوم، تحكم في الثبات ESP</v>
      </c>
    </row>
    <row r="160" customFormat="false" ht="46.25" hidden="false" customHeight="false" outlineLevel="0" collapsed="false">
      <c r="A160" s="6" t="s">
        <v>602</v>
      </c>
      <c r="B160" s="7" t="s">
        <v>119</v>
      </c>
      <c r="C160" s="6" t="str">
        <f aca="false">IF(B160="","",IFERROR(INDEX(Lists!$K$2:$K$60,MATCH(B160,Lists!$J$2:$J$60,0)),""))</f>
        <v>مازدا</v>
      </c>
      <c r="D160" s="7" t="s">
        <v>603</v>
      </c>
      <c r="E160" s="7" t="s">
        <v>604</v>
      </c>
      <c r="F160" s="7" t="n">
        <v>2019</v>
      </c>
      <c r="G160" s="7" t="s">
        <v>249</v>
      </c>
      <c r="H160" s="8" t="n">
        <v>2000000</v>
      </c>
      <c r="I160" s="7" t="s">
        <v>113</v>
      </c>
      <c r="J160" s="9" t="n">
        <v>2500</v>
      </c>
      <c r="K160" s="7" t="n">
        <v>188</v>
      </c>
      <c r="L160" s="7" t="s">
        <v>78</v>
      </c>
      <c r="M160" s="7" t="s">
        <v>79</v>
      </c>
      <c r="N160" s="7" t="n">
        <v>8</v>
      </c>
      <c r="O160" s="7" t="n">
        <v>5</v>
      </c>
      <c r="P160" s="7" t="s">
        <v>81</v>
      </c>
      <c r="Q160" s="7" t="s">
        <v>81</v>
      </c>
      <c r="R160" s="7" t="s">
        <v>81</v>
      </c>
      <c r="S160" s="7" t="s">
        <v>81</v>
      </c>
      <c r="T160" s="7" t="s">
        <v>81</v>
      </c>
      <c r="U160" s="7" t="s">
        <v>299</v>
      </c>
      <c r="V160" s="7" t="s">
        <v>266</v>
      </c>
      <c r="W160" s="6" t="str">
        <f aca="false">IF(COUNTA(B160:V160)=0,"",IF(OR(B160="",C160="",D160="",F160="",G160="",H160="",I160="",L160="",M160=""),"ناقص",IF(AND(ISNUMBER(F160),ISNUMBER(H160)),"OK","السنة/السعر لازم أرقام")))</f>
        <v>OK</v>
      </c>
      <c r="X160" s="6" t="str">
        <f aca="false">IF(B160="","",B160&amp;" "&amp;C160&amp;" "&amp;D160&amp;" "&amp;E160&amp;" "&amp;F160&amp;" "&amp;G160&amp;" "&amp;I160&amp;" "&amp;L160&amp;" "&amp;M160&amp;" سعر "&amp;H160&amp;" جنيه "&amp;U160)</f>
        <v>Mazda مازدا CX-5 KF سي إكس 5 KF 2019 مستعمل SUV أوتوماتيك بنزين سعر 2000000 جنيه تكييف، زجاج كهربائي، قفل مركزي، ABS، مرايات كهربائية، حساسات ركن خلفية، جنوط ألومنيوم، تحكم في الثبات ESP، مقاعد كهربائية، إضاءة LED</v>
      </c>
    </row>
    <row r="161" customFormat="false" ht="35.05" hidden="false" customHeight="false" outlineLevel="0" collapsed="false">
      <c r="A161" s="6" t="s">
        <v>605</v>
      </c>
      <c r="B161" s="7" t="s">
        <v>119</v>
      </c>
      <c r="C161" s="6" t="str">
        <f aca="false">IF(B161="","",IFERROR(INDEX(Lists!$K$2:$K$60,MATCH(B161,Lists!$J$2:$J$60,0)),""))</f>
        <v>مازدا</v>
      </c>
      <c r="D161" s="7" t="s">
        <v>606</v>
      </c>
      <c r="E161" s="7" t="s">
        <v>607</v>
      </c>
      <c r="F161" s="7" t="n">
        <v>2013</v>
      </c>
      <c r="G161" s="7" t="s">
        <v>249</v>
      </c>
      <c r="H161" s="8" t="n">
        <v>500000</v>
      </c>
      <c r="I161" s="7" t="s">
        <v>270</v>
      </c>
      <c r="J161" s="9" t="n">
        <v>1500</v>
      </c>
      <c r="K161" s="7" t="n">
        <v>103</v>
      </c>
      <c r="L161" s="7" t="s">
        <v>78</v>
      </c>
      <c r="M161" s="7" t="s">
        <v>79</v>
      </c>
      <c r="N161" s="7" t="n">
        <v>6.5</v>
      </c>
      <c r="O161" s="7" t="n">
        <v>5</v>
      </c>
      <c r="P161" s="7" t="s">
        <v>80</v>
      </c>
      <c r="Q161" s="7" t="s">
        <v>80</v>
      </c>
      <c r="R161" s="7" t="s">
        <v>80</v>
      </c>
      <c r="S161" s="7" t="s">
        <v>80</v>
      </c>
      <c r="T161" s="7" t="s">
        <v>80</v>
      </c>
      <c r="U161" s="7" t="s">
        <v>144</v>
      </c>
      <c r="V161" s="7" t="s">
        <v>266</v>
      </c>
      <c r="W161" s="6" t="str">
        <f aca="false">IF(COUNTA(B161:V161)=0,"",IF(OR(B161="",C161="",D161="",F161="",G161="",H161="",I161="",L161="",M161=""),"ناقص",IF(AND(ISNUMBER(F161),ISNUMBER(H161)),"OK","السنة/السعر لازم أرقام")))</f>
        <v>OK</v>
      </c>
      <c r="X161" s="6" t="str">
        <f aca="false">IF(B161="","",B161&amp;" "&amp;C161&amp;" "&amp;D161&amp;" "&amp;E161&amp;" "&amp;F161&amp;" "&amp;G161&amp;" "&amp;I161&amp;" "&amp;L161&amp;" "&amp;M161&amp;" سعر "&amp;H161&amp;" جنيه "&amp;U161)</f>
        <v>Mazda مازدا Mazda2 DE مازدا 2 DE 2013 مستعمل هاتشباك أوتوماتيك بنزين سعر 500000 جنيه تكييف، زجاج كهربائي، قفل مركزي، ABS، مرايات كهربائية، حساسات ركن خلفية</v>
      </c>
    </row>
    <row r="162" customFormat="false" ht="35.05" hidden="false" customHeight="false" outlineLevel="0" collapsed="false">
      <c r="A162" s="6" t="s">
        <v>608</v>
      </c>
      <c r="B162" s="7" t="s">
        <v>609</v>
      </c>
      <c r="C162" s="6" t="str">
        <f aca="false">IF(B162="","",IFERROR(INDEX(Lists!$K$2:$K$60,MATCH(B162,Lists!$J$2:$J$60,0)),""))</f>
        <v>رينو</v>
      </c>
      <c r="D162" s="7" t="s">
        <v>610</v>
      </c>
      <c r="E162" s="7" t="s">
        <v>611</v>
      </c>
      <c r="F162" s="7" t="n">
        <v>2008</v>
      </c>
      <c r="G162" s="7" t="s">
        <v>249</v>
      </c>
      <c r="H162" s="8" t="n">
        <v>230000</v>
      </c>
      <c r="I162" s="7" t="s">
        <v>77</v>
      </c>
      <c r="J162" s="9" t="n">
        <v>1400</v>
      </c>
      <c r="K162" s="7" t="n">
        <v>75</v>
      </c>
      <c r="L162" s="7" t="s">
        <v>250</v>
      </c>
      <c r="M162" s="7" t="s">
        <v>79</v>
      </c>
      <c r="N162" s="7" t="n">
        <v>7.5</v>
      </c>
      <c r="O162" s="7" t="n">
        <v>5</v>
      </c>
      <c r="P162" s="7" t="s">
        <v>80</v>
      </c>
      <c r="Q162" s="7" t="s">
        <v>80</v>
      </c>
      <c r="R162" s="7" t="s">
        <v>80</v>
      </c>
      <c r="S162" s="7" t="s">
        <v>80</v>
      </c>
      <c r="T162" s="7" t="s">
        <v>80</v>
      </c>
      <c r="U162" s="7" t="s">
        <v>251</v>
      </c>
      <c r="V162" s="7" t="s">
        <v>266</v>
      </c>
      <c r="W162" s="6" t="str">
        <f aca="false">IF(COUNTA(B162:V162)=0,"",IF(OR(B162="",C162="",D162="",F162="",G162="",H162="",I162="",L162="",M162=""),"ناقص",IF(AND(ISNUMBER(F162),ISNUMBER(H162)),"OK","السنة/السعر لازم أرقام")))</f>
        <v>OK</v>
      </c>
      <c r="X162" s="6" t="str">
        <f aca="false">IF(B162="","",B162&amp;" "&amp;C162&amp;" "&amp;D162&amp;" "&amp;E162&amp;" "&amp;F162&amp;" "&amp;G162&amp;" "&amp;I162&amp;" "&amp;L162&amp;" "&amp;M162&amp;" سعر "&amp;H162&amp;" جنيه "&amp;U162)</f>
        <v>Renault رينو Logan I لوجان الجيل الأول 2008 مستعمل سيدان مانيوال بنزين سعر 230000 جنيه تكييف، زجاج كهربائي، قفل مركزي</v>
      </c>
    </row>
    <row r="163" customFormat="false" ht="35.05" hidden="false" customHeight="false" outlineLevel="0" collapsed="false">
      <c r="A163" s="6" t="s">
        <v>612</v>
      </c>
      <c r="B163" s="7" t="s">
        <v>609</v>
      </c>
      <c r="C163" s="6" t="str">
        <f aca="false">IF(B163="","",IFERROR(INDEX(Lists!$K$2:$K$60,MATCH(B163,Lists!$J$2:$J$60,0)),""))</f>
        <v>رينو</v>
      </c>
      <c r="D163" s="7" t="s">
        <v>613</v>
      </c>
      <c r="E163" s="7" t="s">
        <v>614</v>
      </c>
      <c r="F163" s="7" t="n">
        <v>2016</v>
      </c>
      <c r="G163" s="7" t="s">
        <v>249</v>
      </c>
      <c r="H163" s="8" t="n">
        <v>380000</v>
      </c>
      <c r="I163" s="7" t="s">
        <v>77</v>
      </c>
      <c r="J163" s="9" t="n">
        <v>1600</v>
      </c>
      <c r="K163" s="7" t="n">
        <v>102</v>
      </c>
      <c r="L163" s="7" t="s">
        <v>250</v>
      </c>
      <c r="M163" s="7" t="s">
        <v>79</v>
      </c>
      <c r="N163" s="7" t="n">
        <v>7.2</v>
      </c>
      <c r="O163" s="7" t="n">
        <v>5</v>
      </c>
      <c r="P163" s="7" t="s">
        <v>80</v>
      </c>
      <c r="Q163" s="7" t="s">
        <v>80</v>
      </c>
      <c r="R163" s="7" t="s">
        <v>80</v>
      </c>
      <c r="S163" s="7" t="s">
        <v>80</v>
      </c>
      <c r="T163" s="7" t="s">
        <v>81</v>
      </c>
      <c r="U163" s="7" t="s">
        <v>256</v>
      </c>
      <c r="V163" s="7" t="s">
        <v>266</v>
      </c>
      <c r="W163" s="6" t="str">
        <f aca="false">IF(COUNTA(B163:V163)=0,"",IF(OR(B163="",C163="",D163="",F163="",G163="",H163="",I163="",L163="",M163=""),"ناقص",IF(AND(ISNUMBER(F163),ISNUMBER(H163)),"OK","السنة/السعر لازم أرقام")))</f>
        <v>OK</v>
      </c>
      <c r="X163" s="6" t="str">
        <f aca="false">IF(B163="","",B163&amp;" "&amp;C163&amp;" "&amp;D163&amp;" "&amp;E163&amp;" "&amp;F163&amp;" "&amp;G163&amp;" "&amp;I163&amp;" "&amp;L163&amp;" "&amp;M163&amp;" سعر "&amp;H163&amp;" جنيه "&amp;U163)</f>
        <v>Renault رينو Logan II لوجان الجيل الثاني 2016 مستعمل سيدان مانيوال بنزين سعر 380000 جنيه تكييف، زجاج كهربائي، قفل مركزي، ABS</v>
      </c>
    </row>
    <row r="164" customFormat="false" ht="35.05" hidden="false" customHeight="false" outlineLevel="0" collapsed="false">
      <c r="A164" s="6" t="s">
        <v>615</v>
      </c>
      <c r="B164" s="7" t="s">
        <v>609</v>
      </c>
      <c r="C164" s="6" t="str">
        <f aca="false">IF(B164="","",IFERROR(INDEX(Lists!$K$2:$K$60,MATCH(B164,Lists!$J$2:$J$60,0)),""))</f>
        <v>رينو</v>
      </c>
      <c r="D164" s="7" t="s">
        <v>616</v>
      </c>
      <c r="E164" s="7" t="s">
        <v>617</v>
      </c>
      <c r="F164" s="7" t="n">
        <v>2010</v>
      </c>
      <c r="G164" s="7" t="s">
        <v>249</v>
      </c>
      <c r="H164" s="8" t="n">
        <v>260000</v>
      </c>
      <c r="I164" s="7" t="s">
        <v>77</v>
      </c>
      <c r="J164" s="9" t="n">
        <v>1400</v>
      </c>
      <c r="K164" s="7" t="n">
        <v>75</v>
      </c>
      <c r="L164" s="7" t="s">
        <v>250</v>
      </c>
      <c r="M164" s="7" t="s">
        <v>79</v>
      </c>
      <c r="N164" s="7" t="n">
        <v>7.5</v>
      </c>
      <c r="O164" s="7" t="n">
        <v>5</v>
      </c>
      <c r="P164" s="7" t="s">
        <v>80</v>
      </c>
      <c r="Q164" s="7" t="s">
        <v>80</v>
      </c>
      <c r="R164" s="7" t="s">
        <v>80</v>
      </c>
      <c r="S164" s="7" t="s">
        <v>80</v>
      </c>
      <c r="T164" s="7" t="s">
        <v>80</v>
      </c>
      <c r="U164" s="7" t="s">
        <v>256</v>
      </c>
      <c r="V164" s="7" t="s">
        <v>266</v>
      </c>
      <c r="W164" s="6" t="str">
        <f aca="false">IF(COUNTA(B164:V164)=0,"",IF(OR(B164="",C164="",D164="",F164="",G164="",H164="",I164="",L164="",M164=""),"ناقص",IF(AND(ISNUMBER(F164),ISNUMBER(H164)),"OK","السنة/السعر لازم أرقام")))</f>
        <v>OK</v>
      </c>
      <c r="X164" s="6" t="str">
        <f aca="false">IF(B164="","",B164&amp;" "&amp;C164&amp;" "&amp;D164&amp;" "&amp;E164&amp;" "&amp;F164&amp;" "&amp;G164&amp;" "&amp;I164&amp;" "&amp;L164&amp;" "&amp;M164&amp;" سعر "&amp;H164&amp;" جنيه "&amp;U164)</f>
        <v>Renault رينو Symbol سيمبول 2010 مستعمل سيدان مانيوال بنزين سعر 260000 جنيه تكييف، زجاج كهربائي، قفل مركزي، ABS</v>
      </c>
    </row>
    <row r="165" customFormat="false" ht="35.05" hidden="false" customHeight="false" outlineLevel="0" collapsed="false">
      <c r="A165" s="6" t="s">
        <v>618</v>
      </c>
      <c r="B165" s="7" t="s">
        <v>609</v>
      </c>
      <c r="C165" s="6" t="str">
        <f aca="false">IF(B165="","",IFERROR(INDEX(Lists!$K$2:$K$60,MATCH(B165,Lists!$J$2:$J$60,0)),""))</f>
        <v>رينو</v>
      </c>
      <c r="D165" s="7" t="s">
        <v>619</v>
      </c>
      <c r="E165" s="7" t="s">
        <v>620</v>
      </c>
      <c r="F165" s="7" t="n">
        <v>2014</v>
      </c>
      <c r="G165" s="7" t="s">
        <v>249</v>
      </c>
      <c r="H165" s="8" t="n">
        <v>420000</v>
      </c>
      <c r="I165" s="7" t="s">
        <v>270</v>
      </c>
      <c r="J165" s="9" t="n">
        <v>1600</v>
      </c>
      <c r="K165" s="7" t="n">
        <v>102</v>
      </c>
      <c r="L165" s="7" t="s">
        <v>250</v>
      </c>
      <c r="M165" s="7" t="s">
        <v>79</v>
      </c>
      <c r="N165" s="7" t="n">
        <v>7.2</v>
      </c>
      <c r="O165" s="7" t="n">
        <v>5</v>
      </c>
      <c r="P165" s="7" t="s">
        <v>80</v>
      </c>
      <c r="Q165" s="7" t="s">
        <v>80</v>
      </c>
      <c r="R165" s="7" t="s">
        <v>80</v>
      </c>
      <c r="S165" s="7" t="s">
        <v>80</v>
      </c>
      <c r="T165" s="7" t="s">
        <v>80</v>
      </c>
      <c r="U165" s="7" t="s">
        <v>256</v>
      </c>
      <c r="V165" s="7" t="s">
        <v>266</v>
      </c>
      <c r="W165" s="6" t="str">
        <f aca="false">IF(COUNTA(B165:V165)=0,"",IF(OR(B165="",C165="",D165="",F165="",G165="",H165="",I165="",L165="",M165=""),"ناقص",IF(AND(ISNUMBER(F165),ISNUMBER(H165)),"OK","السنة/السعر لازم أرقام")))</f>
        <v>OK</v>
      </c>
      <c r="X165" s="6" t="str">
        <f aca="false">IF(B165="","",B165&amp;" "&amp;C165&amp;" "&amp;D165&amp;" "&amp;E165&amp;" "&amp;F165&amp;" "&amp;G165&amp;" "&amp;I165&amp;" "&amp;L165&amp;" "&amp;M165&amp;" سعر "&amp;H165&amp;" جنيه "&amp;U165)</f>
        <v>Renault رينو Sandero ساندرو 2014 مستعمل هاتشباك مانيوال بنزين سعر 420000 جنيه تكييف، زجاج كهربائي، قفل مركزي، ABS</v>
      </c>
    </row>
    <row r="166" customFormat="false" ht="35.05" hidden="false" customHeight="false" outlineLevel="0" collapsed="false">
      <c r="A166" s="6" t="s">
        <v>621</v>
      </c>
      <c r="B166" s="7" t="s">
        <v>609</v>
      </c>
      <c r="C166" s="6" t="str">
        <f aca="false">IF(B166="","",IFERROR(INDEX(Lists!$K$2:$K$60,MATCH(B166,Lists!$J$2:$J$60,0)),""))</f>
        <v>رينو</v>
      </c>
      <c r="D166" s="7" t="s">
        <v>622</v>
      </c>
      <c r="E166" s="7" t="s">
        <v>623</v>
      </c>
      <c r="F166" s="7" t="n">
        <v>2019</v>
      </c>
      <c r="G166" s="7" t="s">
        <v>249</v>
      </c>
      <c r="H166" s="8" t="n">
        <v>650000</v>
      </c>
      <c r="I166" s="7" t="s">
        <v>270</v>
      </c>
      <c r="J166" s="9" t="n">
        <v>1600</v>
      </c>
      <c r="K166" s="7" t="n">
        <v>102</v>
      </c>
      <c r="L166" s="7" t="s">
        <v>78</v>
      </c>
      <c r="M166" s="7" t="s">
        <v>79</v>
      </c>
      <c r="N166" s="7" t="n">
        <v>7</v>
      </c>
      <c r="O166" s="7" t="n">
        <v>5</v>
      </c>
      <c r="P166" s="7" t="s">
        <v>80</v>
      </c>
      <c r="Q166" s="7" t="s">
        <v>81</v>
      </c>
      <c r="R166" s="7" t="s">
        <v>81</v>
      </c>
      <c r="S166" s="7" t="s">
        <v>80</v>
      </c>
      <c r="T166" s="7" t="s">
        <v>81</v>
      </c>
      <c r="U166" s="7" t="s">
        <v>144</v>
      </c>
      <c r="V166" s="7" t="s">
        <v>266</v>
      </c>
      <c r="W166" s="6" t="str">
        <f aca="false">IF(COUNTA(B166:V166)=0,"",IF(OR(B166="",C166="",D166="",F166="",G166="",H166="",I166="",L166="",M166=""),"ناقص",IF(AND(ISNUMBER(F166),ISNUMBER(H166)),"OK","السنة/السعر لازم أرقام")))</f>
        <v>OK</v>
      </c>
      <c r="X166" s="6" t="str">
        <f aca="false">IF(B166="","",B166&amp;" "&amp;C166&amp;" "&amp;D166&amp;" "&amp;E166&amp;" "&amp;F166&amp;" "&amp;G166&amp;" "&amp;I166&amp;" "&amp;L166&amp;" "&amp;M166&amp;" سعر "&amp;H166&amp;" جنيه "&amp;U166)</f>
        <v>Renault رينو Sandero Stepway ساندرو ستيب واي 2019 مستعمل هاتشباك أوتوماتيك بنزين سعر 650000 جنيه تكييف، زجاج كهربائي، قفل مركزي، ABS، مرايات كهربائية، حساسات ركن خلفية</v>
      </c>
    </row>
    <row r="167" customFormat="false" ht="35.05" hidden="false" customHeight="false" outlineLevel="0" collapsed="false">
      <c r="A167" s="6" t="s">
        <v>624</v>
      </c>
      <c r="B167" s="7" t="s">
        <v>609</v>
      </c>
      <c r="C167" s="6" t="str">
        <f aca="false">IF(B167="","",IFERROR(INDEX(Lists!$K$2:$K$60,MATCH(B167,Lists!$J$2:$J$60,0)),""))</f>
        <v>رينو</v>
      </c>
      <c r="D167" s="7" t="s">
        <v>625</v>
      </c>
      <c r="E167" s="7" t="s">
        <v>626</v>
      </c>
      <c r="F167" s="7" t="n">
        <v>2017</v>
      </c>
      <c r="G167" s="7" t="s">
        <v>249</v>
      </c>
      <c r="H167" s="8" t="n">
        <v>750000</v>
      </c>
      <c r="I167" s="7" t="s">
        <v>105</v>
      </c>
      <c r="J167" s="9" t="n">
        <v>1600</v>
      </c>
      <c r="K167" s="7" t="n">
        <v>102</v>
      </c>
      <c r="L167" s="7" t="s">
        <v>250</v>
      </c>
      <c r="M167" s="7" t="s">
        <v>79</v>
      </c>
      <c r="N167" s="7" t="n">
        <v>8.5</v>
      </c>
      <c r="O167" s="7" t="n">
        <v>5</v>
      </c>
      <c r="P167" s="7" t="s">
        <v>80</v>
      </c>
      <c r="Q167" s="7" t="s">
        <v>80</v>
      </c>
      <c r="R167" s="7" t="s">
        <v>81</v>
      </c>
      <c r="S167" s="7" t="s">
        <v>80</v>
      </c>
      <c r="T167" s="7" t="s">
        <v>81</v>
      </c>
      <c r="U167" s="7" t="s">
        <v>144</v>
      </c>
      <c r="V167" s="7" t="s">
        <v>266</v>
      </c>
      <c r="W167" s="6" t="str">
        <f aca="false">IF(COUNTA(B167:V167)=0,"",IF(OR(B167="",C167="",D167="",F167="",G167="",H167="",I167="",L167="",M167=""),"ناقص",IF(AND(ISNUMBER(F167),ISNUMBER(H167)),"OK","السنة/السعر لازم أرقام")))</f>
        <v>OK</v>
      </c>
      <c r="X167" s="6" t="str">
        <f aca="false">IF(B167="","",B167&amp;" "&amp;C167&amp;" "&amp;D167&amp;" "&amp;E167&amp;" "&amp;F167&amp;" "&amp;G167&amp;" "&amp;I167&amp;" "&amp;L167&amp;" "&amp;M167&amp;" سعر "&amp;H167&amp;" جنيه "&amp;U167)</f>
        <v>Renault رينو Duster داستر 2017 مستعمل كروس أوفر مانيوال بنزين سعر 750000 جنيه تكييف، زجاج كهربائي، قفل مركزي، ABS، مرايات كهربائية، حساسات ركن خلفية</v>
      </c>
    </row>
    <row r="168" customFormat="false" ht="35.05" hidden="false" customHeight="false" outlineLevel="0" collapsed="false">
      <c r="A168" s="6" t="s">
        <v>627</v>
      </c>
      <c r="B168" s="7" t="s">
        <v>609</v>
      </c>
      <c r="C168" s="6" t="str">
        <f aca="false">IF(B168="","",IFERROR(INDEX(Lists!$K$2:$K$60,MATCH(B168,Lists!$J$2:$J$60,0)),""))</f>
        <v>رينو</v>
      </c>
      <c r="D168" s="7" t="s">
        <v>628</v>
      </c>
      <c r="E168" s="7" t="s">
        <v>629</v>
      </c>
      <c r="F168" s="7" t="n">
        <v>2008</v>
      </c>
      <c r="G168" s="7" t="s">
        <v>249</v>
      </c>
      <c r="H168" s="8" t="n">
        <v>330000</v>
      </c>
      <c r="I168" s="7" t="s">
        <v>77</v>
      </c>
      <c r="J168" s="9" t="n">
        <v>1600</v>
      </c>
      <c r="K168" s="7" t="n">
        <v>112</v>
      </c>
      <c r="L168" s="7" t="s">
        <v>78</v>
      </c>
      <c r="M168" s="7" t="s">
        <v>79</v>
      </c>
      <c r="N168" s="7" t="n">
        <v>8.5</v>
      </c>
      <c r="O168" s="7" t="n">
        <v>5</v>
      </c>
      <c r="P168" s="7" t="s">
        <v>80</v>
      </c>
      <c r="Q168" s="7" t="s">
        <v>80</v>
      </c>
      <c r="R168" s="7" t="s">
        <v>80</v>
      </c>
      <c r="S168" s="7" t="s">
        <v>80</v>
      </c>
      <c r="T168" s="7" t="s">
        <v>80</v>
      </c>
      <c r="U168" s="7" t="s">
        <v>251</v>
      </c>
      <c r="V168" s="7" t="s">
        <v>266</v>
      </c>
      <c r="W168" s="6" t="str">
        <f aca="false">IF(COUNTA(B168:V168)=0,"",IF(OR(B168="",C168="",D168="",F168="",G168="",H168="",I168="",L168="",M168=""),"ناقص",IF(AND(ISNUMBER(F168),ISNUMBER(H168)),"OK","السنة/السعر لازم أرقام")))</f>
        <v>OK</v>
      </c>
      <c r="X168" s="6" t="str">
        <f aca="false">IF(B168="","",B168&amp;" "&amp;C168&amp;" "&amp;D168&amp;" "&amp;E168&amp;" "&amp;F168&amp;" "&amp;G168&amp;" "&amp;I168&amp;" "&amp;L168&amp;" "&amp;M168&amp;" سعر "&amp;H168&amp;" جنيه "&amp;U168)</f>
        <v>Renault رينو Megane II ميجان II 2008 مستعمل سيدان أوتوماتيك بنزين سعر 330000 جنيه تكييف، زجاج كهربائي، قفل مركزي</v>
      </c>
    </row>
    <row r="169" customFormat="false" ht="35.05" hidden="false" customHeight="false" outlineLevel="0" collapsed="false">
      <c r="A169" s="6" t="s">
        <v>630</v>
      </c>
      <c r="B169" s="7" t="s">
        <v>609</v>
      </c>
      <c r="C169" s="6" t="str">
        <f aca="false">IF(B169="","",IFERROR(INDEX(Lists!$K$2:$K$60,MATCH(B169,Lists!$J$2:$J$60,0)),""))</f>
        <v>رينو</v>
      </c>
      <c r="D169" s="7" t="s">
        <v>631</v>
      </c>
      <c r="E169" s="7" t="s">
        <v>632</v>
      </c>
      <c r="F169" s="7" t="n">
        <v>2013</v>
      </c>
      <c r="G169" s="7" t="s">
        <v>249</v>
      </c>
      <c r="H169" s="8" t="n">
        <v>480000</v>
      </c>
      <c r="I169" s="7" t="s">
        <v>77</v>
      </c>
      <c r="J169" s="9" t="n">
        <v>1600</v>
      </c>
      <c r="K169" s="7" t="n">
        <v>110</v>
      </c>
      <c r="L169" s="7" t="s">
        <v>78</v>
      </c>
      <c r="M169" s="7" t="s">
        <v>79</v>
      </c>
      <c r="N169" s="7" t="n">
        <v>8</v>
      </c>
      <c r="O169" s="7" t="n">
        <v>5</v>
      </c>
      <c r="P169" s="7" t="s">
        <v>80</v>
      </c>
      <c r="Q169" s="7" t="s">
        <v>80</v>
      </c>
      <c r="R169" s="7" t="s">
        <v>80</v>
      </c>
      <c r="S169" s="7" t="s">
        <v>80</v>
      </c>
      <c r="T169" s="7" t="s">
        <v>80</v>
      </c>
      <c r="U169" s="7" t="s">
        <v>144</v>
      </c>
      <c r="V169" s="7" t="s">
        <v>266</v>
      </c>
      <c r="W169" s="6" t="str">
        <f aca="false">IF(COUNTA(B169:V169)=0,"",IF(OR(B169="",C169="",D169="",F169="",G169="",H169="",I169="",L169="",M169=""),"ناقص",IF(AND(ISNUMBER(F169),ISNUMBER(H169)),"OK","السنة/السعر لازم أرقام")))</f>
        <v>OK</v>
      </c>
      <c r="X169" s="6" t="str">
        <f aca="false">IF(B169="","",B169&amp;" "&amp;C169&amp;" "&amp;D169&amp;" "&amp;E169&amp;" "&amp;F169&amp;" "&amp;G169&amp;" "&amp;I169&amp;" "&amp;L169&amp;" "&amp;M169&amp;" سعر "&amp;H169&amp;" جنيه "&amp;U169)</f>
        <v>Renault رينو Megane III ميجان III 2013 مستعمل سيدان أوتوماتيك بنزين سعر 480000 جنيه تكييف، زجاج كهربائي، قفل مركزي، ABS، مرايات كهربائية، حساسات ركن خلفية</v>
      </c>
    </row>
    <row r="170" customFormat="false" ht="35.05" hidden="false" customHeight="false" outlineLevel="0" collapsed="false">
      <c r="A170" s="6" t="s">
        <v>633</v>
      </c>
      <c r="B170" s="7" t="s">
        <v>609</v>
      </c>
      <c r="C170" s="6" t="str">
        <f aca="false">IF(B170="","",IFERROR(INDEX(Lists!$K$2:$K$60,MATCH(B170,Lists!$J$2:$J$60,0)),""))</f>
        <v>رينو</v>
      </c>
      <c r="D170" s="7" t="s">
        <v>634</v>
      </c>
      <c r="E170" s="7" t="s">
        <v>635</v>
      </c>
      <c r="F170" s="7" t="n">
        <v>2012</v>
      </c>
      <c r="G170" s="7" t="s">
        <v>249</v>
      </c>
      <c r="H170" s="8" t="n">
        <v>500000</v>
      </c>
      <c r="I170" s="7" t="s">
        <v>77</v>
      </c>
      <c r="J170" s="9" t="n">
        <v>1600</v>
      </c>
      <c r="K170" s="7" t="n">
        <v>110</v>
      </c>
      <c r="L170" s="7" t="s">
        <v>230</v>
      </c>
      <c r="M170" s="7" t="s">
        <v>79</v>
      </c>
      <c r="N170" s="7" t="n">
        <v>7.8</v>
      </c>
      <c r="O170" s="7" t="n">
        <v>5</v>
      </c>
      <c r="P170" s="7" t="s">
        <v>80</v>
      </c>
      <c r="Q170" s="7" t="s">
        <v>80</v>
      </c>
      <c r="R170" s="7" t="s">
        <v>80</v>
      </c>
      <c r="S170" s="7" t="s">
        <v>80</v>
      </c>
      <c r="T170" s="7" t="s">
        <v>80</v>
      </c>
      <c r="U170" s="7" t="s">
        <v>144</v>
      </c>
      <c r="V170" s="7" t="s">
        <v>266</v>
      </c>
      <c r="W170" s="6" t="str">
        <f aca="false">IF(COUNTA(B170:V170)=0,"",IF(OR(B170="",C170="",D170="",F170="",G170="",H170="",I170="",L170="",M170=""),"ناقص",IF(AND(ISNUMBER(F170),ISNUMBER(H170)),"OK","السنة/السعر لازم أرقام")))</f>
        <v>OK</v>
      </c>
      <c r="X170" s="6" t="str">
        <f aca="false">IF(B170="","",B170&amp;" "&amp;C170&amp;" "&amp;D170&amp;" "&amp;E170&amp;" "&amp;F170&amp;" "&amp;G170&amp;" "&amp;I170&amp;" "&amp;L170&amp;" "&amp;M170&amp;" سعر "&amp;H170&amp;" جنيه "&amp;U170)</f>
        <v>Renault رينو Fluence فلوانس 2012 مستعمل سيدان CVT بنزين سعر 500000 جنيه تكييف، زجاج كهربائي، قفل مركزي، ABS، مرايات كهربائية، حساسات ركن خلفية</v>
      </c>
    </row>
    <row r="171" customFormat="false" ht="35.05" hidden="false" customHeight="false" outlineLevel="0" collapsed="false">
      <c r="A171" s="6" t="s">
        <v>636</v>
      </c>
      <c r="B171" s="7" t="s">
        <v>609</v>
      </c>
      <c r="C171" s="6" t="str">
        <f aca="false">IF(B171="","",IFERROR(INDEX(Lists!$K$2:$K$60,MATCH(B171,Lists!$J$2:$J$60,0)),""))</f>
        <v>رينو</v>
      </c>
      <c r="D171" s="7" t="s">
        <v>637</v>
      </c>
      <c r="E171" s="7" t="s">
        <v>638</v>
      </c>
      <c r="F171" s="7" t="n">
        <v>2018</v>
      </c>
      <c r="G171" s="7" t="s">
        <v>249</v>
      </c>
      <c r="H171" s="8" t="n">
        <v>1100000</v>
      </c>
      <c r="I171" s="7" t="s">
        <v>105</v>
      </c>
      <c r="J171" s="9" t="n">
        <v>1600</v>
      </c>
      <c r="K171" s="7" t="n">
        <v>130</v>
      </c>
      <c r="L171" s="7" t="s">
        <v>230</v>
      </c>
      <c r="M171" s="7" t="s">
        <v>79</v>
      </c>
      <c r="N171" s="7" t="n">
        <v>7.5</v>
      </c>
      <c r="O171" s="7" t="n">
        <v>5</v>
      </c>
      <c r="P171" s="7" t="s">
        <v>81</v>
      </c>
      <c r="Q171" s="7" t="s">
        <v>81</v>
      </c>
      <c r="R171" s="7" t="s">
        <v>81</v>
      </c>
      <c r="S171" s="7" t="s">
        <v>81</v>
      </c>
      <c r="T171" s="7" t="s">
        <v>81</v>
      </c>
      <c r="U171" s="7" t="s">
        <v>148</v>
      </c>
      <c r="V171" s="7" t="s">
        <v>266</v>
      </c>
      <c r="W171" s="6" t="str">
        <f aca="false">IF(COUNTA(B171:V171)=0,"",IF(OR(B171="",C171="",D171="",F171="",G171="",H171="",I171="",L171="",M171=""),"ناقص",IF(AND(ISNUMBER(F171),ISNUMBER(H171)),"OK","السنة/السعر لازم أرقام")))</f>
        <v>OK</v>
      </c>
      <c r="X171" s="6" t="str">
        <f aca="false">IF(B171="","",B171&amp;" "&amp;C171&amp;" "&amp;D171&amp;" "&amp;E171&amp;" "&amp;F171&amp;" "&amp;G171&amp;" "&amp;I171&amp;" "&amp;L171&amp;" "&amp;M171&amp;" سعر "&amp;H171&amp;" جنيه "&amp;U171)</f>
        <v>Renault رينو Kadjar كادجار 2018 مستعمل كروس أوفر CVT بنزين سعر 1100000 جنيه تكييف، زجاج كهربائي، قفل مركزي، ABS، مرايات كهربائية، حساسات ركن خلفية، جنوط ألومنيوم، تحكم في الثبات ESP</v>
      </c>
    </row>
    <row r="172" customFormat="false" ht="35.05" hidden="false" customHeight="false" outlineLevel="0" collapsed="false">
      <c r="A172" s="6" t="s">
        <v>639</v>
      </c>
      <c r="B172" s="7" t="s">
        <v>609</v>
      </c>
      <c r="C172" s="6" t="str">
        <f aca="false">IF(B172="","",IFERROR(INDEX(Lists!$K$2:$K$60,MATCH(B172,Lists!$J$2:$J$60,0)),""))</f>
        <v>رينو</v>
      </c>
      <c r="D172" s="7" t="s">
        <v>640</v>
      </c>
      <c r="E172" s="7" t="s">
        <v>641</v>
      </c>
      <c r="F172" s="7" t="n">
        <v>2020</v>
      </c>
      <c r="G172" s="7" t="s">
        <v>249</v>
      </c>
      <c r="H172" s="8" t="n">
        <v>450000</v>
      </c>
      <c r="I172" s="7" t="s">
        <v>270</v>
      </c>
      <c r="J172" s="9" t="n">
        <v>1000</v>
      </c>
      <c r="K172" s="7" t="n">
        <v>68</v>
      </c>
      <c r="L172" s="7" t="s">
        <v>250</v>
      </c>
      <c r="M172" s="7" t="s">
        <v>79</v>
      </c>
      <c r="N172" s="7" t="n">
        <v>5</v>
      </c>
      <c r="O172" s="7" t="n">
        <v>5</v>
      </c>
      <c r="P172" s="7" t="s">
        <v>80</v>
      </c>
      <c r="Q172" s="7" t="s">
        <v>81</v>
      </c>
      <c r="R172" s="7" t="s">
        <v>80</v>
      </c>
      <c r="S172" s="7" t="s">
        <v>80</v>
      </c>
      <c r="T172" s="7" t="s">
        <v>81</v>
      </c>
      <c r="U172" s="7" t="s">
        <v>256</v>
      </c>
      <c r="V172" s="7" t="s">
        <v>266</v>
      </c>
      <c r="W172" s="6" t="str">
        <f aca="false">IF(COUNTA(B172:V172)=0,"",IF(OR(B172="",C172="",D172="",F172="",G172="",H172="",I172="",L172="",M172=""),"ناقص",IF(AND(ISNUMBER(F172),ISNUMBER(H172)),"OK","السنة/السعر لازم أرقام")))</f>
        <v>OK</v>
      </c>
      <c r="X172" s="6" t="str">
        <f aca="false">IF(B172="","",B172&amp;" "&amp;C172&amp;" "&amp;D172&amp;" "&amp;E172&amp;" "&amp;F172&amp;" "&amp;G172&amp;" "&amp;I172&amp;" "&amp;L172&amp;" "&amp;M172&amp;" سعر "&amp;H172&amp;" جنيه "&amp;U172)</f>
        <v>Renault رينو Kwid كويد 2020 مستعمل هاتشباك مانيوال بنزين سعر 450000 جنيه تكييف، زجاج كهربائي، قفل مركزي، ABS</v>
      </c>
    </row>
    <row r="173" customFormat="false" ht="35.05" hidden="false" customHeight="false" outlineLevel="0" collapsed="false">
      <c r="A173" s="6" t="s">
        <v>642</v>
      </c>
      <c r="B173" s="7" t="s">
        <v>643</v>
      </c>
      <c r="C173" s="6" t="str">
        <f aca="false">IF(B173="","",IFERROR(INDEX(Lists!$K$2:$K$60,MATCH(B173,Lists!$J$2:$J$60,0)),""))</f>
        <v>بيجو</v>
      </c>
      <c r="D173" s="7" t="s">
        <v>644</v>
      </c>
      <c r="E173" s="7" t="s">
        <v>645</v>
      </c>
      <c r="F173" s="7" t="n">
        <v>2005</v>
      </c>
      <c r="G173" s="7" t="s">
        <v>249</v>
      </c>
      <c r="H173" s="8" t="n">
        <v>230000</v>
      </c>
      <c r="I173" s="7" t="s">
        <v>270</v>
      </c>
      <c r="J173" s="9" t="n">
        <v>1400</v>
      </c>
      <c r="K173" s="7" t="n">
        <v>75</v>
      </c>
      <c r="L173" s="7" t="s">
        <v>250</v>
      </c>
      <c r="M173" s="7" t="s">
        <v>79</v>
      </c>
      <c r="N173" s="7" t="n">
        <v>7.5</v>
      </c>
      <c r="O173" s="7" t="n">
        <v>5</v>
      </c>
      <c r="P173" s="7" t="s">
        <v>80</v>
      </c>
      <c r="Q173" s="7" t="s">
        <v>80</v>
      </c>
      <c r="R173" s="7" t="s">
        <v>80</v>
      </c>
      <c r="S173" s="7" t="s">
        <v>80</v>
      </c>
      <c r="T173" s="7" t="s">
        <v>80</v>
      </c>
      <c r="U173" s="7" t="s">
        <v>251</v>
      </c>
      <c r="V173" s="7" t="s">
        <v>266</v>
      </c>
      <c r="W173" s="6" t="str">
        <f aca="false">IF(COUNTA(B173:V173)=0,"",IF(OR(B173="",C173="",D173="",F173="",G173="",H173="",I173="",L173="",M173=""),"ناقص",IF(AND(ISNUMBER(F173),ISNUMBER(H173)),"OK","السنة/السعر لازم أرقام")))</f>
        <v>OK</v>
      </c>
      <c r="X173" s="6" t="str">
        <f aca="false">IF(B173="","",B173&amp;" "&amp;C173&amp;" "&amp;D173&amp;" "&amp;E173&amp;" "&amp;F173&amp;" "&amp;G173&amp;" "&amp;I173&amp;" "&amp;L173&amp;" "&amp;M173&amp;" سعر "&amp;H173&amp;" جنيه "&amp;U173)</f>
        <v>Peugeot بيجو 206 بيجو 206 2005 مستعمل هاتشباك مانيوال بنزين سعر 230000 جنيه تكييف، زجاج كهربائي، قفل مركزي</v>
      </c>
    </row>
    <row r="174" customFormat="false" ht="35.05" hidden="false" customHeight="false" outlineLevel="0" collapsed="false">
      <c r="A174" s="6" t="s">
        <v>646</v>
      </c>
      <c r="B174" s="7" t="s">
        <v>643</v>
      </c>
      <c r="C174" s="6" t="str">
        <f aca="false">IF(B174="","",IFERROR(INDEX(Lists!$K$2:$K$60,MATCH(B174,Lists!$J$2:$J$60,0)),""))</f>
        <v>بيجو</v>
      </c>
      <c r="D174" s="7" t="s">
        <v>647</v>
      </c>
      <c r="E174" s="7" t="s">
        <v>648</v>
      </c>
      <c r="F174" s="7" t="n">
        <v>2007</v>
      </c>
      <c r="G174" s="7" t="s">
        <v>249</v>
      </c>
      <c r="H174" s="8" t="n">
        <v>300000</v>
      </c>
      <c r="I174" s="7" t="s">
        <v>270</v>
      </c>
      <c r="J174" s="9" t="n">
        <v>1600</v>
      </c>
      <c r="K174" s="7" t="n">
        <v>110</v>
      </c>
      <c r="L174" s="7" t="s">
        <v>78</v>
      </c>
      <c r="M174" s="7" t="s">
        <v>79</v>
      </c>
      <c r="N174" s="7" t="n">
        <v>9</v>
      </c>
      <c r="O174" s="7" t="n">
        <v>5</v>
      </c>
      <c r="P174" s="7" t="s">
        <v>80</v>
      </c>
      <c r="Q174" s="7" t="s">
        <v>80</v>
      </c>
      <c r="R174" s="7" t="s">
        <v>80</v>
      </c>
      <c r="S174" s="7" t="s">
        <v>80</v>
      </c>
      <c r="T174" s="7" t="s">
        <v>80</v>
      </c>
      <c r="U174" s="7" t="s">
        <v>251</v>
      </c>
      <c r="V174" s="7" t="s">
        <v>266</v>
      </c>
      <c r="W174" s="6" t="str">
        <f aca="false">IF(COUNTA(B174:V174)=0,"",IF(OR(B174="",C174="",D174="",F174="",G174="",H174="",I174="",L174="",M174=""),"ناقص",IF(AND(ISNUMBER(F174),ISNUMBER(H174)),"OK","السنة/السعر لازم أرقام")))</f>
        <v>OK</v>
      </c>
      <c r="X174" s="6" t="str">
        <f aca="false">IF(B174="","",B174&amp;" "&amp;C174&amp;" "&amp;D174&amp;" "&amp;E174&amp;" "&amp;F174&amp;" "&amp;G174&amp;" "&amp;I174&amp;" "&amp;L174&amp;" "&amp;M174&amp;" سعر "&amp;H174&amp;" جنيه "&amp;U174)</f>
        <v>Peugeot بيجو 307 بيجو 307 2007 مستعمل هاتشباك أوتوماتيك بنزين سعر 300000 جنيه تكييف، زجاج كهربائي، قفل مركزي</v>
      </c>
    </row>
    <row r="175" customFormat="false" ht="35.05" hidden="false" customHeight="false" outlineLevel="0" collapsed="false">
      <c r="A175" s="6" t="s">
        <v>649</v>
      </c>
      <c r="B175" s="7" t="s">
        <v>643</v>
      </c>
      <c r="C175" s="6" t="str">
        <f aca="false">IF(B175="","",IFERROR(INDEX(Lists!$K$2:$K$60,MATCH(B175,Lists!$J$2:$J$60,0)),""))</f>
        <v>بيجو</v>
      </c>
      <c r="D175" s="7" t="s">
        <v>650</v>
      </c>
      <c r="E175" s="7" t="s">
        <v>651</v>
      </c>
      <c r="F175" s="7" t="n">
        <v>1998</v>
      </c>
      <c r="G175" s="7" t="s">
        <v>249</v>
      </c>
      <c r="H175" s="8" t="n">
        <v>220000</v>
      </c>
      <c r="I175" s="7" t="s">
        <v>77</v>
      </c>
      <c r="J175" s="9" t="n">
        <v>1600</v>
      </c>
      <c r="K175" s="7" t="n">
        <v>90</v>
      </c>
      <c r="L175" s="7" t="s">
        <v>250</v>
      </c>
      <c r="M175" s="7" t="s">
        <v>79</v>
      </c>
      <c r="N175" s="7" t="n">
        <v>9</v>
      </c>
      <c r="O175" s="7" t="n">
        <v>5</v>
      </c>
      <c r="P175" s="7" t="s">
        <v>80</v>
      </c>
      <c r="Q175" s="7" t="s">
        <v>80</v>
      </c>
      <c r="R175" s="7" t="s">
        <v>80</v>
      </c>
      <c r="S175" s="7" t="s">
        <v>80</v>
      </c>
      <c r="T175" s="7" t="s">
        <v>80</v>
      </c>
      <c r="U175" s="7" t="s">
        <v>251</v>
      </c>
      <c r="V175" s="7" t="s">
        <v>266</v>
      </c>
      <c r="W175" s="6" t="str">
        <f aca="false">IF(COUNTA(B175:V175)=0,"",IF(OR(B175="",C175="",D175="",F175="",G175="",H175="",I175="",L175="",M175=""),"ناقص",IF(AND(ISNUMBER(F175),ISNUMBER(H175)),"OK","السنة/السعر لازم أرقام")))</f>
        <v>OK</v>
      </c>
      <c r="X175" s="6" t="str">
        <f aca="false">IF(B175="","",B175&amp;" "&amp;C175&amp;" "&amp;D175&amp;" "&amp;E175&amp;" "&amp;F175&amp;" "&amp;G175&amp;" "&amp;I175&amp;" "&amp;L175&amp;" "&amp;M175&amp;" سعر "&amp;H175&amp;" جنيه "&amp;U175)</f>
        <v>Peugeot بيجو 405 بيجو 405 1998 مستعمل سيدان مانيوال بنزين سعر 220000 جنيه تكييف، زجاج كهربائي، قفل مركزي</v>
      </c>
    </row>
    <row r="176" customFormat="false" ht="35.05" hidden="false" customHeight="false" outlineLevel="0" collapsed="false">
      <c r="A176" s="6" t="s">
        <v>652</v>
      </c>
      <c r="B176" s="7" t="s">
        <v>643</v>
      </c>
      <c r="C176" s="6" t="str">
        <f aca="false">IF(B176="","",IFERROR(INDEX(Lists!$K$2:$K$60,MATCH(B176,Lists!$J$2:$J$60,0)),""))</f>
        <v>بيجو</v>
      </c>
      <c r="D176" s="7" t="s">
        <v>653</v>
      </c>
      <c r="E176" s="7" t="s">
        <v>654</v>
      </c>
      <c r="F176" s="7" t="n">
        <v>2015</v>
      </c>
      <c r="G176" s="7" t="s">
        <v>249</v>
      </c>
      <c r="H176" s="8" t="n">
        <v>430000</v>
      </c>
      <c r="I176" s="7" t="s">
        <v>77</v>
      </c>
      <c r="J176" s="9" t="n">
        <v>1600</v>
      </c>
      <c r="K176" s="7" t="n">
        <v>115</v>
      </c>
      <c r="L176" s="7" t="s">
        <v>250</v>
      </c>
      <c r="M176" s="7" t="s">
        <v>79</v>
      </c>
      <c r="N176" s="7" t="n">
        <v>7.5</v>
      </c>
      <c r="O176" s="7" t="n">
        <v>5</v>
      </c>
      <c r="P176" s="7" t="s">
        <v>80</v>
      </c>
      <c r="Q176" s="7" t="s">
        <v>80</v>
      </c>
      <c r="R176" s="7" t="s">
        <v>80</v>
      </c>
      <c r="S176" s="7" t="s">
        <v>80</v>
      </c>
      <c r="T176" s="7" t="s">
        <v>80</v>
      </c>
      <c r="U176" s="7" t="s">
        <v>256</v>
      </c>
      <c r="V176" s="7" t="s">
        <v>266</v>
      </c>
      <c r="W176" s="6" t="str">
        <f aca="false">IF(COUNTA(B176:V176)=0,"",IF(OR(B176="",C176="",D176="",F176="",G176="",H176="",I176="",L176="",M176=""),"ناقص",IF(AND(ISNUMBER(F176),ISNUMBER(H176)),"OK","السنة/السعر لازم أرقام")))</f>
        <v>OK</v>
      </c>
      <c r="X176" s="6" t="str">
        <f aca="false">IF(B176="","",B176&amp;" "&amp;C176&amp;" "&amp;D176&amp;" "&amp;E176&amp;" "&amp;F176&amp;" "&amp;G176&amp;" "&amp;I176&amp;" "&amp;L176&amp;" "&amp;M176&amp;" سعر "&amp;H176&amp;" جنيه "&amp;U176)</f>
        <v>Peugeot بيجو 301 بيجو 301 2015 مستعمل سيدان مانيوال بنزين سعر 430000 جنيه تكييف، زجاج كهربائي، قفل مركزي، ABS</v>
      </c>
    </row>
    <row r="177" customFormat="false" ht="35.05" hidden="false" customHeight="false" outlineLevel="0" collapsed="false">
      <c r="A177" s="6" t="s">
        <v>655</v>
      </c>
      <c r="B177" s="7" t="s">
        <v>643</v>
      </c>
      <c r="C177" s="6" t="str">
        <f aca="false">IF(B177="","",IFERROR(INDEX(Lists!$K$2:$K$60,MATCH(B177,Lists!$J$2:$J$60,0)),""))</f>
        <v>بيجو</v>
      </c>
      <c r="D177" s="7" t="s">
        <v>656</v>
      </c>
      <c r="E177" s="7" t="s">
        <v>657</v>
      </c>
      <c r="F177" s="7" t="n">
        <v>2010</v>
      </c>
      <c r="G177" s="7" t="s">
        <v>249</v>
      </c>
      <c r="H177" s="8" t="n">
        <v>420000</v>
      </c>
      <c r="I177" s="7" t="s">
        <v>270</v>
      </c>
      <c r="J177" s="9" t="n">
        <v>1600</v>
      </c>
      <c r="K177" s="7" t="n">
        <v>120</v>
      </c>
      <c r="L177" s="7" t="s">
        <v>78</v>
      </c>
      <c r="M177" s="7" t="s">
        <v>79</v>
      </c>
      <c r="N177" s="7" t="n">
        <v>8</v>
      </c>
      <c r="O177" s="7" t="n">
        <v>5</v>
      </c>
      <c r="P177" s="7" t="s">
        <v>80</v>
      </c>
      <c r="Q177" s="7" t="s">
        <v>80</v>
      </c>
      <c r="R177" s="7" t="s">
        <v>80</v>
      </c>
      <c r="S177" s="7" t="s">
        <v>80</v>
      </c>
      <c r="T177" s="7" t="s">
        <v>80</v>
      </c>
      <c r="U177" s="7" t="s">
        <v>256</v>
      </c>
      <c r="V177" s="7" t="s">
        <v>266</v>
      </c>
      <c r="W177" s="6" t="str">
        <f aca="false">IF(COUNTA(B177:V177)=0,"",IF(OR(B177="",C177="",D177="",F177="",G177="",H177="",I177="",L177="",M177=""),"ناقص",IF(AND(ISNUMBER(F177),ISNUMBER(H177)),"OK","السنة/السعر لازم أرقام")))</f>
        <v>OK</v>
      </c>
      <c r="X177" s="6" t="str">
        <f aca="false">IF(B177="","",B177&amp;" "&amp;C177&amp;" "&amp;D177&amp;" "&amp;E177&amp;" "&amp;F177&amp;" "&amp;G177&amp;" "&amp;I177&amp;" "&amp;L177&amp;" "&amp;M177&amp;" سعر "&amp;H177&amp;" جنيه "&amp;U177)</f>
        <v>Peugeot بيجو 308 T7 بيجو 308 T7 2010 مستعمل هاتشباك أوتوماتيك بنزين سعر 420000 جنيه تكييف، زجاج كهربائي، قفل مركزي، ABS</v>
      </c>
    </row>
    <row r="178" customFormat="false" ht="35.05" hidden="false" customHeight="false" outlineLevel="0" collapsed="false">
      <c r="A178" s="6" t="s">
        <v>658</v>
      </c>
      <c r="B178" s="7" t="s">
        <v>643</v>
      </c>
      <c r="C178" s="6" t="str">
        <f aca="false">IF(B178="","",IFERROR(INDEX(Lists!$K$2:$K$60,MATCH(B178,Lists!$J$2:$J$60,0)),""))</f>
        <v>بيجو</v>
      </c>
      <c r="D178" s="7" t="s">
        <v>659</v>
      </c>
      <c r="E178" s="7" t="s">
        <v>660</v>
      </c>
      <c r="F178" s="7" t="n">
        <v>2016</v>
      </c>
      <c r="G178" s="7" t="s">
        <v>249</v>
      </c>
      <c r="H178" s="8" t="n">
        <v>800000</v>
      </c>
      <c r="I178" s="7" t="s">
        <v>270</v>
      </c>
      <c r="J178" s="9" t="n">
        <v>1200</v>
      </c>
      <c r="K178" s="7" t="n">
        <v>130</v>
      </c>
      <c r="L178" s="7" t="s">
        <v>78</v>
      </c>
      <c r="M178" s="7" t="s">
        <v>79</v>
      </c>
      <c r="N178" s="7" t="n">
        <v>6</v>
      </c>
      <c r="O178" s="7" t="n">
        <v>5</v>
      </c>
      <c r="P178" s="7" t="s">
        <v>81</v>
      </c>
      <c r="Q178" s="7" t="s">
        <v>81</v>
      </c>
      <c r="R178" s="7" t="s">
        <v>81</v>
      </c>
      <c r="S178" s="7" t="s">
        <v>81</v>
      </c>
      <c r="T178" s="7" t="s">
        <v>81</v>
      </c>
      <c r="U178" s="7" t="s">
        <v>148</v>
      </c>
      <c r="V178" s="7" t="s">
        <v>266</v>
      </c>
      <c r="W178" s="6" t="str">
        <f aca="false">IF(COUNTA(B178:V178)=0,"",IF(OR(B178="",C178="",D178="",F178="",G178="",H178="",I178="",L178="",M178=""),"ناقص",IF(AND(ISNUMBER(F178),ISNUMBER(H178)),"OK","السنة/السعر لازم أرقام")))</f>
        <v>OK</v>
      </c>
      <c r="X178" s="6" t="str">
        <f aca="false">IF(B178="","",B178&amp;" "&amp;C178&amp;" "&amp;D178&amp;" "&amp;E178&amp;" "&amp;F178&amp;" "&amp;G178&amp;" "&amp;I178&amp;" "&amp;L178&amp;" "&amp;M178&amp;" سعر "&amp;H178&amp;" جنيه "&amp;U178)</f>
        <v>Peugeot بيجو 308 T9 بيجو 308 T9 2016 مستعمل هاتشباك أوتوماتيك بنزين سعر 800000 جنيه تكييف، زجاج كهربائي، قفل مركزي، ABS، مرايات كهربائية، حساسات ركن خلفية، جنوط ألومنيوم، تحكم في الثبات ESP</v>
      </c>
    </row>
    <row r="179" customFormat="false" ht="35.05" hidden="false" customHeight="false" outlineLevel="0" collapsed="false">
      <c r="A179" s="6" t="s">
        <v>661</v>
      </c>
      <c r="B179" s="7" t="s">
        <v>643</v>
      </c>
      <c r="C179" s="6" t="str">
        <f aca="false">IF(B179="","",IFERROR(INDEX(Lists!$K$2:$K$60,MATCH(B179,Lists!$J$2:$J$60,0)),""))</f>
        <v>بيجو</v>
      </c>
      <c r="D179" s="7" t="s">
        <v>662</v>
      </c>
      <c r="E179" s="7" t="s">
        <v>663</v>
      </c>
      <c r="F179" s="7" t="n">
        <v>2012</v>
      </c>
      <c r="G179" s="7" t="s">
        <v>249</v>
      </c>
      <c r="H179" s="8" t="n">
        <v>700000</v>
      </c>
      <c r="I179" s="7" t="s">
        <v>105</v>
      </c>
      <c r="J179" s="9" t="n">
        <v>1600</v>
      </c>
      <c r="K179" s="7" t="n">
        <v>156</v>
      </c>
      <c r="L179" s="7" t="s">
        <v>78</v>
      </c>
      <c r="M179" s="7" t="s">
        <v>79</v>
      </c>
      <c r="N179" s="7" t="n">
        <v>8</v>
      </c>
      <c r="O179" s="7" t="n">
        <v>5</v>
      </c>
      <c r="P179" s="7" t="s">
        <v>81</v>
      </c>
      <c r="Q179" s="7" t="s">
        <v>80</v>
      </c>
      <c r="R179" s="7" t="s">
        <v>81</v>
      </c>
      <c r="S179" s="7" t="s">
        <v>81</v>
      </c>
      <c r="T179" s="7" t="s">
        <v>81</v>
      </c>
      <c r="U179" s="7" t="s">
        <v>144</v>
      </c>
      <c r="V179" s="7" t="s">
        <v>266</v>
      </c>
      <c r="W179" s="6" t="str">
        <f aca="false">IF(COUNTA(B179:V179)=0,"",IF(OR(B179="",C179="",D179="",F179="",G179="",H179="",I179="",L179="",M179=""),"ناقص",IF(AND(ISNUMBER(F179),ISNUMBER(H179)),"OK","السنة/السعر لازم أرقام")))</f>
        <v>OK</v>
      </c>
      <c r="X179" s="6" t="str">
        <f aca="false">IF(B179="","",B179&amp;" "&amp;C179&amp;" "&amp;D179&amp;" "&amp;E179&amp;" "&amp;F179&amp;" "&amp;G179&amp;" "&amp;I179&amp;" "&amp;L179&amp;" "&amp;M179&amp;" سعر "&amp;H179&amp;" جنيه "&amp;U179)</f>
        <v>Peugeot بيجو 3008 T8 بيجو 3008 T8 2012 مستعمل كروس أوفر أوتوماتيك بنزين سعر 700000 جنيه تكييف، زجاج كهربائي، قفل مركزي، ABS، مرايات كهربائية، حساسات ركن خلفية</v>
      </c>
    </row>
    <row r="180" customFormat="false" ht="46.25" hidden="false" customHeight="false" outlineLevel="0" collapsed="false">
      <c r="A180" s="6" t="s">
        <v>664</v>
      </c>
      <c r="B180" s="7" t="s">
        <v>643</v>
      </c>
      <c r="C180" s="6" t="str">
        <f aca="false">IF(B180="","",IFERROR(INDEX(Lists!$K$2:$K$60,MATCH(B180,Lists!$J$2:$J$60,0)),""))</f>
        <v>بيجو</v>
      </c>
      <c r="D180" s="7" t="s">
        <v>665</v>
      </c>
      <c r="E180" s="7" t="s">
        <v>666</v>
      </c>
      <c r="F180" s="7" t="n">
        <v>2018</v>
      </c>
      <c r="G180" s="7" t="s">
        <v>249</v>
      </c>
      <c r="H180" s="8" t="n">
        <v>1500000</v>
      </c>
      <c r="I180" s="7" t="s">
        <v>105</v>
      </c>
      <c r="J180" s="9" t="n">
        <v>1600</v>
      </c>
      <c r="K180" s="7" t="n">
        <v>165</v>
      </c>
      <c r="L180" s="7" t="s">
        <v>78</v>
      </c>
      <c r="M180" s="7" t="s">
        <v>79</v>
      </c>
      <c r="N180" s="7" t="n">
        <v>7.5</v>
      </c>
      <c r="O180" s="7" t="n">
        <v>5</v>
      </c>
      <c r="P180" s="7" t="s">
        <v>81</v>
      </c>
      <c r="Q180" s="7" t="s">
        <v>81</v>
      </c>
      <c r="R180" s="7" t="s">
        <v>81</v>
      </c>
      <c r="S180" s="7" t="s">
        <v>81</v>
      </c>
      <c r="T180" s="7" t="s">
        <v>81</v>
      </c>
      <c r="U180" s="7" t="s">
        <v>148</v>
      </c>
      <c r="V180" s="7" t="s">
        <v>266</v>
      </c>
      <c r="W180" s="6" t="str">
        <f aca="false">IF(COUNTA(B180:V180)=0,"",IF(OR(B180="",C180="",D180="",F180="",G180="",H180="",I180="",L180="",M180=""),"ناقص",IF(AND(ISNUMBER(F180),ISNUMBER(H180)),"OK","السنة/السعر لازم أرقام")))</f>
        <v>OK</v>
      </c>
      <c r="X180" s="6" t="str">
        <f aca="false">IF(B180="","",B180&amp;" "&amp;C180&amp;" "&amp;D180&amp;" "&amp;E180&amp;" "&amp;F180&amp;" "&amp;G180&amp;" "&amp;I180&amp;" "&amp;L180&amp;" "&amp;M180&amp;" سعر "&amp;H180&amp;" جنيه "&amp;U180)</f>
        <v>Peugeot بيجو 3008 P84 بيجو 3008 P84 2018 مستعمل كروس أوفر أوتوماتيك بنزين سعر 1500000 جنيه تكييف، زجاج كهربائي، قفل مركزي، ABS، مرايات كهربائية، حساسات ركن خلفية، جنوط ألومنيوم، تحكم في الثبات ESP</v>
      </c>
    </row>
    <row r="181" customFormat="false" ht="35.05" hidden="false" customHeight="false" outlineLevel="0" collapsed="false">
      <c r="A181" s="6" t="s">
        <v>667</v>
      </c>
      <c r="B181" s="7" t="s">
        <v>643</v>
      </c>
      <c r="C181" s="6" t="str">
        <f aca="false">IF(B181="","",IFERROR(INDEX(Lists!$K$2:$K$60,MATCH(B181,Lists!$J$2:$J$60,0)),""))</f>
        <v>بيجو</v>
      </c>
      <c r="D181" s="7" t="s">
        <v>668</v>
      </c>
      <c r="E181" s="7" t="s">
        <v>669</v>
      </c>
      <c r="F181" s="7" t="n">
        <v>2016</v>
      </c>
      <c r="G181" s="7" t="s">
        <v>249</v>
      </c>
      <c r="H181" s="8" t="n">
        <v>520000</v>
      </c>
      <c r="I181" s="7" t="s">
        <v>270</v>
      </c>
      <c r="J181" s="9" t="n">
        <v>1200</v>
      </c>
      <c r="K181" s="7" t="n">
        <v>82</v>
      </c>
      <c r="L181" s="7" t="s">
        <v>250</v>
      </c>
      <c r="M181" s="7" t="s">
        <v>79</v>
      </c>
      <c r="N181" s="7" t="n">
        <v>5.5</v>
      </c>
      <c r="O181" s="7" t="n">
        <v>5</v>
      </c>
      <c r="P181" s="7" t="s">
        <v>80</v>
      </c>
      <c r="Q181" s="7" t="s">
        <v>80</v>
      </c>
      <c r="R181" s="7" t="s">
        <v>81</v>
      </c>
      <c r="S181" s="7" t="s">
        <v>80</v>
      </c>
      <c r="T181" s="7" t="s">
        <v>81</v>
      </c>
      <c r="U181" s="7" t="s">
        <v>144</v>
      </c>
      <c r="V181" s="7" t="s">
        <v>266</v>
      </c>
      <c r="W181" s="6" t="str">
        <f aca="false">IF(COUNTA(B181:V181)=0,"",IF(OR(B181="",C181="",D181="",F181="",G181="",H181="",I181="",L181="",M181=""),"ناقص",IF(AND(ISNUMBER(F181),ISNUMBER(H181)),"OK","السنة/السعر لازم أرقام")))</f>
        <v>OK</v>
      </c>
      <c r="X181" s="6" t="str">
        <f aca="false">IF(B181="","",B181&amp;" "&amp;C181&amp;" "&amp;D181&amp;" "&amp;E181&amp;" "&amp;F181&amp;" "&amp;G181&amp;" "&amp;I181&amp;" "&amp;L181&amp;" "&amp;M181&amp;" سعر "&amp;H181&amp;" جنيه "&amp;U181)</f>
        <v>Peugeot بيجو 208 بيجو 208 2016 مستعمل هاتشباك مانيوال بنزين سعر 520000 جنيه تكييف، زجاج كهربائي، قفل مركزي، ABS، مرايات كهربائية، حساسات ركن خلفية</v>
      </c>
    </row>
    <row r="182" customFormat="false" ht="35.05" hidden="false" customHeight="false" outlineLevel="0" collapsed="false">
      <c r="A182" s="6" t="s">
        <v>670</v>
      </c>
      <c r="B182" s="7" t="s">
        <v>643</v>
      </c>
      <c r="C182" s="6" t="str">
        <f aca="false">IF(B182="","",IFERROR(INDEX(Lists!$K$2:$K$60,MATCH(B182,Lists!$J$2:$J$60,0)),""))</f>
        <v>بيجو</v>
      </c>
      <c r="D182" s="7" t="s">
        <v>671</v>
      </c>
      <c r="E182" s="7" t="s">
        <v>672</v>
      </c>
      <c r="F182" s="7" t="n">
        <v>2017</v>
      </c>
      <c r="G182" s="7" t="s">
        <v>249</v>
      </c>
      <c r="H182" s="8" t="n">
        <v>880000</v>
      </c>
      <c r="I182" s="7" t="s">
        <v>105</v>
      </c>
      <c r="J182" s="9" t="n">
        <v>1200</v>
      </c>
      <c r="K182" s="7" t="n">
        <v>110</v>
      </c>
      <c r="L182" s="7" t="s">
        <v>78</v>
      </c>
      <c r="M182" s="7" t="s">
        <v>79</v>
      </c>
      <c r="N182" s="7" t="n">
        <v>6</v>
      </c>
      <c r="O182" s="7" t="n">
        <v>5</v>
      </c>
      <c r="P182" s="7" t="s">
        <v>80</v>
      </c>
      <c r="Q182" s="7" t="s">
        <v>80</v>
      </c>
      <c r="R182" s="7" t="s">
        <v>81</v>
      </c>
      <c r="S182" s="7" t="s">
        <v>80</v>
      </c>
      <c r="T182" s="7" t="s">
        <v>81</v>
      </c>
      <c r="U182" s="7" t="s">
        <v>144</v>
      </c>
      <c r="V182" s="7" t="s">
        <v>266</v>
      </c>
      <c r="W182" s="6" t="str">
        <f aca="false">IF(COUNTA(B182:V182)=0,"",IF(OR(B182="",C182="",D182="",F182="",G182="",H182="",I182="",L182="",M182=""),"ناقص",IF(AND(ISNUMBER(F182),ISNUMBER(H182)),"OK","السنة/السعر لازم أرقام")))</f>
        <v>OK</v>
      </c>
      <c r="X182" s="6" t="str">
        <f aca="false">IF(B182="","",B182&amp;" "&amp;C182&amp;" "&amp;D182&amp;" "&amp;E182&amp;" "&amp;F182&amp;" "&amp;G182&amp;" "&amp;I182&amp;" "&amp;L182&amp;" "&amp;M182&amp;" سعر "&amp;H182&amp;" جنيه "&amp;U182)</f>
        <v>Peugeot بيجو 2008 بيجو 2008 2017 مستعمل كروس أوفر أوتوماتيك بنزين سعر 880000 جنيه تكييف، زجاج كهربائي، قفل مركزي، ABS، مرايات كهربائية، حساسات ركن خلفية</v>
      </c>
    </row>
    <row r="183" customFormat="false" ht="35.05" hidden="false" customHeight="false" outlineLevel="0" collapsed="false">
      <c r="A183" s="6" t="s">
        <v>673</v>
      </c>
      <c r="B183" s="7" t="s">
        <v>674</v>
      </c>
      <c r="C183" s="6" t="str">
        <f aca="false">IF(B183="","",IFERROR(INDEX(Lists!$K$2:$K$60,MATCH(B183,Lists!$J$2:$J$60,0)),""))</f>
        <v>ستروين</v>
      </c>
      <c r="D183" s="7" t="s">
        <v>675</v>
      </c>
      <c r="E183" s="7" t="s">
        <v>676</v>
      </c>
      <c r="F183" s="7" t="n">
        <v>2015</v>
      </c>
      <c r="G183" s="7" t="s">
        <v>249</v>
      </c>
      <c r="H183" s="8" t="n">
        <v>420000</v>
      </c>
      <c r="I183" s="7" t="s">
        <v>270</v>
      </c>
      <c r="J183" s="9" t="n">
        <v>1200</v>
      </c>
      <c r="K183" s="7" t="n">
        <v>82</v>
      </c>
      <c r="L183" s="7" t="s">
        <v>250</v>
      </c>
      <c r="M183" s="7" t="s">
        <v>79</v>
      </c>
      <c r="N183" s="7" t="n">
        <v>5.8</v>
      </c>
      <c r="O183" s="7" t="n">
        <v>5</v>
      </c>
      <c r="P183" s="7" t="s">
        <v>80</v>
      </c>
      <c r="Q183" s="7" t="s">
        <v>80</v>
      </c>
      <c r="R183" s="7" t="s">
        <v>80</v>
      </c>
      <c r="S183" s="7" t="s">
        <v>80</v>
      </c>
      <c r="T183" s="7" t="s">
        <v>80</v>
      </c>
      <c r="U183" s="7" t="s">
        <v>256</v>
      </c>
      <c r="V183" s="7" t="s">
        <v>266</v>
      </c>
      <c r="W183" s="6" t="str">
        <f aca="false">IF(COUNTA(B183:V183)=0,"",IF(OR(B183="",C183="",D183="",F183="",G183="",H183="",I183="",L183="",M183=""),"ناقص",IF(AND(ISNUMBER(F183),ISNUMBER(H183)),"OK","السنة/السعر لازم أرقام")))</f>
        <v>OK</v>
      </c>
      <c r="X183" s="6" t="str">
        <f aca="false">IF(B183="","",B183&amp;" "&amp;C183&amp;" "&amp;D183&amp;" "&amp;E183&amp;" "&amp;F183&amp;" "&amp;G183&amp;" "&amp;I183&amp;" "&amp;L183&amp;" "&amp;M183&amp;" سعر "&amp;H183&amp;" جنيه "&amp;U183)</f>
        <v>Citroen ستروين C3 ستروين C3 2015 مستعمل هاتشباك مانيوال بنزين سعر 420000 جنيه تكييف، زجاج كهربائي، قفل مركزي، ABS</v>
      </c>
    </row>
    <row r="184" customFormat="false" ht="35.05" hidden="false" customHeight="false" outlineLevel="0" collapsed="false">
      <c r="A184" s="6" t="s">
        <v>677</v>
      </c>
      <c r="B184" s="7" t="s">
        <v>674</v>
      </c>
      <c r="C184" s="6" t="str">
        <f aca="false">IF(B184="","",IFERROR(INDEX(Lists!$K$2:$K$60,MATCH(B184,Lists!$J$2:$J$60,0)),""))</f>
        <v>ستروين</v>
      </c>
      <c r="D184" s="7" t="s">
        <v>678</v>
      </c>
      <c r="E184" s="7" t="s">
        <v>679</v>
      </c>
      <c r="F184" s="7" t="n">
        <v>2016</v>
      </c>
      <c r="G184" s="7" t="s">
        <v>249</v>
      </c>
      <c r="H184" s="8" t="n">
        <v>450000</v>
      </c>
      <c r="I184" s="7" t="s">
        <v>77</v>
      </c>
      <c r="J184" s="9" t="n">
        <v>1600</v>
      </c>
      <c r="K184" s="7" t="n">
        <v>115</v>
      </c>
      <c r="L184" s="7" t="s">
        <v>78</v>
      </c>
      <c r="M184" s="7" t="s">
        <v>79</v>
      </c>
      <c r="N184" s="7" t="n">
        <v>7.5</v>
      </c>
      <c r="O184" s="7" t="n">
        <v>5</v>
      </c>
      <c r="P184" s="7" t="s">
        <v>80</v>
      </c>
      <c r="Q184" s="7" t="s">
        <v>80</v>
      </c>
      <c r="R184" s="7" t="s">
        <v>80</v>
      </c>
      <c r="S184" s="7" t="s">
        <v>80</v>
      </c>
      <c r="T184" s="7" t="s">
        <v>81</v>
      </c>
      <c r="U184" s="7" t="s">
        <v>256</v>
      </c>
      <c r="V184" s="7" t="s">
        <v>266</v>
      </c>
      <c r="W184" s="6" t="str">
        <f aca="false">IF(COUNTA(B184:V184)=0,"",IF(OR(B184="",C184="",D184="",F184="",G184="",H184="",I184="",L184="",M184=""),"ناقص",IF(AND(ISNUMBER(F184),ISNUMBER(H184)),"OK","السنة/السعر لازم أرقام")))</f>
        <v>OK</v>
      </c>
      <c r="X184" s="6" t="str">
        <f aca="false">IF(B184="","",B184&amp;" "&amp;C184&amp;" "&amp;D184&amp;" "&amp;E184&amp;" "&amp;F184&amp;" "&amp;G184&amp;" "&amp;I184&amp;" "&amp;L184&amp;" "&amp;M184&amp;" سعر "&amp;H184&amp;" جنيه "&amp;U184)</f>
        <v>Citroen ستروين C-Elysee ستروين سي إليزيه 2016 مستعمل سيدان أوتوماتيك بنزين سعر 450000 جنيه تكييف، زجاج كهربائي، قفل مركزي، ABS</v>
      </c>
    </row>
    <row r="185" customFormat="false" ht="35.05" hidden="false" customHeight="false" outlineLevel="0" collapsed="false">
      <c r="A185" s="6" t="s">
        <v>680</v>
      </c>
      <c r="B185" s="7" t="s">
        <v>674</v>
      </c>
      <c r="C185" s="6" t="str">
        <f aca="false">IF(B185="","",IFERROR(INDEX(Lists!$K$2:$K$60,MATCH(B185,Lists!$J$2:$J$60,0)),""))</f>
        <v>ستروين</v>
      </c>
      <c r="D185" s="7" t="s">
        <v>681</v>
      </c>
      <c r="E185" s="7" t="s">
        <v>682</v>
      </c>
      <c r="F185" s="7" t="n">
        <v>2010</v>
      </c>
      <c r="G185" s="7" t="s">
        <v>249</v>
      </c>
      <c r="H185" s="8" t="n">
        <v>380000</v>
      </c>
      <c r="I185" s="7" t="s">
        <v>270</v>
      </c>
      <c r="J185" s="9" t="n">
        <v>1600</v>
      </c>
      <c r="K185" s="7" t="n">
        <v>120</v>
      </c>
      <c r="L185" s="7" t="s">
        <v>78</v>
      </c>
      <c r="M185" s="7" t="s">
        <v>79</v>
      </c>
      <c r="N185" s="7" t="n">
        <v>8</v>
      </c>
      <c r="O185" s="7" t="n">
        <v>5</v>
      </c>
      <c r="P185" s="7" t="s">
        <v>80</v>
      </c>
      <c r="Q185" s="7" t="s">
        <v>80</v>
      </c>
      <c r="R185" s="7" t="s">
        <v>80</v>
      </c>
      <c r="S185" s="7" t="s">
        <v>80</v>
      </c>
      <c r="T185" s="7" t="s">
        <v>80</v>
      </c>
      <c r="U185" s="7" t="s">
        <v>256</v>
      </c>
      <c r="V185" s="7" t="s">
        <v>266</v>
      </c>
      <c r="W185" s="6" t="str">
        <f aca="false">IF(COUNTA(B185:V185)=0,"",IF(OR(B185="",C185="",D185="",F185="",G185="",H185="",I185="",L185="",M185=""),"ناقص",IF(AND(ISNUMBER(F185),ISNUMBER(H185)),"OK","السنة/السعر لازم أرقام")))</f>
        <v>OK</v>
      </c>
      <c r="X185" s="6" t="str">
        <f aca="false">IF(B185="","",B185&amp;" "&amp;C185&amp;" "&amp;D185&amp;" "&amp;E185&amp;" "&amp;F185&amp;" "&amp;G185&amp;" "&amp;I185&amp;" "&amp;L185&amp;" "&amp;M185&amp;" سعر "&amp;H185&amp;" جنيه "&amp;U185)</f>
        <v>Citroen ستروين C4 ستروين C4 2010 مستعمل هاتشباك أوتوماتيك بنزين سعر 380000 جنيه تكييف، زجاج كهربائي، قفل مركزي، ABS</v>
      </c>
    </row>
    <row r="186" customFormat="false" ht="46.25" hidden="false" customHeight="false" outlineLevel="0" collapsed="false">
      <c r="A186" s="6" t="s">
        <v>683</v>
      </c>
      <c r="B186" s="7" t="s">
        <v>674</v>
      </c>
      <c r="C186" s="6" t="str">
        <f aca="false">IF(B186="","",IFERROR(INDEX(Lists!$K$2:$K$60,MATCH(B186,Lists!$J$2:$J$60,0)),""))</f>
        <v>ستروين</v>
      </c>
      <c r="D186" s="7" t="s">
        <v>684</v>
      </c>
      <c r="E186" s="7" t="s">
        <v>685</v>
      </c>
      <c r="F186" s="7" t="n">
        <v>2021</v>
      </c>
      <c r="G186" s="7" t="s">
        <v>249</v>
      </c>
      <c r="H186" s="8" t="n">
        <v>1700000</v>
      </c>
      <c r="I186" s="7" t="s">
        <v>105</v>
      </c>
      <c r="J186" s="9" t="n">
        <v>1600</v>
      </c>
      <c r="K186" s="7" t="n">
        <v>180</v>
      </c>
      <c r="L186" s="7" t="s">
        <v>78</v>
      </c>
      <c r="M186" s="7" t="s">
        <v>79</v>
      </c>
      <c r="N186" s="7" t="n">
        <v>7</v>
      </c>
      <c r="O186" s="7" t="n">
        <v>5</v>
      </c>
      <c r="P186" s="7" t="s">
        <v>81</v>
      </c>
      <c r="Q186" s="7" t="s">
        <v>81</v>
      </c>
      <c r="R186" s="7" t="s">
        <v>81</v>
      </c>
      <c r="S186" s="7" t="s">
        <v>81</v>
      </c>
      <c r="T186" s="7" t="s">
        <v>81</v>
      </c>
      <c r="U186" s="7" t="s">
        <v>148</v>
      </c>
      <c r="V186" s="7" t="s">
        <v>266</v>
      </c>
      <c r="W186" s="6" t="str">
        <f aca="false">IF(COUNTA(B186:V186)=0,"",IF(OR(B186="",C186="",D186="",F186="",G186="",H186="",I186="",L186="",M186=""),"ناقص",IF(AND(ISNUMBER(F186),ISNUMBER(H186)),"OK","السنة/السعر لازم أرقام")))</f>
        <v>OK</v>
      </c>
      <c r="X186" s="6" t="str">
        <f aca="false">IF(B186="","",B186&amp;" "&amp;C186&amp;" "&amp;D186&amp;" "&amp;E186&amp;" "&amp;F186&amp;" "&amp;G186&amp;" "&amp;I186&amp;" "&amp;L186&amp;" "&amp;M186&amp;" سعر "&amp;H186&amp;" جنيه "&amp;U186)</f>
        <v>Citroen ستروين C5 Aircross ستروين سي 5 إيركروس 2021 مستعمل كروس أوفر أوتوماتيك بنزين سعر 1700000 جنيه تكييف، زجاج كهربائي، قفل مركزي، ABS، مرايات كهربائية، حساسات ركن خلفية، جنوط ألومنيوم، تحكم في الثبات ESP</v>
      </c>
    </row>
    <row r="187" customFormat="false" ht="35.05" hidden="false" customHeight="false" outlineLevel="0" collapsed="false">
      <c r="A187" s="6" t="s">
        <v>686</v>
      </c>
      <c r="B187" s="7" t="s">
        <v>687</v>
      </c>
      <c r="C187" s="6" t="str">
        <f aca="false">IF(B187="","",IFERROR(INDEX(Lists!$K$2:$K$60,MATCH(B187,Lists!$J$2:$J$60,0)),""))</f>
        <v>فيات</v>
      </c>
      <c r="D187" s="7" t="s">
        <v>688</v>
      </c>
      <c r="E187" s="7" t="s">
        <v>689</v>
      </c>
      <c r="F187" s="7" t="n">
        <v>1988</v>
      </c>
      <c r="G187" s="7" t="s">
        <v>249</v>
      </c>
      <c r="H187" s="8" t="n">
        <v>110000</v>
      </c>
      <c r="I187" s="7" t="s">
        <v>77</v>
      </c>
      <c r="J187" s="9" t="n">
        <v>1100</v>
      </c>
      <c r="K187" s="7" t="n">
        <v>55</v>
      </c>
      <c r="L187" s="7" t="s">
        <v>250</v>
      </c>
      <c r="M187" s="7" t="s">
        <v>79</v>
      </c>
      <c r="N187" s="7" t="n">
        <v>8</v>
      </c>
      <c r="O187" s="7" t="n">
        <v>5</v>
      </c>
      <c r="P187" s="7" t="s">
        <v>80</v>
      </c>
      <c r="Q187" s="7" t="s">
        <v>80</v>
      </c>
      <c r="R187" s="7" t="s">
        <v>80</v>
      </c>
      <c r="S187" s="7" t="s">
        <v>80</v>
      </c>
      <c r="T187" s="7" t="s">
        <v>80</v>
      </c>
      <c r="U187" s="7" t="s">
        <v>251</v>
      </c>
      <c r="V187" s="7" t="s">
        <v>266</v>
      </c>
      <c r="W187" s="6" t="str">
        <f aca="false">IF(COUNTA(B187:V187)=0,"",IF(OR(B187="",C187="",D187="",F187="",G187="",H187="",I187="",L187="",M187=""),"ناقص",IF(AND(ISNUMBER(F187),ISNUMBER(H187)),"OK","السنة/السعر لازم أرقام")))</f>
        <v>OK</v>
      </c>
      <c r="X187" s="6" t="str">
        <f aca="false">IF(B187="","",B187&amp;" "&amp;C187&amp;" "&amp;D187&amp;" "&amp;E187&amp;" "&amp;F187&amp;" "&amp;G187&amp;" "&amp;I187&amp;" "&amp;L187&amp;" "&amp;M187&amp;" سعر "&amp;H187&amp;" جنيه "&amp;U187)</f>
        <v>Fiat فيات 128 فيات 128 1988 مستعمل سيدان مانيوال بنزين سعر 110000 جنيه تكييف، زجاج كهربائي، قفل مركزي</v>
      </c>
    </row>
    <row r="188" customFormat="false" ht="35.05" hidden="false" customHeight="false" outlineLevel="0" collapsed="false">
      <c r="A188" s="6" t="s">
        <v>690</v>
      </c>
      <c r="B188" s="7" t="s">
        <v>687</v>
      </c>
      <c r="C188" s="6" t="str">
        <f aca="false">IF(B188="","",IFERROR(INDEX(Lists!$K$2:$K$60,MATCH(B188,Lists!$J$2:$J$60,0)),""))</f>
        <v>فيات</v>
      </c>
      <c r="D188" s="7" t="s">
        <v>691</v>
      </c>
      <c r="E188" s="7" t="s">
        <v>692</v>
      </c>
      <c r="F188" s="7" t="n">
        <v>1995</v>
      </c>
      <c r="G188" s="7" t="s">
        <v>249</v>
      </c>
      <c r="H188" s="8" t="n">
        <v>130000</v>
      </c>
      <c r="I188" s="7" t="s">
        <v>77</v>
      </c>
      <c r="J188" s="9" t="n">
        <v>1600</v>
      </c>
      <c r="K188" s="7" t="n">
        <v>80</v>
      </c>
      <c r="L188" s="7" t="s">
        <v>250</v>
      </c>
      <c r="M188" s="7" t="s">
        <v>79</v>
      </c>
      <c r="N188" s="7" t="n">
        <v>9</v>
      </c>
      <c r="O188" s="7" t="n">
        <v>5</v>
      </c>
      <c r="P188" s="7" t="s">
        <v>80</v>
      </c>
      <c r="Q188" s="7" t="s">
        <v>80</v>
      </c>
      <c r="R188" s="7" t="s">
        <v>80</v>
      </c>
      <c r="S188" s="7" t="s">
        <v>80</v>
      </c>
      <c r="T188" s="7" t="s">
        <v>80</v>
      </c>
      <c r="U188" s="7" t="s">
        <v>251</v>
      </c>
      <c r="V188" s="7" t="s">
        <v>266</v>
      </c>
      <c r="W188" s="6" t="str">
        <f aca="false">IF(COUNTA(B188:V188)=0,"",IF(OR(B188="",C188="",D188="",F188="",G188="",H188="",I188="",L188="",M188=""),"ناقص",IF(AND(ISNUMBER(F188),ISNUMBER(H188)),"OK","السنة/السعر لازم أرقام")))</f>
        <v>OK</v>
      </c>
      <c r="X188" s="6" t="str">
        <f aca="false">IF(B188="","",B188&amp;" "&amp;C188&amp;" "&amp;D188&amp;" "&amp;E188&amp;" "&amp;F188&amp;" "&amp;G188&amp;" "&amp;I188&amp;" "&amp;L188&amp;" "&amp;M188&amp;" سعر "&amp;H188&amp;" جنيه "&amp;U188)</f>
        <v>Fiat فيات Shahin فيات شاهين 1995 مستعمل سيدان مانيوال بنزين سعر 130000 جنيه تكييف، زجاج كهربائي، قفل مركزي</v>
      </c>
    </row>
    <row r="189" customFormat="false" ht="35.05" hidden="false" customHeight="false" outlineLevel="0" collapsed="false">
      <c r="A189" s="6" t="s">
        <v>693</v>
      </c>
      <c r="B189" s="7" t="s">
        <v>687</v>
      </c>
      <c r="C189" s="6" t="str">
        <f aca="false">IF(B189="","",IFERROR(INDEX(Lists!$K$2:$K$60,MATCH(B189,Lists!$J$2:$J$60,0)),""))</f>
        <v>فيات</v>
      </c>
      <c r="D189" s="7" t="s">
        <v>694</v>
      </c>
      <c r="E189" s="7" t="s">
        <v>695</v>
      </c>
      <c r="F189" s="7" t="n">
        <v>2018</v>
      </c>
      <c r="G189" s="7" t="s">
        <v>249</v>
      </c>
      <c r="H189" s="8" t="n">
        <v>600000</v>
      </c>
      <c r="I189" s="7" t="s">
        <v>77</v>
      </c>
      <c r="J189" s="9" t="n">
        <v>1600</v>
      </c>
      <c r="K189" s="7" t="n">
        <v>110</v>
      </c>
      <c r="L189" s="7" t="s">
        <v>78</v>
      </c>
      <c r="M189" s="7" t="s">
        <v>79</v>
      </c>
      <c r="N189" s="7" t="n">
        <v>7</v>
      </c>
      <c r="O189" s="7" t="n">
        <v>5</v>
      </c>
      <c r="P189" s="7" t="s">
        <v>80</v>
      </c>
      <c r="Q189" s="7" t="s">
        <v>80</v>
      </c>
      <c r="R189" s="7" t="s">
        <v>81</v>
      </c>
      <c r="S189" s="7" t="s">
        <v>80</v>
      </c>
      <c r="T189" s="7" t="s">
        <v>81</v>
      </c>
      <c r="U189" s="7" t="s">
        <v>144</v>
      </c>
      <c r="V189" s="7" t="s">
        <v>266</v>
      </c>
      <c r="W189" s="6" t="str">
        <f aca="false">IF(COUNTA(B189:V189)=0,"",IF(OR(B189="",C189="",D189="",F189="",G189="",H189="",I189="",L189="",M189=""),"ناقص",IF(AND(ISNUMBER(F189),ISNUMBER(H189)),"OK","السنة/السعر لازم أرقام")))</f>
        <v>OK</v>
      </c>
      <c r="X189" s="6" t="str">
        <f aca="false">IF(B189="","",B189&amp;" "&amp;C189&amp;" "&amp;D189&amp;" "&amp;E189&amp;" "&amp;F189&amp;" "&amp;G189&amp;" "&amp;I189&amp;" "&amp;L189&amp;" "&amp;M189&amp;" سعر "&amp;H189&amp;" جنيه "&amp;U189)</f>
        <v>Fiat فيات Tipo فيات تيبو 2018 مستعمل سيدان أوتوماتيك بنزين سعر 600000 جنيه تكييف، زجاج كهربائي، قفل مركزي، ABS، مرايات كهربائية، حساسات ركن خلفية</v>
      </c>
    </row>
    <row r="190" customFormat="false" ht="35.05" hidden="false" customHeight="false" outlineLevel="0" collapsed="false">
      <c r="A190" s="6" t="s">
        <v>696</v>
      </c>
      <c r="B190" s="7" t="s">
        <v>687</v>
      </c>
      <c r="C190" s="6" t="str">
        <f aca="false">IF(B190="","",IFERROR(INDEX(Lists!$K$2:$K$60,MATCH(B190,Lists!$J$2:$J$60,0)),""))</f>
        <v>فيات</v>
      </c>
      <c r="D190" s="7" t="s">
        <v>697</v>
      </c>
      <c r="E190" s="7" t="s">
        <v>698</v>
      </c>
      <c r="F190" s="7" t="n">
        <v>2010</v>
      </c>
      <c r="G190" s="7" t="s">
        <v>249</v>
      </c>
      <c r="H190" s="8" t="n">
        <v>280000</v>
      </c>
      <c r="I190" s="7" t="s">
        <v>270</v>
      </c>
      <c r="J190" s="9" t="n">
        <v>1400</v>
      </c>
      <c r="K190" s="7" t="n">
        <v>77</v>
      </c>
      <c r="L190" s="7" t="s">
        <v>250</v>
      </c>
      <c r="M190" s="7" t="s">
        <v>79</v>
      </c>
      <c r="N190" s="7" t="n">
        <v>6.5</v>
      </c>
      <c r="O190" s="7" t="n">
        <v>5</v>
      </c>
      <c r="P190" s="7" t="s">
        <v>80</v>
      </c>
      <c r="Q190" s="7" t="s">
        <v>80</v>
      </c>
      <c r="R190" s="7" t="s">
        <v>80</v>
      </c>
      <c r="S190" s="7" t="s">
        <v>80</v>
      </c>
      <c r="T190" s="7" t="s">
        <v>80</v>
      </c>
      <c r="U190" s="7" t="s">
        <v>256</v>
      </c>
      <c r="V190" s="7" t="s">
        <v>266</v>
      </c>
      <c r="W190" s="6" t="str">
        <f aca="false">IF(COUNTA(B190:V190)=0,"",IF(OR(B190="",C190="",D190="",F190="",G190="",H190="",I190="",L190="",M190=""),"ناقص",IF(AND(ISNUMBER(F190),ISNUMBER(H190)),"OK","السنة/السعر لازم أرقام")))</f>
        <v>OK</v>
      </c>
      <c r="X190" s="6" t="str">
        <f aca="false">IF(B190="","",B190&amp;" "&amp;C190&amp;" "&amp;D190&amp;" "&amp;E190&amp;" "&amp;F190&amp;" "&amp;G190&amp;" "&amp;I190&amp;" "&amp;L190&amp;" "&amp;M190&amp;" سعر "&amp;H190&amp;" جنيه "&amp;U190)</f>
        <v>Fiat فيات Punto فيات بونتو 2010 مستعمل هاتشباك مانيوال بنزين سعر 280000 جنيه تكييف، زجاج كهربائي، قفل مركزي، ABS</v>
      </c>
    </row>
    <row r="191" customFormat="false" ht="35.05" hidden="false" customHeight="false" outlineLevel="0" collapsed="false">
      <c r="A191" s="6" t="s">
        <v>699</v>
      </c>
      <c r="B191" s="7" t="s">
        <v>687</v>
      </c>
      <c r="C191" s="6" t="str">
        <f aca="false">IF(B191="","",IFERROR(INDEX(Lists!$K$2:$K$60,MATCH(B191,Lists!$J$2:$J$60,0)),""))</f>
        <v>فيات</v>
      </c>
      <c r="D191" s="7" t="s">
        <v>700</v>
      </c>
      <c r="E191" s="7" t="s">
        <v>701</v>
      </c>
      <c r="F191" s="7" t="n">
        <v>2012</v>
      </c>
      <c r="G191" s="7" t="s">
        <v>249</v>
      </c>
      <c r="H191" s="8" t="n">
        <v>350000</v>
      </c>
      <c r="I191" s="7" t="s">
        <v>77</v>
      </c>
      <c r="J191" s="9" t="n">
        <v>1400</v>
      </c>
      <c r="K191" s="7" t="n">
        <v>90</v>
      </c>
      <c r="L191" s="7" t="s">
        <v>250</v>
      </c>
      <c r="M191" s="7" t="s">
        <v>79</v>
      </c>
      <c r="N191" s="7" t="n">
        <v>7.5</v>
      </c>
      <c r="O191" s="7" t="n">
        <v>5</v>
      </c>
      <c r="P191" s="7" t="s">
        <v>80</v>
      </c>
      <c r="Q191" s="7" t="s">
        <v>80</v>
      </c>
      <c r="R191" s="7" t="s">
        <v>80</v>
      </c>
      <c r="S191" s="7" t="s">
        <v>80</v>
      </c>
      <c r="T191" s="7" t="s">
        <v>80</v>
      </c>
      <c r="U191" s="7" t="s">
        <v>256</v>
      </c>
      <c r="V191" s="7" t="s">
        <v>266</v>
      </c>
      <c r="W191" s="6" t="str">
        <f aca="false">IF(COUNTA(B191:V191)=0,"",IF(OR(B191="",C191="",D191="",F191="",G191="",H191="",I191="",L191="",M191=""),"ناقص",IF(AND(ISNUMBER(F191),ISNUMBER(H191)),"OK","السنة/السعر لازم أرقام")))</f>
        <v>OK</v>
      </c>
      <c r="X191" s="6" t="str">
        <f aca="false">IF(B191="","",B191&amp;" "&amp;C191&amp;" "&amp;D191&amp;" "&amp;E191&amp;" "&amp;F191&amp;" "&amp;G191&amp;" "&amp;I191&amp;" "&amp;L191&amp;" "&amp;M191&amp;" سعر "&amp;H191&amp;" جنيه "&amp;U191)</f>
        <v>Fiat فيات Linea فيات لينيا 2012 مستعمل سيدان مانيوال بنزين سعر 350000 جنيه تكييف، زجاج كهربائي، قفل مركزي، ABS</v>
      </c>
    </row>
    <row r="192" customFormat="false" ht="35.05" hidden="false" customHeight="false" outlineLevel="0" collapsed="false">
      <c r="A192" s="6" t="s">
        <v>702</v>
      </c>
      <c r="B192" s="7" t="s">
        <v>687</v>
      </c>
      <c r="C192" s="6" t="str">
        <f aca="false">IF(B192="","",IFERROR(INDEX(Lists!$K$2:$K$60,MATCH(B192,Lists!$J$2:$J$60,0)),""))</f>
        <v>فيات</v>
      </c>
      <c r="D192" s="7" t="s">
        <v>703</v>
      </c>
      <c r="E192" s="7" t="s">
        <v>704</v>
      </c>
      <c r="F192" s="7" t="n">
        <v>1996</v>
      </c>
      <c r="G192" s="7" t="s">
        <v>249</v>
      </c>
      <c r="H192" s="8" t="n">
        <v>100000</v>
      </c>
      <c r="I192" s="7" t="s">
        <v>270</v>
      </c>
      <c r="J192" s="9" t="n">
        <v>1100</v>
      </c>
      <c r="K192" s="7" t="n">
        <v>55</v>
      </c>
      <c r="L192" s="7" t="s">
        <v>250</v>
      </c>
      <c r="M192" s="7" t="s">
        <v>79</v>
      </c>
      <c r="N192" s="7" t="n">
        <v>6.5</v>
      </c>
      <c r="O192" s="7" t="n">
        <v>5</v>
      </c>
      <c r="P192" s="7" t="s">
        <v>80</v>
      </c>
      <c r="Q192" s="7" t="s">
        <v>80</v>
      </c>
      <c r="R192" s="7" t="s">
        <v>80</v>
      </c>
      <c r="S192" s="7" t="s">
        <v>80</v>
      </c>
      <c r="T192" s="7" t="s">
        <v>80</v>
      </c>
      <c r="U192" s="7" t="s">
        <v>251</v>
      </c>
      <c r="V192" s="7" t="s">
        <v>266</v>
      </c>
      <c r="W192" s="6" t="str">
        <f aca="false">IF(COUNTA(B192:V192)=0,"",IF(OR(B192="",C192="",D192="",F192="",G192="",H192="",I192="",L192="",M192=""),"ناقص",IF(AND(ISNUMBER(F192),ISNUMBER(H192)),"OK","السنة/السعر لازم أرقام")))</f>
        <v>OK</v>
      </c>
      <c r="X192" s="6" t="str">
        <f aca="false">IF(B192="","",B192&amp;" "&amp;C192&amp;" "&amp;D192&amp;" "&amp;E192&amp;" "&amp;F192&amp;" "&amp;G192&amp;" "&amp;I192&amp;" "&amp;L192&amp;" "&amp;M192&amp;" سعر "&amp;H192&amp;" جنيه "&amp;U192)</f>
        <v>Fiat فيات Uno فيات أونو 1996 مستعمل هاتشباك مانيوال بنزين سعر 100000 جنيه تكييف، زجاج كهربائي، قفل مركزي</v>
      </c>
    </row>
    <row r="193" customFormat="false" ht="35.05" hidden="false" customHeight="false" outlineLevel="0" collapsed="false">
      <c r="A193" s="6" t="s">
        <v>705</v>
      </c>
      <c r="B193" s="7" t="s">
        <v>687</v>
      </c>
      <c r="C193" s="6" t="str">
        <f aca="false">IF(B193="","",IFERROR(INDEX(Lists!$K$2:$K$60,MATCH(B193,Lists!$J$2:$J$60,0)),""))</f>
        <v>فيات</v>
      </c>
      <c r="D193" s="7" t="s">
        <v>706</v>
      </c>
      <c r="E193" s="7" t="s">
        <v>707</v>
      </c>
      <c r="F193" s="7" t="n">
        <v>2008</v>
      </c>
      <c r="G193" s="7" t="s">
        <v>249</v>
      </c>
      <c r="H193" s="8" t="n">
        <v>200000</v>
      </c>
      <c r="I193" s="7" t="s">
        <v>270</v>
      </c>
      <c r="J193" s="9" t="n">
        <v>1400</v>
      </c>
      <c r="K193" s="7" t="n">
        <v>85</v>
      </c>
      <c r="L193" s="7" t="s">
        <v>250</v>
      </c>
      <c r="M193" s="7" t="s">
        <v>79</v>
      </c>
      <c r="N193" s="7" t="n">
        <v>7</v>
      </c>
      <c r="O193" s="7" t="n">
        <v>5</v>
      </c>
      <c r="P193" s="7" t="s">
        <v>80</v>
      </c>
      <c r="Q193" s="7" t="s">
        <v>80</v>
      </c>
      <c r="R193" s="7" t="s">
        <v>80</v>
      </c>
      <c r="S193" s="7" t="s">
        <v>80</v>
      </c>
      <c r="T193" s="7" t="s">
        <v>80</v>
      </c>
      <c r="U193" s="7" t="s">
        <v>251</v>
      </c>
      <c r="V193" s="7" t="s">
        <v>266</v>
      </c>
      <c r="W193" s="6" t="str">
        <f aca="false">IF(COUNTA(B193:V193)=0,"",IF(OR(B193="",C193="",D193="",F193="",G193="",H193="",I193="",L193="",M193=""),"ناقص",IF(AND(ISNUMBER(F193),ISNUMBER(H193)),"OK","السنة/السعر لازم أرقام")))</f>
        <v>OK</v>
      </c>
      <c r="X193" s="6" t="str">
        <f aca="false">IF(B193="","",B193&amp;" "&amp;C193&amp;" "&amp;D193&amp;" "&amp;E193&amp;" "&amp;F193&amp;" "&amp;G193&amp;" "&amp;I193&amp;" "&amp;L193&amp;" "&amp;M193&amp;" سعر "&amp;H193&amp;" جنيه "&amp;U193)</f>
        <v>Fiat فيات Palio فيات باليو 2008 مستعمل هاتشباك مانيوال بنزين سعر 200000 جنيه تكييف، زجاج كهربائي، قفل مركزي</v>
      </c>
    </row>
    <row r="194" customFormat="false" ht="35.05" hidden="false" customHeight="false" outlineLevel="0" collapsed="false">
      <c r="A194" s="6" t="s">
        <v>708</v>
      </c>
      <c r="B194" s="7" t="s">
        <v>687</v>
      </c>
      <c r="C194" s="6" t="str">
        <f aca="false">IF(B194="","",IFERROR(INDEX(Lists!$K$2:$K$60,MATCH(B194,Lists!$J$2:$J$60,0)),""))</f>
        <v>فيات</v>
      </c>
      <c r="D194" s="7" t="s">
        <v>709</v>
      </c>
      <c r="E194" s="7" t="s">
        <v>710</v>
      </c>
      <c r="F194" s="7" t="n">
        <v>2014</v>
      </c>
      <c r="G194" s="7" t="s">
        <v>249</v>
      </c>
      <c r="H194" s="8" t="n">
        <v>420000</v>
      </c>
      <c r="I194" s="7" t="s">
        <v>159</v>
      </c>
      <c r="J194" s="9" t="n">
        <v>1400</v>
      </c>
      <c r="K194" s="7" t="n">
        <v>95</v>
      </c>
      <c r="L194" s="7" t="s">
        <v>250</v>
      </c>
      <c r="M194" s="7" t="s">
        <v>79</v>
      </c>
      <c r="N194" s="7" t="n">
        <v>7.5</v>
      </c>
      <c r="O194" s="7" t="n">
        <v>5</v>
      </c>
      <c r="P194" s="7" t="s">
        <v>80</v>
      </c>
      <c r="Q194" s="7" t="s">
        <v>80</v>
      </c>
      <c r="R194" s="7" t="s">
        <v>80</v>
      </c>
      <c r="S194" s="7" t="s">
        <v>80</v>
      </c>
      <c r="T194" s="7" t="s">
        <v>80</v>
      </c>
      <c r="U194" s="7" t="s">
        <v>256</v>
      </c>
      <c r="V194" s="7" t="s">
        <v>266</v>
      </c>
      <c r="W194" s="6" t="str">
        <f aca="false">IF(COUNTA(B194:V194)=0,"",IF(OR(B194="",C194="",D194="",F194="",G194="",H194="",I194="",L194="",M194=""),"ناقص",IF(AND(ISNUMBER(F194),ISNUMBER(H194)),"OK","السنة/السعر لازم أرقام")))</f>
        <v>OK</v>
      </c>
      <c r="X194" s="6" t="str">
        <f aca="false">IF(B194="","",B194&amp;" "&amp;C194&amp;" "&amp;D194&amp;" "&amp;E194&amp;" "&amp;F194&amp;" "&amp;G194&amp;" "&amp;I194&amp;" "&amp;L194&amp;" "&amp;M194&amp;" سعر "&amp;H194&amp;" جنيه "&amp;U194)</f>
        <v>Fiat فيات Doblo فيات دوبلو 2014 مستعمل ميني فان مانيوال بنزين سعر 420000 جنيه تكييف، زجاج كهربائي، قفل مركزي، ABS</v>
      </c>
    </row>
    <row r="195" customFormat="false" ht="35.05" hidden="false" customHeight="false" outlineLevel="0" collapsed="false">
      <c r="A195" s="6" t="s">
        <v>711</v>
      </c>
      <c r="B195" s="7" t="s">
        <v>687</v>
      </c>
      <c r="C195" s="6" t="str">
        <f aca="false">IF(B195="","",IFERROR(INDEX(Lists!$K$2:$K$60,MATCH(B195,Lists!$J$2:$J$60,0)),""))</f>
        <v>فيات</v>
      </c>
      <c r="D195" s="7" t="s">
        <v>712</v>
      </c>
      <c r="E195" s="7" t="s">
        <v>713</v>
      </c>
      <c r="F195" s="7" t="n">
        <v>2013</v>
      </c>
      <c r="G195" s="7" t="s">
        <v>249</v>
      </c>
      <c r="H195" s="8" t="n">
        <v>500000</v>
      </c>
      <c r="I195" s="7" t="s">
        <v>270</v>
      </c>
      <c r="J195" s="9" t="n">
        <v>1200</v>
      </c>
      <c r="K195" s="7" t="n">
        <v>69</v>
      </c>
      <c r="L195" s="7" t="s">
        <v>250</v>
      </c>
      <c r="M195" s="7" t="s">
        <v>79</v>
      </c>
      <c r="N195" s="7" t="n">
        <v>5.5</v>
      </c>
      <c r="O195" s="7" t="n">
        <v>4</v>
      </c>
      <c r="P195" s="7" t="s">
        <v>80</v>
      </c>
      <c r="Q195" s="7" t="s">
        <v>80</v>
      </c>
      <c r="R195" s="7" t="s">
        <v>80</v>
      </c>
      <c r="S195" s="7" t="s">
        <v>80</v>
      </c>
      <c r="T195" s="7" t="s">
        <v>80</v>
      </c>
      <c r="U195" s="7" t="s">
        <v>144</v>
      </c>
      <c r="V195" s="7" t="s">
        <v>266</v>
      </c>
      <c r="W195" s="6" t="str">
        <f aca="false">IF(COUNTA(B195:V195)=0,"",IF(OR(B195="",C195="",D195="",F195="",G195="",H195="",I195="",L195="",M195=""),"ناقص",IF(AND(ISNUMBER(F195),ISNUMBER(H195)),"OK","السنة/السعر لازم أرقام")))</f>
        <v>OK</v>
      </c>
      <c r="X195" s="6" t="str">
        <f aca="false">IF(B195="","",B195&amp;" "&amp;C195&amp;" "&amp;D195&amp;" "&amp;E195&amp;" "&amp;F195&amp;" "&amp;G195&amp;" "&amp;I195&amp;" "&amp;L195&amp;" "&amp;M195&amp;" سعر "&amp;H195&amp;" جنيه "&amp;U195)</f>
        <v>Fiat فيات 500 فيات 500 2013 مستعمل هاتشباك مانيوال بنزين سعر 500000 جنيه تكييف، زجاج كهربائي، قفل مركزي، ABS، مرايات كهربائية، حساسات ركن خلفية</v>
      </c>
    </row>
    <row r="196" customFormat="false" ht="35.05" hidden="false" customHeight="false" outlineLevel="0" collapsed="false">
      <c r="A196" s="6" t="s">
        <v>714</v>
      </c>
      <c r="B196" s="7" t="s">
        <v>687</v>
      </c>
      <c r="C196" s="6" t="str">
        <f aca="false">IF(B196="","",IFERROR(INDEX(Lists!$K$2:$K$60,MATCH(B196,Lists!$J$2:$J$60,0)),""))</f>
        <v>فيات</v>
      </c>
      <c r="D196" s="7" t="s">
        <v>715</v>
      </c>
      <c r="E196" s="7" t="s">
        <v>716</v>
      </c>
      <c r="F196" s="7" t="n">
        <v>2009</v>
      </c>
      <c r="G196" s="7" t="s">
        <v>249</v>
      </c>
      <c r="H196" s="8" t="n">
        <v>240000</v>
      </c>
      <c r="I196" s="7" t="s">
        <v>77</v>
      </c>
      <c r="J196" s="9" t="n">
        <v>1400</v>
      </c>
      <c r="K196" s="7" t="n">
        <v>85</v>
      </c>
      <c r="L196" s="7" t="s">
        <v>250</v>
      </c>
      <c r="M196" s="7" t="s">
        <v>79</v>
      </c>
      <c r="N196" s="7" t="n">
        <v>7.5</v>
      </c>
      <c r="O196" s="7" t="n">
        <v>5</v>
      </c>
      <c r="P196" s="7" t="s">
        <v>80</v>
      </c>
      <c r="Q196" s="7" t="s">
        <v>80</v>
      </c>
      <c r="R196" s="7" t="s">
        <v>80</v>
      </c>
      <c r="S196" s="7" t="s">
        <v>80</v>
      </c>
      <c r="T196" s="7" t="s">
        <v>80</v>
      </c>
      <c r="U196" s="7" t="s">
        <v>251</v>
      </c>
      <c r="V196" s="7" t="s">
        <v>266</v>
      </c>
      <c r="W196" s="6" t="str">
        <f aca="false">IF(COUNTA(B196:V196)=0,"",IF(OR(B196="",C196="",D196="",F196="",G196="",H196="",I196="",L196="",M196=""),"ناقص",IF(AND(ISNUMBER(F196),ISNUMBER(H196)),"OK","السنة/السعر لازم أرقام")))</f>
        <v>OK</v>
      </c>
      <c r="X196" s="6" t="str">
        <f aca="false">IF(B196="","",B196&amp;" "&amp;C196&amp;" "&amp;D196&amp;" "&amp;E196&amp;" "&amp;F196&amp;" "&amp;G196&amp;" "&amp;I196&amp;" "&amp;L196&amp;" "&amp;M196&amp;" سعر "&amp;H196&amp;" جنيه "&amp;U196)</f>
        <v>Fiat فيات Albea فيات ألبيا 2009 مستعمل سيدان مانيوال بنزين سعر 240000 جنيه تكييف، زجاج كهربائي، قفل مركزي</v>
      </c>
    </row>
    <row r="197" customFormat="false" ht="35.05" hidden="false" customHeight="false" outlineLevel="0" collapsed="false">
      <c r="A197" s="6" t="s">
        <v>717</v>
      </c>
      <c r="B197" s="7" t="s">
        <v>132</v>
      </c>
      <c r="C197" s="6" t="str">
        <f aca="false">IF(B197="","",IFERROR(INDEX(Lists!$K$2:$K$60,MATCH(B197,Lists!$J$2:$J$60,0)),""))</f>
        <v>سكودا</v>
      </c>
      <c r="D197" s="7" t="s">
        <v>718</v>
      </c>
      <c r="E197" s="7" t="s">
        <v>719</v>
      </c>
      <c r="F197" s="7" t="n">
        <v>2008</v>
      </c>
      <c r="G197" s="7" t="s">
        <v>249</v>
      </c>
      <c r="H197" s="8" t="n">
        <v>480000</v>
      </c>
      <c r="I197" s="7" t="s">
        <v>77</v>
      </c>
      <c r="J197" s="9" t="n">
        <v>1600</v>
      </c>
      <c r="K197" s="7" t="n">
        <v>102</v>
      </c>
      <c r="L197" s="7" t="s">
        <v>250</v>
      </c>
      <c r="M197" s="7" t="s">
        <v>79</v>
      </c>
      <c r="N197" s="7" t="n">
        <v>8.5</v>
      </c>
      <c r="O197" s="7" t="n">
        <v>5</v>
      </c>
      <c r="P197" s="7" t="s">
        <v>80</v>
      </c>
      <c r="Q197" s="7" t="s">
        <v>80</v>
      </c>
      <c r="R197" s="7" t="s">
        <v>80</v>
      </c>
      <c r="S197" s="7" t="s">
        <v>80</v>
      </c>
      <c r="T197" s="7" t="s">
        <v>80</v>
      </c>
      <c r="U197" s="7" t="s">
        <v>251</v>
      </c>
      <c r="V197" s="7" t="s">
        <v>266</v>
      </c>
      <c r="W197" s="6" t="str">
        <f aca="false">IF(COUNTA(B197:V197)=0,"",IF(OR(B197="",C197="",D197="",F197="",G197="",H197="",I197="",L197="",M197=""),"ناقص",IF(AND(ISNUMBER(F197),ISNUMBER(H197)),"OK","السنة/السعر لازم أرقام")))</f>
        <v>OK</v>
      </c>
      <c r="X197" s="6" t="str">
        <f aca="false">IF(B197="","",B197&amp;" "&amp;C197&amp;" "&amp;D197&amp;" "&amp;E197&amp;" "&amp;F197&amp;" "&amp;G197&amp;" "&amp;I197&amp;" "&amp;L197&amp;" "&amp;M197&amp;" سعر "&amp;H197&amp;" جنيه "&amp;U197)</f>
        <v>Skoda سكودا Octavia A4 أوكتافيا A4 2008 مستعمل سيدان مانيوال بنزين سعر 480000 جنيه تكييف، زجاج كهربائي، قفل مركزي</v>
      </c>
    </row>
    <row r="198" customFormat="false" ht="35.05" hidden="false" customHeight="false" outlineLevel="0" collapsed="false">
      <c r="A198" s="6" t="s">
        <v>720</v>
      </c>
      <c r="B198" s="7" t="s">
        <v>132</v>
      </c>
      <c r="C198" s="6" t="str">
        <f aca="false">IF(B198="","",IFERROR(INDEX(Lists!$K$2:$K$60,MATCH(B198,Lists!$J$2:$J$60,0)),""))</f>
        <v>سكودا</v>
      </c>
      <c r="D198" s="7" t="s">
        <v>721</v>
      </c>
      <c r="E198" s="7" t="s">
        <v>722</v>
      </c>
      <c r="F198" s="7" t="n">
        <v>2012</v>
      </c>
      <c r="G198" s="7" t="s">
        <v>249</v>
      </c>
      <c r="H198" s="8" t="n">
        <v>600000</v>
      </c>
      <c r="I198" s="7" t="s">
        <v>77</v>
      </c>
      <c r="J198" s="9" t="n">
        <v>1600</v>
      </c>
      <c r="K198" s="7" t="n">
        <v>105</v>
      </c>
      <c r="L198" s="7" t="s">
        <v>78</v>
      </c>
      <c r="M198" s="7" t="s">
        <v>79</v>
      </c>
      <c r="N198" s="7" t="n">
        <v>8</v>
      </c>
      <c r="O198" s="7" t="n">
        <v>5</v>
      </c>
      <c r="P198" s="7" t="s">
        <v>80</v>
      </c>
      <c r="Q198" s="7" t="s">
        <v>80</v>
      </c>
      <c r="R198" s="7" t="s">
        <v>80</v>
      </c>
      <c r="S198" s="7" t="s">
        <v>80</v>
      </c>
      <c r="T198" s="7" t="s">
        <v>80</v>
      </c>
      <c r="U198" s="7" t="s">
        <v>144</v>
      </c>
      <c r="V198" s="7" t="s">
        <v>266</v>
      </c>
      <c r="W198" s="6" t="str">
        <f aca="false">IF(COUNTA(B198:V198)=0,"",IF(OR(B198="",C198="",D198="",F198="",G198="",H198="",I198="",L198="",M198=""),"ناقص",IF(AND(ISNUMBER(F198),ISNUMBER(H198)),"OK","السنة/السعر لازم أرقام")))</f>
        <v>OK</v>
      </c>
      <c r="X198" s="6" t="str">
        <f aca="false">IF(B198="","",B198&amp;" "&amp;C198&amp;" "&amp;D198&amp;" "&amp;E198&amp;" "&amp;F198&amp;" "&amp;G198&amp;" "&amp;I198&amp;" "&amp;L198&amp;" "&amp;M198&amp;" سعر "&amp;H198&amp;" جنيه "&amp;U198)</f>
        <v>Skoda سكودا Octavia A5 أوكتافيا A5 2012 مستعمل سيدان أوتوماتيك بنزين سعر 600000 جنيه تكييف، زجاج كهربائي، قفل مركزي، ABS، مرايات كهربائية، حساسات ركن خلفية</v>
      </c>
    </row>
    <row r="199" customFormat="false" ht="35.05" hidden="false" customHeight="false" outlineLevel="0" collapsed="false">
      <c r="A199" s="6" t="s">
        <v>723</v>
      </c>
      <c r="B199" s="7" t="s">
        <v>132</v>
      </c>
      <c r="C199" s="6" t="str">
        <f aca="false">IF(B199="","",IFERROR(INDEX(Lists!$K$2:$K$60,MATCH(B199,Lists!$J$2:$J$60,0)),""))</f>
        <v>سكودا</v>
      </c>
      <c r="D199" s="7" t="s">
        <v>724</v>
      </c>
      <c r="E199" s="7" t="s">
        <v>725</v>
      </c>
      <c r="F199" s="7" t="n">
        <v>2017</v>
      </c>
      <c r="G199" s="7" t="s">
        <v>249</v>
      </c>
      <c r="H199" s="8" t="n">
        <v>1200000</v>
      </c>
      <c r="I199" s="7" t="s">
        <v>77</v>
      </c>
      <c r="J199" s="9" t="n">
        <v>1400</v>
      </c>
      <c r="K199" s="7" t="n">
        <v>150</v>
      </c>
      <c r="L199" s="7" t="s">
        <v>135</v>
      </c>
      <c r="M199" s="7" t="s">
        <v>79</v>
      </c>
      <c r="N199" s="7" t="n">
        <v>6.5</v>
      </c>
      <c r="O199" s="7" t="n">
        <v>5</v>
      </c>
      <c r="P199" s="7" t="s">
        <v>80</v>
      </c>
      <c r="Q199" s="7" t="s">
        <v>80</v>
      </c>
      <c r="R199" s="7" t="s">
        <v>81</v>
      </c>
      <c r="S199" s="7" t="s">
        <v>80</v>
      </c>
      <c r="T199" s="7" t="s">
        <v>81</v>
      </c>
      <c r="U199" s="7" t="s">
        <v>144</v>
      </c>
      <c r="V199" s="7" t="s">
        <v>266</v>
      </c>
      <c r="W199" s="6" t="str">
        <f aca="false">IF(COUNTA(B199:V199)=0,"",IF(OR(B199="",C199="",D199="",F199="",G199="",H199="",I199="",L199="",M199=""),"ناقص",IF(AND(ISNUMBER(F199),ISNUMBER(H199)),"OK","السنة/السعر لازم أرقام")))</f>
        <v>OK</v>
      </c>
      <c r="X199" s="6" t="str">
        <f aca="false">IF(B199="","",B199&amp;" "&amp;C199&amp;" "&amp;D199&amp;" "&amp;E199&amp;" "&amp;F199&amp;" "&amp;G199&amp;" "&amp;I199&amp;" "&amp;L199&amp;" "&amp;M199&amp;" سعر "&amp;H199&amp;" جنيه "&amp;U199)</f>
        <v>Skoda سكودا Octavia A7 أوكتافيا A7 2017 مستعمل سيدان DCT بنزين سعر 1200000 جنيه تكييف، زجاج كهربائي، قفل مركزي، ABS، مرايات كهربائية، حساسات ركن خلفية</v>
      </c>
    </row>
    <row r="200" customFormat="false" ht="35.05" hidden="false" customHeight="false" outlineLevel="0" collapsed="false">
      <c r="A200" s="6" t="s">
        <v>726</v>
      </c>
      <c r="B200" s="7" t="s">
        <v>132</v>
      </c>
      <c r="C200" s="6" t="str">
        <f aca="false">IF(B200="","",IFERROR(INDEX(Lists!$K$2:$K$60,MATCH(B200,Lists!$J$2:$J$60,0)),""))</f>
        <v>سكودا</v>
      </c>
      <c r="D200" s="7" t="s">
        <v>727</v>
      </c>
      <c r="E200" s="7" t="s">
        <v>728</v>
      </c>
      <c r="F200" s="7" t="n">
        <v>2021</v>
      </c>
      <c r="G200" s="7" t="s">
        <v>249</v>
      </c>
      <c r="H200" s="8" t="n">
        <v>1750000</v>
      </c>
      <c r="I200" s="7" t="s">
        <v>77</v>
      </c>
      <c r="J200" s="9" t="n">
        <v>1400</v>
      </c>
      <c r="K200" s="7" t="n">
        <v>150</v>
      </c>
      <c r="L200" s="7" t="s">
        <v>135</v>
      </c>
      <c r="M200" s="7" t="s">
        <v>79</v>
      </c>
      <c r="N200" s="7" t="n">
        <v>6</v>
      </c>
      <c r="O200" s="7" t="n">
        <v>5</v>
      </c>
      <c r="P200" s="7" t="s">
        <v>81</v>
      </c>
      <c r="Q200" s="7" t="s">
        <v>81</v>
      </c>
      <c r="R200" s="7" t="s">
        <v>81</v>
      </c>
      <c r="S200" s="7" t="s">
        <v>81</v>
      </c>
      <c r="T200" s="7" t="s">
        <v>81</v>
      </c>
      <c r="U200" s="7" t="s">
        <v>148</v>
      </c>
      <c r="V200" s="7" t="s">
        <v>266</v>
      </c>
      <c r="W200" s="6" t="str">
        <f aca="false">IF(COUNTA(B200:V200)=0,"",IF(OR(B200="",C200="",D200="",F200="",G200="",H200="",I200="",L200="",M200=""),"ناقص",IF(AND(ISNUMBER(F200),ISNUMBER(H200)),"OK","السنة/السعر لازم أرقام")))</f>
        <v>OK</v>
      </c>
      <c r="X200" s="6" t="str">
        <f aca="false">IF(B200="","",B200&amp;" "&amp;C200&amp;" "&amp;D200&amp;" "&amp;E200&amp;" "&amp;F200&amp;" "&amp;G200&amp;" "&amp;I200&amp;" "&amp;L200&amp;" "&amp;M200&amp;" سعر "&amp;H200&amp;" جنيه "&amp;U200)</f>
        <v>Skoda سكودا Octavia A8 أوكتافيا A8 2021 مستعمل سيدان DCT بنزين سعر 1750000 جنيه تكييف، زجاج كهربائي، قفل مركزي، ABS، مرايات كهربائية، حساسات ركن خلفية، جنوط ألومنيوم، تحكم في الثبات ESP</v>
      </c>
    </row>
    <row r="201" customFormat="false" ht="35.05" hidden="false" customHeight="false" outlineLevel="0" collapsed="false">
      <c r="A201" s="6" t="s">
        <v>729</v>
      </c>
      <c r="B201" s="7" t="s">
        <v>132</v>
      </c>
      <c r="C201" s="6" t="str">
        <f aca="false">IF(B201="","",IFERROR(INDEX(Lists!$K$2:$K$60,MATCH(B201,Lists!$J$2:$J$60,0)),""))</f>
        <v>سكودا</v>
      </c>
      <c r="D201" s="7" t="s">
        <v>730</v>
      </c>
      <c r="E201" s="7" t="s">
        <v>731</v>
      </c>
      <c r="F201" s="7" t="n">
        <v>2008</v>
      </c>
      <c r="G201" s="7" t="s">
        <v>249</v>
      </c>
      <c r="H201" s="8" t="n">
        <v>300000</v>
      </c>
      <c r="I201" s="7" t="s">
        <v>270</v>
      </c>
      <c r="J201" s="9" t="n">
        <v>1400</v>
      </c>
      <c r="K201" s="7" t="n">
        <v>75</v>
      </c>
      <c r="L201" s="7" t="s">
        <v>250</v>
      </c>
      <c r="M201" s="7" t="s">
        <v>79</v>
      </c>
      <c r="N201" s="7" t="n">
        <v>7</v>
      </c>
      <c r="O201" s="7" t="n">
        <v>5</v>
      </c>
      <c r="P201" s="7" t="s">
        <v>80</v>
      </c>
      <c r="Q201" s="7" t="s">
        <v>80</v>
      </c>
      <c r="R201" s="7" t="s">
        <v>80</v>
      </c>
      <c r="S201" s="7" t="s">
        <v>80</v>
      </c>
      <c r="T201" s="7" t="s">
        <v>80</v>
      </c>
      <c r="U201" s="7" t="s">
        <v>251</v>
      </c>
      <c r="V201" s="7" t="s">
        <v>266</v>
      </c>
      <c r="W201" s="6" t="str">
        <f aca="false">IF(COUNTA(B201:V201)=0,"",IF(OR(B201="",C201="",D201="",F201="",G201="",H201="",I201="",L201="",M201=""),"ناقص",IF(AND(ISNUMBER(F201),ISNUMBER(H201)),"OK","السنة/السعر لازم أرقام")))</f>
        <v>OK</v>
      </c>
      <c r="X201" s="6" t="str">
        <f aca="false">IF(B201="","",B201&amp;" "&amp;C201&amp;" "&amp;D201&amp;" "&amp;E201&amp;" "&amp;F201&amp;" "&amp;G201&amp;" "&amp;I201&amp;" "&amp;L201&amp;" "&amp;M201&amp;" سعر "&amp;H201&amp;" جنيه "&amp;U201)</f>
        <v>Skoda سكودا Fabia 6Y فابيا 6Y 2008 مستعمل هاتشباك مانيوال بنزين سعر 300000 جنيه تكييف، زجاج كهربائي، قفل مركزي</v>
      </c>
    </row>
    <row r="202" customFormat="false" ht="35.05" hidden="false" customHeight="false" outlineLevel="0" collapsed="false">
      <c r="A202" s="6" t="s">
        <v>732</v>
      </c>
      <c r="B202" s="7" t="s">
        <v>132</v>
      </c>
      <c r="C202" s="6" t="str">
        <f aca="false">IF(B202="","",IFERROR(INDEX(Lists!$K$2:$K$60,MATCH(B202,Lists!$J$2:$J$60,0)),""))</f>
        <v>سكودا</v>
      </c>
      <c r="D202" s="7" t="s">
        <v>733</v>
      </c>
      <c r="E202" s="7" t="s">
        <v>734</v>
      </c>
      <c r="F202" s="7" t="n">
        <v>2016</v>
      </c>
      <c r="G202" s="7" t="s">
        <v>249</v>
      </c>
      <c r="H202" s="8" t="n">
        <v>650000</v>
      </c>
      <c r="I202" s="7" t="s">
        <v>270</v>
      </c>
      <c r="J202" s="9" t="n">
        <v>1200</v>
      </c>
      <c r="K202" s="7" t="n">
        <v>90</v>
      </c>
      <c r="L202" s="7" t="s">
        <v>78</v>
      </c>
      <c r="M202" s="7" t="s">
        <v>79</v>
      </c>
      <c r="N202" s="7" t="n">
        <v>6</v>
      </c>
      <c r="O202" s="7" t="n">
        <v>5</v>
      </c>
      <c r="P202" s="7" t="s">
        <v>80</v>
      </c>
      <c r="Q202" s="7" t="s">
        <v>80</v>
      </c>
      <c r="R202" s="7" t="s">
        <v>81</v>
      </c>
      <c r="S202" s="7" t="s">
        <v>80</v>
      </c>
      <c r="T202" s="7" t="s">
        <v>81</v>
      </c>
      <c r="U202" s="7" t="s">
        <v>144</v>
      </c>
      <c r="V202" s="7" t="s">
        <v>266</v>
      </c>
      <c r="W202" s="6" t="str">
        <f aca="false">IF(COUNTA(B202:V202)=0,"",IF(OR(B202="",C202="",D202="",F202="",G202="",H202="",I202="",L202="",M202=""),"ناقص",IF(AND(ISNUMBER(F202),ISNUMBER(H202)),"OK","السنة/السعر لازم أرقام")))</f>
        <v>OK</v>
      </c>
      <c r="X202" s="6" t="str">
        <f aca="false">IF(B202="","",B202&amp;" "&amp;C202&amp;" "&amp;D202&amp;" "&amp;E202&amp;" "&amp;F202&amp;" "&amp;G202&amp;" "&amp;I202&amp;" "&amp;L202&amp;" "&amp;M202&amp;" سعر "&amp;H202&amp;" جنيه "&amp;U202)</f>
        <v>Skoda سكودا Fabia NJ فابيا NJ 2016 مستعمل هاتشباك أوتوماتيك بنزين سعر 650000 جنيه تكييف، زجاج كهربائي، قفل مركزي، ABS، مرايات كهربائية، حساسات ركن خلفية</v>
      </c>
    </row>
    <row r="203" customFormat="false" ht="35.05" hidden="false" customHeight="false" outlineLevel="0" collapsed="false">
      <c r="A203" s="6" t="s">
        <v>735</v>
      </c>
      <c r="B203" s="7" t="s">
        <v>132</v>
      </c>
      <c r="C203" s="6" t="str">
        <f aca="false">IF(B203="","",IFERROR(INDEX(Lists!$K$2:$K$60,MATCH(B203,Lists!$J$2:$J$60,0)),""))</f>
        <v>سكودا</v>
      </c>
      <c r="D203" s="7" t="s">
        <v>736</v>
      </c>
      <c r="E203" s="7" t="s">
        <v>737</v>
      </c>
      <c r="F203" s="7" t="n">
        <v>2016</v>
      </c>
      <c r="G203" s="7" t="s">
        <v>249</v>
      </c>
      <c r="H203" s="8" t="n">
        <v>750000</v>
      </c>
      <c r="I203" s="7" t="s">
        <v>77</v>
      </c>
      <c r="J203" s="9" t="n">
        <v>1400</v>
      </c>
      <c r="K203" s="7" t="n">
        <v>125</v>
      </c>
      <c r="L203" s="7" t="s">
        <v>135</v>
      </c>
      <c r="M203" s="7" t="s">
        <v>79</v>
      </c>
      <c r="N203" s="7" t="n">
        <v>6.5</v>
      </c>
      <c r="O203" s="7" t="n">
        <v>5</v>
      </c>
      <c r="P203" s="7" t="s">
        <v>80</v>
      </c>
      <c r="Q203" s="7" t="s">
        <v>80</v>
      </c>
      <c r="R203" s="7" t="s">
        <v>81</v>
      </c>
      <c r="S203" s="7" t="s">
        <v>80</v>
      </c>
      <c r="T203" s="7" t="s">
        <v>81</v>
      </c>
      <c r="U203" s="7" t="s">
        <v>144</v>
      </c>
      <c r="V203" s="7" t="s">
        <v>266</v>
      </c>
      <c r="W203" s="6" t="str">
        <f aca="false">IF(COUNTA(B203:V203)=0,"",IF(OR(B203="",C203="",D203="",F203="",G203="",H203="",I203="",L203="",M203=""),"ناقص",IF(AND(ISNUMBER(F203),ISNUMBER(H203)),"OK","السنة/السعر لازم أرقام")))</f>
        <v>OK</v>
      </c>
      <c r="X203" s="6" t="str">
        <f aca="false">IF(B203="","",B203&amp;" "&amp;C203&amp;" "&amp;D203&amp;" "&amp;E203&amp;" "&amp;F203&amp;" "&amp;G203&amp;" "&amp;I203&amp;" "&amp;L203&amp;" "&amp;M203&amp;" سعر "&amp;H203&amp;" جنيه "&amp;U203)</f>
        <v>Skoda سكودا Rapid NH رابيد NH 2016 مستعمل سيدان DCT بنزين سعر 750000 جنيه تكييف، زجاج كهربائي، قفل مركزي، ABS، مرايات كهربائية، حساسات ركن خلفية</v>
      </c>
    </row>
    <row r="204" customFormat="false" ht="46.25" hidden="false" customHeight="false" outlineLevel="0" collapsed="false">
      <c r="A204" s="6" t="s">
        <v>738</v>
      </c>
      <c r="B204" s="7" t="s">
        <v>132</v>
      </c>
      <c r="C204" s="6" t="str">
        <f aca="false">IF(B204="","",IFERROR(INDEX(Lists!$K$2:$K$60,MATCH(B204,Lists!$J$2:$J$60,0)),""))</f>
        <v>سكودا</v>
      </c>
      <c r="D204" s="7" t="s">
        <v>739</v>
      </c>
      <c r="E204" s="7" t="s">
        <v>740</v>
      </c>
      <c r="F204" s="7" t="n">
        <v>2019</v>
      </c>
      <c r="G204" s="7" t="s">
        <v>249</v>
      </c>
      <c r="H204" s="8" t="n">
        <v>2400000</v>
      </c>
      <c r="I204" s="7" t="s">
        <v>113</v>
      </c>
      <c r="J204" s="9" t="n">
        <v>2000</v>
      </c>
      <c r="K204" s="7" t="n">
        <v>180</v>
      </c>
      <c r="L204" s="7" t="s">
        <v>135</v>
      </c>
      <c r="M204" s="7" t="s">
        <v>79</v>
      </c>
      <c r="N204" s="7" t="n">
        <v>8</v>
      </c>
      <c r="O204" s="7" t="n">
        <v>7</v>
      </c>
      <c r="P204" s="7" t="s">
        <v>81</v>
      </c>
      <c r="Q204" s="7" t="s">
        <v>81</v>
      </c>
      <c r="R204" s="7" t="s">
        <v>81</v>
      </c>
      <c r="S204" s="7" t="s">
        <v>81</v>
      </c>
      <c r="T204" s="7" t="s">
        <v>81</v>
      </c>
      <c r="U204" s="7" t="s">
        <v>299</v>
      </c>
      <c r="V204" s="7" t="s">
        <v>266</v>
      </c>
      <c r="W204" s="6" t="str">
        <f aca="false">IF(COUNTA(B204:V204)=0,"",IF(OR(B204="",C204="",D204="",F204="",G204="",H204="",I204="",L204="",M204=""),"ناقص",IF(AND(ISNUMBER(F204),ISNUMBER(H204)),"OK","السنة/السعر لازم أرقام")))</f>
        <v>OK</v>
      </c>
      <c r="X204" s="6" t="str">
        <f aca="false">IF(B204="","",B204&amp;" "&amp;C204&amp;" "&amp;D204&amp;" "&amp;E204&amp;" "&amp;F204&amp;" "&amp;G204&amp;" "&amp;I204&amp;" "&amp;L204&amp;" "&amp;M204&amp;" سعر "&amp;H204&amp;" جنيه "&amp;U204)</f>
        <v>Skoda سكودا Kodiaq كودياك 2019 مستعمل SUV DCT بنزين سعر 2400000 جنيه تكييف، زجاج كهربائي، قفل مركزي، ABS، مرايات كهربائية، حساسات ركن خلفية، جنوط ألومنيوم، تحكم في الثبات ESP، مقاعد كهربائية، إضاءة LED</v>
      </c>
    </row>
    <row r="205" customFormat="false" ht="35.05" hidden="false" customHeight="false" outlineLevel="0" collapsed="false">
      <c r="A205" s="6" t="s">
        <v>741</v>
      </c>
      <c r="B205" s="7" t="s">
        <v>132</v>
      </c>
      <c r="C205" s="6" t="str">
        <f aca="false">IF(B205="","",IFERROR(INDEX(Lists!$K$2:$K$60,MATCH(B205,Lists!$J$2:$J$60,0)),""))</f>
        <v>سكودا</v>
      </c>
      <c r="D205" s="7" t="s">
        <v>742</v>
      </c>
      <c r="E205" s="7" t="s">
        <v>743</v>
      </c>
      <c r="F205" s="7" t="n">
        <v>2019</v>
      </c>
      <c r="G205" s="7" t="s">
        <v>249</v>
      </c>
      <c r="H205" s="8" t="n">
        <v>1700000</v>
      </c>
      <c r="I205" s="7" t="s">
        <v>105</v>
      </c>
      <c r="J205" s="9" t="n">
        <v>1400</v>
      </c>
      <c r="K205" s="7" t="n">
        <v>150</v>
      </c>
      <c r="L205" s="7" t="s">
        <v>135</v>
      </c>
      <c r="M205" s="7" t="s">
        <v>79</v>
      </c>
      <c r="N205" s="7" t="n">
        <v>7</v>
      </c>
      <c r="O205" s="7" t="n">
        <v>5</v>
      </c>
      <c r="P205" s="7" t="s">
        <v>81</v>
      </c>
      <c r="Q205" s="7" t="s">
        <v>81</v>
      </c>
      <c r="R205" s="7" t="s">
        <v>81</v>
      </c>
      <c r="S205" s="7" t="s">
        <v>81</v>
      </c>
      <c r="T205" s="7" t="s">
        <v>81</v>
      </c>
      <c r="U205" s="7" t="s">
        <v>148</v>
      </c>
      <c r="V205" s="7" t="s">
        <v>266</v>
      </c>
      <c r="W205" s="6" t="str">
        <f aca="false">IF(COUNTA(B205:V205)=0,"",IF(OR(B205="",C205="",D205="",F205="",G205="",H205="",I205="",L205="",M205=""),"ناقص",IF(AND(ISNUMBER(F205),ISNUMBER(H205)),"OK","السنة/السعر لازم أرقام")))</f>
        <v>OK</v>
      </c>
      <c r="X205" s="6" t="str">
        <f aca="false">IF(B205="","",B205&amp;" "&amp;C205&amp;" "&amp;D205&amp;" "&amp;E205&amp;" "&amp;F205&amp;" "&amp;G205&amp;" "&amp;I205&amp;" "&amp;L205&amp;" "&amp;M205&amp;" سعر "&amp;H205&amp;" جنيه "&amp;U205)</f>
        <v>Skoda سكودا Karoq كاروك 2019 مستعمل كروس أوفر DCT بنزين سعر 1700000 جنيه تكييف، زجاج كهربائي، قفل مركزي، ABS، مرايات كهربائية، حساسات ركن خلفية، جنوط ألومنيوم، تحكم في الثبات ESP</v>
      </c>
    </row>
    <row r="206" customFormat="false" ht="35.05" hidden="false" customHeight="false" outlineLevel="0" collapsed="false">
      <c r="A206" s="6" t="s">
        <v>744</v>
      </c>
      <c r="B206" s="7" t="s">
        <v>132</v>
      </c>
      <c r="C206" s="6" t="str">
        <f aca="false">IF(B206="","",IFERROR(INDEX(Lists!$K$2:$K$60,MATCH(B206,Lists!$J$2:$J$60,0)),""))</f>
        <v>سكودا</v>
      </c>
      <c r="D206" s="7" t="s">
        <v>745</v>
      </c>
      <c r="E206" s="7" t="s">
        <v>746</v>
      </c>
      <c r="F206" s="7" t="n">
        <v>2010</v>
      </c>
      <c r="G206" s="7" t="s">
        <v>249</v>
      </c>
      <c r="H206" s="8" t="n">
        <v>750000</v>
      </c>
      <c r="I206" s="7" t="s">
        <v>77</v>
      </c>
      <c r="J206" s="9" t="n">
        <v>1800</v>
      </c>
      <c r="K206" s="7" t="n">
        <v>160</v>
      </c>
      <c r="L206" s="7" t="s">
        <v>135</v>
      </c>
      <c r="M206" s="7" t="s">
        <v>79</v>
      </c>
      <c r="N206" s="7" t="n">
        <v>8.5</v>
      </c>
      <c r="O206" s="7" t="n">
        <v>5</v>
      </c>
      <c r="P206" s="7" t="s">
        <v>80</v>
      </c>
      <c r="Q206" s="7" t="s">
        <v>80</v>
      </c>
      <c r="R206" s="7" t="s">
        <v>81</v>
      </c>
      <c r="S206" s="7" t="s">
        <v>81</v>
      </c>
      <c r="T206" s="7" t="s">
        <v>80</v>
      </c>
      <c r="U206" s="7" t="s">
        <v>256</v>
      </c>
      <c r="V206" s="7" t="s">
        <v>266</v>
      </c>
      <c r="W206" s="6" t="str">
        <f aca="false">IF(COUNTA(B206:V206)=0,"",IF(OR(B206="",C206="",D206="",F206="",G206="",H206="",I206="",L206="",M206=""),"ناقص",IF(AND(ISNUMBER(F206),ISNUMBER(H206)),"OK","السنة/السعر لازم أرقام")))</f>
        <v>OK</v>
      </c>
      <c r="X206" s="6" t="str">
        <f aca="false">IF(B206="","",B206&amp;" "&amp;C206&amp;" "&amp;D206&amp;" "&amp;E206&amp;" "&amp;F206&amp;" "&amp;G206&amp;" "&amp;I206&amp;" "&amp;L206&amp;" "&amp;M206&amp;" سعر "&amp;H206&amp;" جنيه "&amp;U206)</f>
        <v>Skoda سكودا Superb B6 سوبيرب B6 2010 مستعمل سيدان DCT بنزين سعر 750000 جنيه تكييف، زجاج كهربائي، قفل مركزي، ABS</v>
      </c>
    </row>
    <row r="207" customFormat="false" ht="46.25" hidden="false" customHeight="false" outlineLevel="0" collapsed="false">
      <c r="A207" s="6" t="s">
        <v>747</v>
      </c>
      <c r="B207" s="7" t="s">
        <v>132</v>
      </c>
      <c r="C207" s="6" t="str">
        <f aca="false">IF(B207="","",IFERROR(INDEX(Lists!$K$2:$K$60,MATCH(B207,Lists!$J$2:$J$60,0)),""))</f>
        <v>سكودا</v>
      </c>
      <c r="D207" s="7" t="s">
        <v>748</v>
      </c>
      <c r="E207" s="7" t="s">
        <v>749</v>
      </c>
      <c r="F207" s="7" t="n">
        <v>2018</v>
      </c>
      <c r="G207" s="7" t="s">
        <v>249</v>
      </c>
      <c r="H207" s="8" t="n">
        <v>1700000</v>
      </c>
      <c r="I207" s="7" t="s">
        <v>77</v>
      </c>
      <c r="J207" s="9" t="n">
        <v>1400</v>
      </c>
      <c r="K207" s="7" t="n">
        <v>150</v>
      </c>
      <c r="L207" s="7" t="s">
        <v>135</v>
      </c>
      <c r="M207" s="7" t="s">
        <v>79</v>
      </c>
      <c r="N207" s="7" t="n">
        <v>6.5</v>
      </c>
      <c r="O207" s="7" t="n">
        <v>5</v>
      </c>
      <c r="P207" s="7" t="s">
        <v>81</v>
      </c>
      <c r="Q207" s="7" t="s">
        <v>81</v>
      </c>
      <c r="R207" s="7" t="s">
        <v>81</v>
      </c>
      <c r="S207" s="7" t="s">
        <v>81</v>
      </c>
      <c r="T207" s="7" t="s">
        <v>81</v>
      </c>
      <c r="U207" s="7" t="s">
        <v>299</v>
      </c>
      <c r="V207" s="7" t="s">
        <v>266</v>
      </c>
      <c r="W207" s="6" t="str">
        <f aca="false">IF(COUNTA(B207:V207)=0,"",IF(OR(B207="",C207="",D207="",F207="",G207="",H207="",I207="",L207="",M207=""),"ناقص",IF(AND(ISNUMBER(F207),ISNUMBER(H207)),"OK","السنة/السعر لازم أرقام")))</f>
        <v>OK</v>
      </c>
      <c r="X207" s="6" t="str">
        <f aca="false">IF(B207="","",B207&amp;" "&amp;C207&amp;" "&amp;D207&amp;" "&amp;E207&amp;" "&amp;F207&amp;" "&amp;G207&amp;" "&amp;I207&amp;" "&amp;L207&amp;" "&amp;M207&amp;" سعر "&amp;H207&amp;" جنيه "&amp;U207)</f>
        <v>Skoda سكودا Superb B8 سوبيرب B8 2018 مستعمل سيدان DCT بنزين سعر 1700000 جنيه تكييف، زجاج كهربائي، قفل مركزي، ABS، مرايات كهربائية، حساسات ركن خلفية، جنوط ألومنيوم، تحكم في الثبات ESP، مقاعد كهربائية، إضاءة LED</v>
      </c>
    </row>
    <row r="208" customFormat="false" ht="35.05" hidden="false" customHeight="false" outlineLevel="0" collapsed="false">
      <c r="A208" s="6" t="s">
        <v>750</v>
      </c>
      <c r="B208" s="7" t="s">
        <v>751</v>
      </c>
      <c r="C208" s="6" t="str">
        <f aca="false">IF(B208="","",IFERROR(INDEX(Lists!$K$2:$K$60,MATCH(B208,Lists!$J$2:$J$60,0)),""))</f>
        <v>فولكس فاجن</v>
      </c>
      <c r="D208" s="7" t="s">
        <v>752</v>
      </c>
      <c r="E208" s="7" t="s">
        <v>753</v>
      </c>
      <c r="F208" s="7" t="n">
        <v>2007</v>
      </c>
      <c r="G208" s="7" t="s">
        <v>249</v>
      </c>
      <c r="H208" s="8" t="n">
        <v>450000</v>
      </c>
      <c r="I208" s="7" t="s">
        <v>270</v>
      </c>
      <c r="J208" s="9" t="n">
        <v>1600</v>
      </c>
      <c r="K208" s="7" t="n">
        <v>102</v>
      </c>
      <c r="L208" s="7" t="s">
        <v>78</v>
      </c>
      <c r="M208" s="7" t="s">
        <v>79</v>
      </c>
      <c r="N208" s="7" t="n">
        <v>8</v>
      </c>
      <c r="O208" s="7" t="n">
        <v>5</v>
      </c>
      <c r="P208" s="7" t="s">
        <v>80</v>
      </c>
      <c r="Q208" s="7" t="s">
        <v>80</v>
      </c>
      <c r="R208" s="7" t="s">
        <v>80</v>
      </c>
      <c r="S208" s="7" t="s">
        <v>80</v>
      </c>
      <c r="T208" s="7" t="s">
        <v>80</v>
      </c>
      <c r="U208" s="7" t="s">
        <v>251</v>
      </c>
      <c r="V208" s="7" t="s">
        <v>266</v>
      </c>
      <c r="W208" s="6" t="str">
        <f aca="false">IF(COUNTA(B208:V208)=0,"",IF(OR(B208="",C208="",D208="",F208="",G208="",H208="",I208="",L208="",M208=""),"ناقص",IF(AND(ISNUMBER(F208),ISNUMBER(H208)),"OK","السنة/السعر لازم أرقام")))</f>
        <v>OK</v>
      </c>
      <c r="X208" s="6" t="str">
        <f aca="false">IF(B208="","",B208&amp;" "&amp;C208&amp;" "&amp;D208&amp;" "&amp;E208&amp;" "&amp;F208&amp;" "&amp;G208&amp;" "&amp;I208&amp;" "&amp;L208&amp;" "&amp;M208&amp;" سعر "&amp;H208&amp;" جنيه "&amp;U208)</f>
        <v>Volkswagen فولكس فاجن Golf Mk5 جولف Mk5 2007 مستعمل هاتشباك أوتوماتيك بنزين سعر 450000 جنيه تكييف، زجاج كهربائي، قفل مركزي</v>
      </c>
    </row>
    <row r="209" customFormat="false" ht="35.05" hidden="false" customHeight="false" outlineLevel="0" collapsed="false">
      <c r="A209" s="6" t="s">
        <v>754</v>
      </c>
      <c r="B209" s="7" t="s">
        <v>751</v>
      </c>
      <c r="C209" s="6" t="str">
        <f aca="false">IF(B209="","",IFERROR(INDEX(Lists!$K$2:$K$60,MATCH(B209,Lists!$J$2:$J$60,0)),""))</f>
        <v>فولكس فاجن</v>
      </c>
      <c r="D209" s="7" t="s">
        <v>755</v>
      </c>
      <c r="E209" s="7" t="s">
        <v>756</v>
      </c>
      <c r="F209" s="7" t="n">
        <v>2011</v>
      </c>
      <c r="G209" s="7" t="s">
        <v>249</v>
      </c>
      <c r="H209" s="8" t="n">
        <v>700000</v>
      </c>
      <c r="I209" s="7" t="s">
        <v>270</v>
      </c>
      <c r="J209" s="9" t="n">
        <v>1400</v>
      </c>
      <c r="K209" s="7" t="n">
        <v>122</v>
      </c>
      <c r="L209" s="7" t="s">
        <v>135</v>
      </c>
      <c r="M209" s="7" t="s">
        <v>79</v>
      </c>
      <c r="N209" s="7" t="n">
        <v>7</v>
      </c>
      <c r="O209" s="7" t="n">
        <v>5</v>
      </c>
      <c r="P209" s="7" t="s">
        <v>80</v>
      </c>
      <c r="Q209" s="7" t="s">
        <v>80</v>
      </c>
      <c r="R209" s="7" t="s">
        <v>80</v>
      </c>
      <c r="S209" s="7" t="s">
        <v>80</v>
      </c>
      <c r="T209" s="7" t="s">
        <v>80</v>
      </c>
      <c r="U209" s="7" t="s">
        <v>256</v>
      </c>
      <c r="V209" s="7" t="s">
        <v>266</v>
      </c>
      <c r="W209" s="6" t="str">
        <f aca="false">IF(COUNTA(B209:V209)=0,"",IF(OR(B209="",C209="",D209="",F209="",G209="",H209="",I209="",L209="",M209=""),"ناقص",IF(AND(ISNUMBER(F209),ISNUMBER(H209)),"OK","السنة/السعر لازم أرقام")))</f>
        <v>OK</v>
      </c>
      <c r="X209" s="6" t="str">
        <f aca="false">IF(B209="","",B209&amp;" "&amp;C209&amp;" "&amp;D209&amp;" "&amp;E209&amp;" "&amp;F209&amp;" "&amp;G209&amp;" "&amp;I209&amp;" "&amp;L209&amp;" "&amp;M209&amp;" سعر "&amp;H209&amp;" جنيه "&amp;U209)</f>
        <v>Volkswagen فولكس فاجن Golf Mk6 جولف Mk6 2011 مستعمل هاتشباك DCT بنزين سعر 700000 جنيه تكييف، زجاج كهربائي، قفل مركزي، ABS</v>
      </c>
    </row>
    <row r="210" customFormat="false" ht="35.05" hidden="false" customHeight="false" outlineLevel="0" collapsed="false">
      <c r="A210" s="6" t="s">
        <v>757</v>
      </c>
      <c r="B210" s="7" t="s">
        <v>751</v>
      </c>
      <c r="C210" s="6" t="str">
        <f aca="false">IF(B210="","",IFERROR(INDEX(Lists!$K$2:$K$60,MATCH(B210,Lists!$J$2:$J$60,0)),""))</f>
        <v>فولكس فاجن</v>
      </c>
      <c r="D210" s="7" t="s">
        <v>758</v>
      </c>
      <c r="E210" s="7" t="s">
        <v>759</v>
      </c>
      <c r="F210" s="7" t="n">
        <v>2016</v>
      </c>
      <c r="G210" s="7" t="s">
        <v>249</v>
      </c>
      <c r="H210" s="8" t="n">
        <v>1200000</v>
      </c>
      <c r="I210" s="7" t="s">
        <v>270</v>
      </c>
      <c r="J210" s="9" t="n">
        <v>1400</v>
      </c>
      <c r="K210" s="7" t="n">
        <v>122</v>
      </c>
      <c r="L210" s="7" t="s">
        <v>135</v>
      </c>
      <c r="M210" s="7" t="s">
        <v>79</v>
      </c>
      <c r="N210" s="7" t="n">
        <v>6</v>
      </c>
      <c r="O210" s="7" t="n">
        <v>5</v>
      </c>
      <c r="P210" s="7" t="s">
        <v>81</v>
      </c>
      <c r="Q210" s="7" t="s">
        <v>81</v>
      </c>
      <c r="R210" s="7" t="s">
        <v>81</v>
      </c>
      <c r="S210" s="7" t="s">
        <v>81</v>
      </c>
      <c r="T210" s="7" t="s">
        <v>81</v>
      </c>
      <c r="U210" s="7" t="s">
        <v>148</v>
      </c>
      <c r="V210" s="7" t="s">
        <v>266</v>
      </c>
      <c r="W210" s="6" t="str">
        <f aca="false">IF(COUNTA(B210:V210)=0,"",IF(OR(B210="",C210="",D210="",F210="",G210="",H210="",I210="",L210="",M210=""),"ناقص",IF(AND(ISNUMBER(F210),ISNUMBER(H210)),"OK","السنة/السعر لازم أرقام")))</f>
        <v>OK</v>
      </c>
      <c r="X210" s="6" t="str">
        <f aca="false">IF(B210="","",B210&amp;" "&amp;C210&amp;" "&amp;D210&amp;" "&amp;E210&amp;" "&amp;F210&amp;" "&amp;G210&amp;" "&amp;I210&amp;" "&amp;L210&amp;" "&amp;M210&amp;" سعر "&amp;H210&amp;" جنيه "&amp;U210)</f>
        <v>Volkswagen فولكس فاجن Golf Mk7 جولف Mk7 2016 مستعمل هاتشباك DCT بنزين سعر 1200000 جنيه تكييف، زجاج كهربائي، قفل مركزي، ABS، مرايات كهربائية، حساسات ركن خلفية، جنوط ألومنيوم، تحكم في الثبات ESP</v>
      </c>
    </row>
    <row r="211" customFormat="false" ht="35.05" hidden="false" customHeight="false" outlineLevel="0" collapsed="false">
      <c r="A211" s="6" t="s">
        <v>760</v>
      </c>
      <c r="B211" s="7" t="s">
        <v>751</v>
      </c>
      <c r="C211" s="6" t="str">
        <f aca="false">IF(B211="","",IFERROR(INDEX(Lists!$K$2:$K$60,MATCH(B211,Lists!$J$2:$J$60,0)),""))</f>
        <v>فولكس فاجن</v>
      </c>
      <c r="D211" s="7" t="s">
        <v>761</v>
      </c>
      <c r="E211" s="7" t="s">
        <v>762</v>
      </c>
      <c r="F211" s="7" t="n">
        <v>2013</v>
      </c>
      <c r="G211" s="7" t="s">
        <v>249</v>
      </c>
      <c r="H211" s="8" t="n">
        <v>750000</v>
      </c>
      <c r="I211" s="7" t="s">
        <v>77</v>
      </c>
      <c r="J211" s="9" t="n">
        <v>1400</v>
      </c>
      <c r="K211" s="7" t="n">
        <v>122</v>
      </c>
      <c r="L211" s="7" t="s">
        <v>135</v>
      </c>
      <c r="M211" s="7" t="s">
        <v>79</v>
      </c>
      <c r="N211" s="7" t="n">
        <v>6.8</v>
      </c>
      <c r="O211" s="7" t="n">
        <v>5</v>
      </c>
      <c r="P211" s="7" t="s">
        <v>80</v>
      </c>
      <c r="Q211" s="7" t="s">
        <v>80</v>
      </c>
      <c r="R211" s="7" t="s">
        <v>80</v>
      </c>
      <c r="S211" s="7" t="s">
        <v>80</v>
      </c>
      <c r="T211" s="7" t="s">
        <v>80</v>
      </c>
      <c r="U211" s="7" t="s">
        <v>144</v>
      </c>
      <c r="V211" s="7" t="s">
        <v>266</v>
      </c>
      <c r="W211" s="6" t="str">
        <f aca="false">IF(COUNTA(B211:V211)=0,"",IF(OR(B211="",C211="",D211="",F211="",G211="",H211="",I211="",L211="",M211=""),"ناقص",IF(AND(ISNUMBER(F211),ISNUMBER(H211)),"OK","السنة/السعر لازم أرقام")))</f>
        <v>OK</v>
      </c>
      <c r="X211" s="6" t="str">
        <f aca="false">IF(B211="","",B211&amp;" "&amp;C211&amp;" "&amp;D211&amp;" "&amp;E211&amp;" "&amp;F211&amp;" "&amp;G211&amp;" "&amp;I211&amp;" "&amp;L211&amp;" "&amp;M211&amp;" سعر "&amp;H211&amp;" جنيه "&amp;U211)</f>
        <v>Volkswagen فولكس فاجن Jetta Mk6 جيتا Mk6 2013 مستعمل سيدان DCT بنزين سعر 750000 جنيه تكييف، زجاج كهربائي، قفل مركزي، ABS، مرايات كهربائية، حساسات ركن خلفية</v>
      </c>
    </row>
    <row r="212" customFormat="false" ht="46.25" hidden="false" customHeight="false" outlineLevel="0" collapsed="false">
      <c r="A212" s="6" t="s">
        <v>763</v>
      </c>
      <c r="B212" s="7" t="s">
        <v>751</v>
      </c>
      <c r="C212" s="6" t="str">
        <f aca="false">IF(B212="","",IFERROR(INDEX(Lists!$K$2:$K$60,MATCH(B212,Lists!$J$2:$J$60,0)),""))</f>
        <v>فولكس فاجن</v>
      </c>
      <c r="D212" s="7" t="s">
        <v>764</v>
      </c>
      <c r="E212" s="7" t="s">
        <v>765</v>
      </c>
      <c r="F212" s="7" t="n">
        <v>2020</v>
      </c>
      <c r="G212" s="7" t="s">
        <v>249</v>
      </c>
      <c r="H212" s="8" t="n">
        <v>1500000</v>
      </c>
      <c r="I212" s="7" t="s">
        <v>77</v>
      </c>
      <c r="J212" s="9" t="n">
        <v>1400</v>
      </c>
      <c r="K212" s="7" t="n">
        <v>150</v>
      </c>
      <c r="L212" s="7" t="s">
        <v>78</v>
      </c>
      <c r="M212" s="7" t="s">
        <v>79</v>
      </c>
      <c r="N212" s="7" t="n">
        <v>6.5</v>
      </c>
      <c r="O212" s="7" t="n">
        <v>5</v>
      </c>
      <c r="P212" s="7" t="s">
        <v>81</v>
      </c>
      <c r="Q212" s="7" t="s">
        <v>81</v>
      </c>
      <c r="R212" s="7" t="s">
        <v>81</v>
      </c>
      <c r="S212" s="7" t="s">
        <v>81</v>
      </c>
      <c r="T212" s="7" t="s">
        <v>81</v>
      </c>
      <c r="U212" s="7" t="s">
        <v>148</v>
      </c>
      <c r="V212" s="7" t="s">
        <v>266</v>
      </c>
      <c r="W212" s="6" t="str">
        <f aca="false">IF(COUNTA(B212:V212)=0,"",IF(OR(B212="",C212="",D212="",F212="",G212="",H212="",I212="",L212="",M212=""),"ناقص",IF(AND(ISNUMBER(F212),ISNUMBER(H212)),"OK","السنة/السعر لازم أرقام")))</f>
        <v>OK</v>
      </c>
      <c r="X212" s="6" t="str">
        <f aca="false">IF(B212="","",B212&amp;" "&amp;C212&amp;" "&amp;D212&amp;" "&amp;E212&amp;" "&amp;F212&amp;" "&amp;G212&amp;" "&amp;I212&amp;" "&amp;L212&amp;" "&amp;M212&amp;" سعر "&amp;H212&amp;" جنيه "&amp;U212)</f>
        <v>Volkswagen فولكس فاجن Jetta Mk7 جيتا Mk7 2020 مستعمل سيدان أوتوماتيك بنزين سعر 1500000 جنيه تكييف، زجاج كهربائي، قفل مركزي، ABS، مرايات كهربائية، حساسات ركن خلفية، جنوط ألومنيوم، تحكم في الثبات ESP</v>
      </c>
    </row>
    <row r="213" customFormat="false" ht="35.05" hidden="false" customHeight="false" outlineLevel="0" collapsed="false">
      <c r="A213" s="6" t="s">
        <v>766</v>
      </c>
      <c r="B213" s="7" t="s">
        <v>751</v>
      </c>
      <c r="C213" s="6" t="str">
        <f aca="false">IF(B213="","",IFERROR(INDEX(Lists!$K$2:$K$60,MATCH(B213,Lists!$J$2:$J$60,0)),""))</f>
        <v>فولكس فاجن</v>
      </c>
      <c r="D213" s="7" t="s">
        <v>767</v>
      </c>
      <c r="E213" s="7" t="s">
        <v>768</v>
      </c>
      <c r="F213" s="7" t="n">
        <v>2008</v>
      </c>
      <c r="G213" s="7" t="s">
        <v>249</v>
      </c>
      <c r="H213" s="8" t="n">
        <v>550000</v>
      </c>
      <c r="I213" s="7" t="s">
        <v>77</v>
      </c>
      <c r="J213" s="9" t="n">
        <v>1800</v>
      </c>
      <c r="K213" s="7" t="n">
        <v>160</v>
      </c>
      <c r="L213" s="7" t="s">
        <v>135</v>
      </c>
      <c r="M213" s="7" t="s">
        <v>79</v>
      </c>
      <c r="N213" s="7" t="n">
        <v>8.5</v>
      </c>
      <c r="O213" s="7" t="n">
        <v>5</v>
      </c>
      <c r="P213" s="7" t="s">
        <v>80</v>
      </c>
      <c r="Q213" s="7" t="s">
        <v>80</v>
      </c>
      <c r="R213" s="7" t="s">
        <v>81</v>
      </c>
      <c r="S213" s="7" t="s">
        <v>80</v>
      </c>
      <c r="T213" s="7" t="s">
        <v>80</v>
      </c>
      <c r="U213" s="7" t="s">
        <v>251</v>
      </c>
      <c r="V213" s="7" t="s">
        <v>266</v>
      </c>
      <c r="W213" s="6" t="str">
        <f aca="false">IF(COUNTA(B213:V213)=0,"",IF(OR(B213="",C213="",D213="",F213="",G213="",H213="",I213="",L213="",M213=""),"ناقص",IF(AND(ISNUMBER(F213),ISNUMBER(H213)),"OK","السنة/السعر لازم أرقام")))</f>
        <v>OK</v>
      </c>
      <c r="X213" s="6" t="str">
        <f aca="false">IF(B213="","",B213&amp;" "&amp;C213&amp;" "&amp;D213&amp;" "&amp;E213&amp;" "&amp;F213&amp;" "&amp;G213&amp;" "&amp;I213&amp;" "&amp;L213&amp;" "&amp;M213&amp;" سعر "&amp;H213&amp;" جنيه "&amp;U213)</f>
        <v>Volkswagen فولكس فاجن Passat B6 باسات B6 2008 مستعمل سيدان DCT بنزين سعر 550000 جنيه تكييف، زجاج كهربائي، قفل مركزي</v>
      </c>
    </row>
    <row r="214" customFormat="false" ht="46.25" hidden="false" customHeight="false" outlineLevel="0" collapsed="false">
      <c r="A214" s="6" t="s">
        <v>769</v>
      </c>
      <c r="B214" s="7" t="s">
        <v>751</v>
      </c>
      <c r="C214" s="6" t="str">
        <f aca="false">IF(B214="","",IFERROR(INDEX(Lists!$K$2:$K$60,MATCH(B214,Lists!$J$2:$J$60,0)),""))</f>
        <v>فولكس فاجن</v>
      </c>
      <c r="D214" s="7" t="s">
        <v>770</v>
      </c>
      <c r="E214" s="7" t="s">
        <v>771</v>
      </c>
      <c r="F214" s="7" t="n">
        <v>2018</v>
      </c>
      <c r="G214" s="7" t="s">
        <v>249</v>
      </c>
      <c r="H214" s="8" t="n">
        <v>1700000</v>
      </c>
      <c r="I214" s="7" t="s">
        <v>77</v>
      </c>
      <c r="J214" s="9" t="n">
        <v>1800</v>
      </c>
      <c r="K214" s="7" t="n">
        <v>180</v>
      </c>
      <c r="L214" s="7" t="s">
        <v>135</v>
      </c>
      <c r="M214" s="7" t="s">
        <v>79</v>
      </c>
      <c r="N214" s="7" t="n">
        <v>7</v>
      </c>
      <c r="O214" s="7" t="n">
        <v>5</v>
      </c>
      <c r="P214" s="7" t="s">
        <v>81</v>
      </c>
      <c r="Q214" s="7" t="s">
        <v>81</v>
      </c>
      <c r="R214" s="7" t="s">
        <v>81</v>
      </c>
      <c r="S214" s="7" t="s">
        <v>81</v>
      </c>
      <c r="T214" s="7" t="s">
        <v>81</v>
      </c>
      <c r="U214" s="7" t="s">
        <v>299</v>
      </c>
      <c r="V214" s="7" t="s">
        <v>266</v>
      </c>
      <c r="W214" s="6" t="str">
        <f aca="false">IF(COUNTA(B214:V214)=0,"",IF(OR(B214="",C214="",D214="",F214="",G214="",H214="",I214="",L214="",M214=""),"ناقص",IF(AND(ISNUMBER(F214),ISNUMBER(H214)),"OK","السنة/السعر لازم أرقام")))</f>
        <v>OK</v>
      </c>
      <c r="X214" s="6" t="str">
        <f aca="false">IF(B214="","",B214&amp;" "&amp;C214&amp;" "&amp;D214&amp;" "&amp;E214&amp;" "&amp;F214&amp;" "&amp;G214&amp;" "&amp;I214&amp;" "&amp;L214&amp;" "&amp;M214&amp;" سعر "&amp;H214&amp;" جنيه "&amp;U214)</f>
        <v>Volkswagen فولكس فاجن Passat B8 باسات B8 2018 مستعمل سيدان DCT بنزين سعر 1700000 جنيه تكييف، زجاج كهربائي، قفل مركزي، ABS، مرايات كهربائية، حساسات ركن خلفية، جنوط ألومنيوم، تحكم في الثبات ESP، مقاعد كهربائية، إضاءة LED</v>
      </c>
    </row>
    <row r="215" customFormat="false" ht="35.05" hidden="false" customHeight="false" outlineLevel="0" collapsed="false">
      <c r="A215" s="6" t="s">
        <v>772</v>
      </c>
      <c r="B215" s="7" t="s">
        <v>751</v>
      </c>
      <c r="C215" s="6" t="str">
        <f aca="false">IF(B215="","",IFERROR(INDEX(Lists!$K$2:$K$60,MATCH(B215,Lists!$J$2:$J$60,0)),""))</f>
        <v>فولكس فاجن</v>
      </c>
      <c r="D215" s="7" t="s">
        <v>773</v>
      </c>
      <c r="E215" s="7" t="s">
        <v>774</v>
      </c>
      <c r="F215" s="7" t="n">
        <v>2013</v>
      </c>
      <c r="G215" s="7" t="s">
        <v>249</v>
      </c>
      <c r="H215" s="8" t="n">
        <v>1000000</v>
      </c>
      <c r="I215" s="7" t="s">
        <v>113</v>
      </c>
      <c r="J215" s="9" t="n">
        <v>1400</v>
      </c>
      <c r="K215" s="7" t="n">
        <v>150</v>
      </c>
      <c r="L215" s="7" t="s">
        <v>135</v>
      </c>
      <c r="M215" s="7" t="s">
        <v>79</v>
      </c>
      <c r="N215" s="7" t="n">
        <v>8</v>
      </c>
      <c r="O215" s="7" t="n">
        <v>5</v>
      </c>
      <c r="P215" s="7" t="s">
        <v>81</v>
      </c>
      <c r="Q215" s="7" t="s">
        <v>80</v>
      </c>
      <c r="R215" s="7" t="s">
        <v>81</v>
      </c>
      <c r="S215" s="7" t="s">
        <v>81</v>
      </c>
      <c r="T215" s="7" t="s">
        <v>81</v>
      </c>
      <c r="U215" s="7" t="s">
        <v>144</v>
      </c>
      <c r="V215" s="7" t="s">
        <v>266</v>
      </c>
      <c r="W215" s="6" t="str">
        <f aca="false">IF(COUNTA(B215:V215)=0,"",IF(OR(B215="",C215="",D215="",F215="",G215="",H215="",I215="",L215="",M215=""),"ناقص",IF(AND(ISNUMBER(F215),ISNUMBER(H215)),"OK","السنة/السعر لازم أرقام")))</f>
        <v>OK</v>
      </c>
      <c r="X215" s="6" t="str">
        <f aca="false">IF(B215="","",B215&amp;" "&amp;C215&amp;" "&amp;D215&amp;" "&amp;E215&amp;" "&amp;F215&amp;" "&amp;G215&amp;" "&amp;I215&amp;" "&amp;L215&amp;" "&amp;M215&amp;" سعر "&amp;H215&amp;" جنيه "&amp;U215)</f>
        <v>Volkswagen فولكس فاجن Tiguan 5N تيجوان 5N 2013 مستعمل SUV DCT بنزين سعر 1000000 جنيه تكييف، زجاج كهربائي، قفل مركزي، ABS، مرايات كهربائية، حساسات ركن خلفية</v>
      </c>
    </row>
    <row r="216" customFormat="false" ht="46.25" hidden="false" customHeight="false" outlineLevel="0" collapsed="false">
      <c r="A216" s="6" t="s">
        <v>775</v>
      </c>
      <c r="B216" s="7" t="s">
        <v>751</v>
      </c>
      <c r="C216" s="6" t="str">
        <f aca="false">IF(B216="","",IFERROR(INDEX(Lists!$K$2:$K$60,MATCH(B216,Lists!$J$2:$J$60,0)),""))</f>
        <v>فولكس فاجن</v>
      </c>
      <c r="D216" s="7" t="s">
        <v>776</v>
      </c>
      <c r="E216" s="7" t="s">
        <v>777</v>
      </c>
      <c r="F216" s="7" t="n">
        <v>2019</v>
      </c>
      <c r="G216" s="7" t="s">
        <v>249</v>
      </c>
      <c r="H216" s="8" t="n">
        <v>2000000</v>
      </c>
      <c r="I216" s="7" t="s">
        <v>113</v>
      </c>
      <c r="J216" s="9" t="n">
        <v>1400</v>
      </c>
      <c r="K216" s="7" t="n">
        <v>150</v>
      </c>
      <c r="L216" s="7" t="s">
        <v>135</v>
      </c>
      <c r="M216" s="7" t="s">
        <v>79</v>
      </c>
      <c r="N216" s="7" t="n">
        <v>7.5</v>
      </c>
      <c r="O216" s="7" t="n">
        <v>5</v>
      </c>
      <c r="P216" s="7" t="s">
        <v>81</v>
      </c>
      <c r="Q216" s="7" t="s">
        <v>81</v>
      </c>
      <c r="R216" s="7" t="s">
        <v>81</v>
      </c>
      <c r="S216" s="7" t="s">
        <v>81</v>
      </c>
      <c r="T216" s="7" t="s">
        <v>81</v>
      </c>
      <c r="U216" s="7" t="s">
        <v>299</v>
      </c>
      <c r="V216" s="7" t="s">
        <v>266</v>
      </c>
      <c r="W216" s="6" t="str">
        <f aca="false">IF(COUNTA(B216:V216)=0,"",IF(OR(B216="",C216="",D216="",F216="",G216="",H216="",I216="",L216="",M216=""),"ناقص",IF(AND(ISNUMBER(F216),ISNUMBER(H216)),"OK","السنة/السعر لازم أرقام")))</f>
        <v>OK</v>
      </c>
      <c r="X216" s="6" t="str">
        <f aca="false">IF(B216="","",B216&amp;" "&amp;C216&amp;" "&amp;D216&amp;" "&amp;E216&amp;" "&amp;F216&amp;" "&amp;G216&amp;" "&amp;I216&amp;" "&amp;L216&amp;" "&amp;M216&amp;" سعر "&amp;H216&amp;" جنيه "&amp;U216)</f>
        <v>Volkswagen فولكس فاجن Tiguan AD1 تيجوان AD1 2019 مستعمل SUV DCT بنزين سعر 2000000 جنيه تكييف، زجاج كهربائي، قفل مركزي، ABS، مرايات كهربائية، حساسات ركن خلفية، جنوط ألومنيوم، تحكم في الثبات ESP، مقاعد كهربائية، إضاءة LED</v>
      </c>
    </row>
    <row r="217" customFormat="false" ht="35.05" hidden="false" customHeight="false" outlineLevel="0" collapsed="false">
      <c r="A217" s="6" t="s">
        <v>778</v>
      </c>
      <c r="B217" s="7" t="s">
        <v>779</v>
      </c>
      <c r="C217" s="6" t="str">
        <f aca="false">IF(B217="","",IFERROR(INDEX(Lists!$K$2:$K$60,MATCH(B217,Lists!$J$2:$J$60,0)),""))</f>
        <v>سيات</v>
      </c>
      <c r="D217" s="7" t="s">
        <v>780</v>
      </c>
      <c r="E217" s="7" t="s">
        <v>781</v>
      </c>
      <c r="F217" s="7" t="n">
        <v>2010</v>
      </c>
      <c r="G217" s="7" t="s">
        <v>249</v>
      </c>
      <c r="H217" s="8" t="n">
        <v>480000</v>
      </c>
      <c r="I217" s="7" t="s">
        <v>270</v>
      </c>
      <c r="J217" s="9" t="n">
        <v>1600</v>
      </c>
      <c r="K217" s="7" t="n">
        <v>102</v>
      </c>
      <c r="L217" s="7" t="s">
        <v>78</v>
      </c>
      <c r="M217" s="7" t="s">
        <v>79</v>
      </c>
      <c r="N217" s="7" t="n">
        <v>8</v>
      </c>
      <c r="O217" s="7" t="n">
        <v>5</v>
      </c>
      <c r="P217" s="7" t="s">
        <v>80</v>
      </c>
      <c r="Q217" s="7" t="s">
        <v>80</v>
      </c>
      <c r="R217" s="7" t="s">
        <v>80</v>
      </c>
      <c r="S217" s="7" t="s">
        <v>80</v>
      </c>
      <c r="T217" s="7" t="s">
        <v>80</v>
      </c>
      <c r="U217" s="7" t="s">
        <v>256</v>
      </c>
      <c r="V217" s="7" t="s">
        <v>266</v>
      </c>
      <c r="W217" s="6" t="str">
        <f aca="false">IF(COUNTA(B217:V217)=0,"",IF(OR(B217="",C217="",D217="",F217="",G217="",H217="",I217="",L217="",M217=""),"ناقص",IF(AND(ISNUMBER(F217),ISNUMBER(H217)),"OK","السنة/السعر لازم أرقام")))</f>
        <v>OK</v>
      </c>
      <c r="X217" s="6" t="str">
        <f aca="false">IF(B217="","",B217&amp;" "&amp;C217&amp;" "&amp;D217&amp;" "&amp;E217&amp;" "&amp;F217&amp;" "&amp;G217&amp;" "&amp;I217&amp;" "&amp;L217&amp;" "&amp;M217&amp;" سعر "&amp;H217&amp;" جنيه "&amp;U217)</f>
        <v>Seat سيات Leon 1P سيات ليون 1P 2010 مستعمل هاتشباك أوتوماتيك بنزين سعر 480000 جنيه تكييف، زجاج كهربائي، قفل مركزي، ABS</v>
      </c>
    </row>
    <row r="218" customFormat="false" ht="35.05" hidden="false" customHeight="false" outlineLevel="0" collapsed="false">
      <c r="A218" s="6" t="s">
        <v>782</v>
      </c>
      <c r="B218" s="7" t="s">
        <v>779</v>
      </c>
      <c r="C218" s="6" t="str">
        <f aca="false">IF(B218="","",IFERROR(INDEX(Lists!$K$2:$K$60,MATCH(B218,Lists!$J$2:$J$60,0)),""))</f>
        <v>سيات</v>
      </c>
      <c r="D218" s="7" t="s">
        <v>783</v>
      </c>
      <c r="E218" s="7" t="s">
        <v>784</v>
      </c>
      <c r="F218" s="7" t="n">
        <v>2017</v>
      </c>
      <c r="G218" s="7" t="s">
        <v>249</v>
      </c>
      <c r="H218" s="8" t="n">
        <v>1000000</v>
      </c>
      <c r="I218" s="7" t="s">
        <v>270</v>
      </c>
      <c r="J218" s="9" t="n">
        <v>1400</v>
      </c>
      <c r="K218" s="7" t="n">
        <v>125</v>
      </c>
      <c r="L218" s="7" t="s">
        <v>135</v>
      </c>
      <c r="M218" s="7" t="s">
        <v>79</v>
      </c>
      <c r="N218" s="7" t="n">
        <v>6</v>
      </c>
      <c r="O218" s="7" t="n">
        <v>5</v>
      </c>
      <c r="P218" s="7" t="s">
        <v>81</v>
      </c>
      <c r="Q218" s="7" t="s">
        <v>81</v>
      </c>
      <c r="R218" s="7" t="s">
        <v>81</v>
      </c>
      <c r="S218" s="7" t="s">
        <v>81</v>
      </c>
      <c r="T218" s="7" t="s">
        <v>81</v>
      </c>
      <c r="U218" s="7" t="s">
        <v>148</v>
      </c>
      <c r="V218" s="7" t="s">
        <v>266</v>
      </c>
      <c r="W218" s="6" t="str">
        <f aca="false">IF(COUNTA(B218:V218)=0,"",IF(OR(B218="",C218="",D218="",F218="",G218="",H218="",I218="",L218="",M218=""),"ناقص",IF(AND(ISNUMBER(F218),ISNUMBER(H218)),"OK","السنة/السعر لازم أرقام")))</f>
        <v>OK</v>
      </c>
      <c r="X218" s="6" t="str">
        <f aca="false">IF(B218="","",B218&amp;" "&amp;C218&amp;" "&amp;D218&amp;" "&amp;E218&amp;" "&amp;F218&amp;" "&amp;G218&amp;" "&amp;I218&amp;" "&amp;L218&amp;" "&amp;M218&amp;" سعر "&amp;H218&amp;" جنيه "&amp;U218)</f>
        <v>Seat سيات Leon 5F سيات ليون 5F 2017 مستعمل هاتشباك DCT بنزين سعر 1000000 جنيه تكييف، زجاج كهربائي، قفل مركزي، ABS، مرايات كهربائية، حساسات ركن خلفية، جنوط ألومنيوم، تحكم في الثبات ESP</v>
      </c>
    </row>
    <row r="219" customFormat="false" ht="35.05" hidden="false" customHeight="false" outlineLevel="0" collapsed="false">
      <c r="A219" s="6" t="s">
        <v>785</v>
      </c>
      <c r="B219" s="7" t="s">
        <v>779</v>
      </c>
      <c r="C219" s="6" t="str">
        <f aca="false">IF(B219="","",IFERROR(INDEX(Lists!$K$2:$K$60,MATCH(B219,Lists!$J$2:$J$60,0)),""))</f>
        <v>سيات</v>
      </c>
      <c r="D219" s="7" t="s">
        <v>786</v>
      </c>
      <c r="E219" s="7" t="s">
        <v>787</v>
      </c>
      <c r="F219" s="7" t="n">
        <v>2013</v>
      </c>
      <c r="G219" s="7" t="s">
        <v>249</v>
      </c>
      <c r="H219" s="8" t="n">
        <v>520000</v>
      </c>
      <c r="I219" s="7" t="s">
        <v>270</v>
      </c>
      <c r="J219" s="9" t="n">
        <v>1200</v>
      </c>
      <c r="K219" s="7" t="n">
        <v>105</v>
      </c>
      <c r="L219" s="7" t="s">
        <v>135</v>
      </c>
      <c r="M219" s="7" t="s">
        <v>79</v>
      </c>
      <c r="N219" s="7" t="n">
        <v>5.8</v>
      </c>
      <c r="O219" s="7" t="n">
        <v>5</v>
      </c>
      <c r="P219" s="7" t="s">
        <v>80</v>
      </c>
      <c r="Q219" s="7" t="s">
        <v>80</v>
      </c>
      <c r="R219" s="7" t="s">
        <v>80</v>
      </c>
      <c r="S219" s="7" t="s">
        <v>80</v>
      </c>
      <c r="T219" s="7" t="s">
        <v>80</v>
      </c>
      <c r="U219" s="7" t="s">
        <v>144</v>
      </c>
      <c r="V219" s="7" t="s">
        <v>266</v>
      </c>
      <c r="W219" s="6" t="str">
        <f aca="false">IF(COUNTA(B219:V219)=0,"",IF(OR(B219="",C219="",D219="",F219="",G219="",H219="",I219="",L219="",M219=""),"ناقص",IF(AND(ISNUMBER(F219),ISNUMBER(H219)),"OK","السنة/السعر لازم أرقام")))</f>
        <v>OK</v>
      </c>
      <c r="X219" s="6" t="str">
        <f aca="false">IF(B219="","",B219&amp;" "&amp;C219&amp;" "&amp;D219&amp;" "&amp;E219&amp;" "&amp;F219&amp;" "&amp;G219&amp;" "&amp;I219&amp;" "&amp;L219&amp;" "&amp;M219&amp;" سعر "&amp;H219&amp;" جنيه "&amp;U219)</f>
        <v>Seat سيات Ibiza 6J سيات إيبيزا 6J 2013 مستعمل هاتشباك DCT بنزين سعر 520000 جنيه تكييف، زجاج كهربائي، قفل مركزي، ABS، مرايات كهربائية، حساسات ركن خلفية</v>
      </c>
    </row>
    <row r="220" customFormat="false" ht="35.05" hidden="false" customHeight="false" outlineLevel="0" collapsed="false">
      <c r="A220" s="6" t="s">
        <v>788</v>
      </c>
      <c r="B220" s="7" t="s">
        <v>779</v>
      </c>
      <c r="C220" s="6" t="str">
        <f aca="false">IF(B220="","",IFERROR(INDEX(Lists!$K$2:$K$60,MATCH(B220,Lists!$J$2:$J$60,0)),""))</f>
        <v>سيات</v>
      </c>
      <c r="D220" s="7" t="s">
        <v>789</v>
      </c>
      <c r="E220" s="7" t="s">
        <v>790</v>
      </c>
      <c r="F220" s="7" t="n">
        <v>2002</v>
      </c>
      <c r="G220" s="7" t="s">
        <v>249</v>
      </c>
      <c r="H220" s="8" t="n">
        <v>230000</v>
      </c>
      <c r="I220" s="7" t="s">
        <v>77</v>
      </c>
      <c r="J220" s="9" t="n">
        <v>1600</v>
      </c>
      <c r="K220" s="7" t="n">
        <v>100</v>
      </c>
      <c r="L220" s="7" t="s">
        <v>250</v>
      </c>
      <c r="M220" s="7" t="s">
        <v>79</v>
      </c>
      <c r="N220" s="7" t="n">
        <v>8.5</v>
      </c>
      <c r="O220" s="7" t="n">
        <v>5</v>
      </c>
      <c r="P220" s="7" t="s">
        <v>80</v>
      </c>
      <c r="Q220" s="7" t="s">
        <v>80</v>
      </c>
      <c r="R220" s="7" t="s">
        <v>80</v>
      </c>
      <c r="S220" s="7" t="s">
        <v>80</v>
      </c>
      <c r="T220" s="7" t="s">
        <v>80</v>
      </c>
      <c r="U220" s="7" t="s">
        <v>251</v>
      </c>
      <c r="V220" s="7" t="s">
        <v>266</v>
      </c>
      <c r="W220" s="6" t="str">
        <f aca="false">IF(COUNTA(B220:V220)=0,"",IF(OR(B220="",C220="",D220="",F220="",G220="",H220="",I220="",L220="",M220=""),"ناقص",IF(AND(ISNUMBER(F220),ISNUMBER(H220)),"OK","السنة/السعر لازم أرقام")))</f>
        <v>OK</v>
      </c>
      <c r="X220" s="6" t="str">
        <f aca="false">IF(B220="","",B220&amp;" "&amp;C220&amp;" "&amp;D220&amp;" "&amp;E220&amp;" "&amp;F220&amp;" "&amp;G220&amp;" "&amp;I220&amp;" "&amp;L220&amp;" "&amp;M220&amp;" سعر "&amp;H220&amp;" جنيه "&amp;U220)</f>
        <v>Seat سيات Toledo سيات توليدو 2002 مستعمل سيدان مانيوال بنزين سعر 230000 جنيه تكييف، زجاج كهربائي، قفل مركزي</v>
      </c>
    </row>
    <row r="221" customFormat="false" ht="35.05" hidden="false" customHeight="false" outlineLevel="0" collapsed="false">
      <c r="A221" s="6" t="s">
        <v>791</v>
      </c>
      <c r="B221" s="7" t="s">
        <v>792</v>
      </c>
      <c r="C221" s="6" t="str">
        <f aca="false">IF(B221="","",IFERROR(INDEX(Lists!$K$2:$K$60,MATCH(B221,Lists!$J$2:$J$60,0)),""))</f>
        <v>بي إم دبليو</v>
      </c>
      <c r="D221" s="7" t="s">
        <v>793</v>
      </c>
      <c r="E221" s="7" t="s">
        <v>794</v>
      </c>
      <c r="F221" s="7" t="n">
        <v>2003</v>
      </c>
      <c r="G221" s="7" t="s">
        <v>249</v>
      </c>
      <c r="H221" s="8" t="n">
        <v>430000</v>
      </c>
      <c r="I221" s="7" t="s">
        <v>77</v>
      </c>
      <c r="J221" s="9" t="n">
        <v>1600</v>
      </c>
      <c r="K221" s="7" t="n">
        <v>115</v>
      </c>
      <c r="L221" s="7" t="s">
        <v>78</v>
      </c>
      <c r="M221" s="7" t="s">
        <v>79</v>
      </c>
      <c r="N221" s="7" t="n">
        <v>9</v>
      </c>
      <c r="O221" s="7" t="n">
        <v>5</v>
      </c>
      <c r="P221" s="7" t="s">
        <v>80</v>
      </c>
      <c r="Q221" s="7" t="s">
        <v>80</v>
      </c>
      <c r="R221" s="7" t="s">
        <v>80</v>
      </c>
      <c r="S221" s="7" t="s">
        <v>80</v>
      </c>
      <c r="T221" s="7" t="s">
        <v>80</v>
      </c>
      <c r="U221" s="7" t="s">
        <v>251</v>
      </c>
      <c r="V221" s="7" t="s">
        <v>266</v>
      </c>
      <c r="W221" s="6" t="str">
        <f aca="false">IF(COUNTA(B221:V221)=0,"",IF(OR(B221="",C221="",D221="",F221="",G221="",H221="",I221="",L221="",M221=""),"ناقص",IF(AND(ISNUMBER(F221),ISNUMBER(H221)),"OK","السنة/السعر لازم أرقام")))</f>
        <v>OK</v>
      </c>
      <c r="X221" s="6" t="str">
        <f aca="false">IF(B221="","",B221&amp;" "&amp;C221&amp;" "&amp;D221&amp;" "&amp;E221&amp;" "&amp;F221&amp;" "&amp;G221&amp;" "&amp;I221&amp;" "&amp;L221&amp;" "&amp;M221&amp;" سعر "&amp;H221&amp;" جنيه "&amp;U221)</f>
        <v>BMW بي إم دبليو 316i E46 بي إم دبليو 316i E46 2003 مستعمل سيدان أوتوماتيك بنزين سعر 430000 جنيه تكييف، زجاج كهربائي، قفل مركزي</v>
      </c>
    </row>
    <row r="222" customFormat="false" ht="35.05" hidden="false" customHeight="false" outlineLevel="0" collapsed="false">
      <c r="A222" s="6" t="s">
        <v>795</v>
      </c>
      <c r="B222" s="7" t="s">
        <v>792</v>
      </c>
      <c r="C222" s="6" t="str">
        <f aca="false">IF(B222="","",IFERROR(INDEX(Lists!$K$2:$K$60,MATCH(B222,Lists!$J$2:$J$60,0)),""))</f>
        <v>بي إم دبليو</v>
      </c>
      <c r="D222" s="7" t="s">
        <v>796</v>
      </c>
      <c r="E222" s="7" t="s">
        <v>797</v>
      </c>
      <c r="F222" s="7" t="n">
        <v>2009</v>
      </c>
      <c r="G222" s="7" t="s">
        <v>249</v>
      </c>
      <c r="H222" s="8" t="n">
        <v>750000</v>
      </c>
      <c r="I222" s="7" t="s">
        <v>77</v>
      </c>
      <c r="J222" s="9" t="n">
        <v>2000</v>
      </c>
      <c r="K222" s="7" t="n">
        <v>150</v>
      </c>
      <c r="L222" s="7" t="s">
        <v>78</v>
      </c>
      <c r="M222" s="7" t="s">
        <v>79</v>
      </c>
      <c r="N222" s="7" t="n">
        <v>9</v>
      </c>
      <c r="O222" s="7" t="n">
        <v>5</v>
      </c>
      <c r="P222" s="7" t="s">
        <v>80</v>
      </c>
      <c r="Q222" s="7" t="s">
        <v>80</v>
      </c>
      <c r="R222" s="7" t="s">
        <v>81</v>
      </c>
      <c r="S222" s="7" t="s">
        <v>80</v>
      </c>
      <c r="T222" s="7" t="s">
        <v>80</v>
      </c>
      <c r="U222" s="7" t="s">
        <v>251</v>
      </c>
      <c r="V222" s="7" t="s">
        <v>266</v>
      </c>
      <c r="W222" s="6" t="str">
        <f aca="false">IF(COUNTA(B222:V222)=0,"",IF(OR(B222="",C222="",D222="",F222="",G222="",H222="",I222="",L222="",M222=""),"ناقص",IF(AND(ISNUMBER(F222),ISNUMBER(H222)),"OK","السنة/السعر لازم أرقام")))</f>
        <v>OK</v>
      </c>
      <c r="X222" s="6" t="str">
        <f aca="false">IF(B222="","",B222&amp;" "&amp;C222&amp;" "&amp;D222&amp;" "&amp;E222&amp;" "&amp;F222&amp;" "&amp;G222&amp;" "&amp;I222&amp;" "&amp;L222&amp;" "&amp;M222&amp;" سعر "&amp;H222&amp;" جنيه "&amp;U222)</f>
        <v>BMW بي إم دبليو 320i E90 بي إم دبليو 320i E90 2009 مستعمل سيدان أوتوماتيك بنزين سعر 750000 جنيه تكييف، زجاج كهربائي، قفل مركزي</v>
      </c>
    </row>
    <row r="223" customFormat="false" ht="46.25" hidden="false" customHeight="false" outlineLevel="0" collapsed="false">
      <c r="A223" s="6" t="s">
        <v>798</v>
      </c>
      <c r="B223" s="7" t="s">
        <v>792</v>
      </c>
      <c r="C223" s="6" t="str">
        <f aca="false">IF(B223="","",IFERROR(INDEX(Lists!$K$2:$K$60,MATCH(B223,Lists!$J$2:$J$60,0)),""))</f>
        <v>بي إم دبليو</v>
      </c>
      <c r="D223" s="7" t="s">
        <v>799</v>
      </c>
      <c r="E223" s="7" t="s">
        <v>800</v>
      </c>
      <c r="F223" s="7" t="n">
        <v>2015</v>
      </c>
      <c r="G223" s="7" t="s">
        <v>249</v>
      </c>
      <c r="H223" s="8" t="n">
        <v>1500000</v>
      </c>
      <c r="I223" s="7" t="s">
        <v>77</v>
      </c>
      <c r="J223" s="9" t="n">
        <v>2000</v>
      </c>
      <c r="K223" s="7" t="n">
        <v>184</v>
      </c>
      <c r="L223" s="7" t="s">
        <v>78</v>
      </c>
      <c r="M223" s="7" t="s">
        <v>79</v>
      </c>
      <c r="N223" s="7" t="n">
        <v>7.5</v>
      </c>
      <c r="O223" s="7" t="n">
        <v>5</v>
      </c>
      <c r="P223" s="7" t="s">
        <v>81</v>
      </c>
      <c r="Q223" s="7" t="s">
        <v>81</v>
      </c>
      <c r="R223" s="7" t="s">
        <v>81</v>
      </c>
      <c r="S223" s="7" t="s">
        <v>81</v>
      </c>
      <c r="T223" s="7" t="s">
        <v>81</v>
      </c>
      <c r="U223" s="7" t="s">
        <v>299</v>
      </c>
      <c r="V223" s="7" t="s">
        <v>266</v>
      </c>
      <c r="W223" s="6" t="str">
        <f aca="false">IF(COUNTA(B223:V223)=0,"",IF(OR(B223="",C223="",D223="",F223="",G223="",H223="",I223="",L223="",M223=""),"ناقص",IF(AND(ISNUMBER(F223),ISNUMBER(H223)),"OK","السنة/السعر لازم أرقام")))</f>
        <v>OK</v>
      </c>
      <c r="X223" s="6" t="str">
        <f aca="false">IF(B223="","",B223&amp;" "&amp;C223&amp;" "&amp;D223&amp;" "&amp;E223&amp;" "&amp;F223&amp;" "&amp;G223&amp;" "&amp;I223&amp;" "&amp;L223&amp;" "&amp;M223&amp;" سعر "&amp;H223&amp;" جنيه "&amp;U223)</f>
        <v>BMW بي إم دبليو 320i F30 بي إم دبليو 320i F30 2015 مستعمل سيدان أوتوماتيك بنزين سعر 1500000 جنيه تكييف، زجاج كهربائي، قفل مركزي، ABS، مرايات كهربائية، حساسات ركن خلفية، جنوط ألومنيوم، تحكم في الثبات ESP، مقاعد كهربائية، إضاءة LED</v>
      </c>
    </row>
    <row r="224" customFormat="false" ht="46.25" hidden="false" customHeight="false" outlineLevel="0" collapsed="false">
      <c r="A224" s="6" t="s">
        <v>801</v>
      </c>
      <c r="B224" s="7" t="s">
        <v>792</v>
      </c>
      <c r="C224" s="6" t="str">
        <f aca="false">IF(B224="","",IFERROR(INDEX(Lists!$K$2:$K$60,MATCH(B224,Lists!$J$2:$J$60,0)),""))</f>
        <v>بي إم دبليو</v>
      </c>
      <c r="D224" s="7" t="s">
        <v>802</v>
      </c>
      <c r="E224" s="7" t="s">
        <v>803</v>
      </c>
      <c r="F224" s="7" t="n">
        <v>2020</v>
      </c>
      <c r="G224" s="7" t="s">
        <v>249</v>
      </c>
      <c r="H224" s="8" t="n">
        <v>3000000</v>
      </c>
      <c r="I224" s="7" t="s">
        <v>77</v>
      </c>
      <c r="J224" s="9" t="n">
        <v>2000</v>
      </c>
      <c r="K224" s="7" t="n">
        <v>184</v>
      </c>
      <c r="L224" s="7" t="s">
        <v>78</v>
      </c>
      <c r="M224" s="7" t="s">
        <v>79</v>
      </c>
      <c r="N224" s="7" t="n">
        <v>7</v>
      </c>
      <c r="O224" s="7" t="n">
        <v>5</v>
      </c>
      <c r="P224" s="7" t="s">
        <v>81</v>
      </c>
      <c r="Q224" s="7" t="s">
        <v>81</v>
      </c>
      <c r="R224" s="7" t="s">
        <v>81</v>
      </c>
      <c r="S224" s="7" t="s">
        <v>81</v>
      </c>
      <c r="T224" s="7" t="s">
        <v>81</v>
      </c>
      <c r="U224" s="7" t="s">
        <v>299</v>
      </c>
      <c r="V224" s="7" t="s">
        <v>266</v>
      </c>
      <c r="W224" s="6" t="str">
        <f aca="false">IF(COUNTA(B224:V224)=0,"",IF(OR(B224="",C224="",D224="",F224="",G224="",H224="",I224="",L224="",M224=""),"ناقص",IF(AND(ISNUMBER(F224),ISNUMBER(H224)),"OK","السنة/السعر لازم أرقام")))</f>
        <v>OK</v>
      </c>
      <c r="X224" s="6" t="str">
        <f aca="false">IF(B224="","",B224&amp;" "&amp;C224&amp;" "&amp;D224&amp;" "&amp;E224&amp;" "&amp;F224&amp;" "&amp;G224&amp;" "&amp;I224&amp;" "&amp;L224&amp;" "&amp;M224&amp;" سعر "&amp;H224&amp;" جنيه "&amp;U224)</f>
        <v>BMW بي إم دبليو 320i G20 بي إم دبليو 320i G20 2020 مستعمل سيدان أوتوماتيك بنزين سعر 3000000 جنيه تكييف، زجاج كهربائي، قفل مركزي، ABS، مرايات كهربائية، حساسات ركن خلفية، جنوط ألومنيوم، تحكم في الثبات ESP، مقاعد كهربائية، إضاءة LED</v>
      </c>
    </row>
    <row r="225" customFormat="false" ht="35.05" hidden="false" customHeight="false" outlineLevel="0" collapsed="false">
      <c r="A225" s="6" t="s">
        <v>804</v>
      </c>
      <c r="B225" s="7" t="s">
        <v>792</v>
      </c>
      <c r="C225" s="6" t="str">
        <f aca="false">IF(B225="","",IFERROR(INDEX(Lists!$K$2:$K$60,MATCH(B225,Lists!$J$2:$J$60,0)),""))</f>
        <v>بي إم دبليو</v>
      </c>
      <c r="D225" s="7" t="s">
        <v>805</v>
      </c>
      <c r="E225" s="7" t="s">
        <v>806</v>
      </c>
      <c r="F225" s="7" t="n">
        <v>2007</v>
      </c>
      <c r="G225" s="7" t="s">
        <v>249</v>
      </c>
      <c r="H225" s="8" t="n">
        <v>600000</v>
      </c>
      <c r="I225" s="7" t="s">
        <v>77</v>
      </c>
      <c r="J225" s="9" t="n">
        <v>2000</v>
      </c>
      <c r="K225" s="7" t="n">
        <v>150</v>
      </c>
      <c r="L225" s="7" t="s">
        <v>78</v>
      </c>
      <c r="M225" s="7" t="s">
        <v>79</v>
      </c>
      <c r="N225" s="7" t="n">
        <v>9.5</v>
      </c>
      <c r="O225" s="7" t="n">
        <v>5</v>
      </c>
      <c r="P225" s="7" t="s">
        <v>81</v>
      </c>
      <c r="Q225" s="7" t="s">
        <v>80</v>
      </c>
      <c r="R225" s="7" t="s">
        <v>80</v>
      </c>
      <c r="S225" s="7" t="s">
        <v>81</v>
      </c>
      <c r="T225" s="7" t="s">
        <v>80</v>
      </c>
      <c r="U225" s="7" t="s">
        <v>807</v>
      </c>
      <c r="V225" s="7" t="s">
        <v>266</v>
      </c>
      <c r="W225" s="6" t="str">
        <f aca="false">IF(COUNTA(B225:V225)=0,"",IF(OR(B225="",C225="",D225="",F225="",G225="",H225="",I225="",L225="",M225=""),"ناقص",IF(AND(ISNUMBER(F225),ISNUMBER(H225)),"OK","السنة/السعر لازم أرقام")))</f>
        <v>OK</v>
      </c>
      <c r="X225" s="6" t="str">
        <f aca="false">IF(B225="","",B225&amp;" "&amp;C225&amp;" "&amp;D225&amp;" "&amp;E225&amp;" "&amp;F225&amp;" "&amp;G225&amp;" "&amp;I225&amp;" "&amp;L225&amp;" "&amp;M225&amp;" سعر "&amp;H225&amp;" جنيه "&amp;U225)</f>
        <v>BMW بي إم دبليو 520i E60 بي إم دبليو 520i E60 2007 مستعمل سيدان أوتوماتيك بنزين سعر 600000 جنيه تكييف، زجاج كهربائي، قفل مركزي، مقاعد كهربائية، إضاءة LED</v>
      </c>
    </row>
    <row r="226" customFormat="false" ht="46.25" hidden="false" customHeight="false" outlineLevel="0" collapsed="false">
      <c r="A226" s="6" t="s">
        <v>808</v>
      </c>
      <c r="B226" s="7" t="s">
        <v>792</v>
      </c>
      <c r="C226" s="6" t="str">
        <f aca="false">IF(B226="","",IFERROR(INDEX(Lists!$K$2:$K$60,MATCH(B226,Lists!$J$2:$J$60,0)),""))</f>
        <v>بي إم دبليو</v>
      </c>
      <c r="D226" s="7" t="s">
        <v>809</v>
      </c>
      <c r="E226" s="7" t="s">
        <v>810</v>
      </c>
      <c r="F226" s="7" t="n">
        <v>2014</v>
      </c>
      <c r="G226" s="7" t="s">
        <v>249</v>
      </c>
      <c r="H226" s="8" t="n">
        <v>1400000</v>
      </c>
      <c r="I226" s="7" t="s">
        <v>77</v>
      </c>
      <c r="J226" s="9" t="n">
        <v>2000</v>
      </c>
      <c r="K226" s="7" t="n">
        <v>184</v>
      </c>
      <c r="L226" s="7" t="s">
        <v>78</v>
      </c>
      <c r="M226" s="7" t="s">
        <v>79</v>
      </c>
      <c r="N226" s="7" t="n">
        <v>8</v>
      </c>
      <c r="O226" s="7" t="n">
        <v>5</v>
      </c>
      <c r="P226" s="7" t="s">
        <v>81</v>
      </c>
      <c r="Q226" s="7" t="s">
        <v>80</v>
      </c>
      <c r="R226" s="7" t="s">
        <v>81</v>
      </c>
      <c r="S226" s="7" t="s">
        <v>81</v>
      </c>
      <c r="T226" s="7" t="s">
        <v>81</v>
      </c>
      <c r="U226" s="7" t="s">
        <v>299</v>
      </c>
      <c r="V226" s="7" t="s">
        <v>266</v>
      </c>
      <c r="W226" s="6" t="str">
        <f aca="false">IF(COUNTA(B226:V226)=0,"",IF(OR(B226="",C226="",D226="",F226="",G226="",H226="",I226="",L226="",M226=""),"ناقص",IF(AND(ISNUMBER(F226),ISNUMBER(H226)),"OK","السنة/السعر لازم أرقام")))</f>
        <v>OK</v>
      </c>
      <c r="X226" s="6" t="str">
        <f aca="false">IF(B226="","",B226&amp;" "&amp;C226&amp;" "&amp;D226&amp;" "&amp;E226&amp;" "&amp;F226&amp;" "&amp;G226&amp;" "&amp;I226&amp;" "&amp;L226&amp;" "&amp;M226&amp;" سعر "&amp;H226&amp;" جنيه "&amp;U226)</f>
        <v>BMW بي إم دبليو 520i F10 بي إم دبليو 520i F10 2014 مستعمل سيدان أوتوماتيك بنزين سعر 1400000 جنيه تكييف، زجاج كهربائي، قفل مركزي، ABS، مرايات كهربائية، حساسات ركن خلفية، جنوط ألومنيوم، تحكم في الثبات ESP، مقاعد كهربائية، إضاءة LED</v>
      </c>
    </row>
    <row r="227" customFormat="false" ht="35.05" hidden="false" customHeight="false" outlineLevel="0" collapsed="false">
      <c r="A227" s="6" t="s">
        <v>811</v>
      </c>
      <c r="B227" s="7" t="s">
        <v>792</v>
      </c>
      <c r="C227" s="6" t="str">
        <f aca="false">IF(B227="","",IFERROR(INDEX(Lists!$K$2:$K$60,MATCH(B227,Lists!$J$2:$J$60,0)),""))</f>
        <v>بي إم دبليو</v>
      </c>
      <c r="D227" s="7" t="s">
        <v>812</v>
      </c>
      <c r="E227" s="7" t="s">
        <v>813</v>
      </c>
      <c r="F227" s="7" t="n">
        <v>2013</v>
      </c>
      <c r="G227" s="7" t="s">
        <v>249</v>
      </c>
      <c r="H227" s="8" t="n">
        <v>1100000</v>
      </c>
      <c r="I227" s="7" t="s">
        <v>113</v>
      </c>
      <c r="J227" s="9" t="n">
        <v>2000</v>
      </c>
      <c r="K227" s="7" t="n">
        <v>150</v>
      </c>
      <c r="L227" s="7" t="s">
        <v>78</v>
      </c>
      <c r="M227" s="7" t="s">
        <v>79</v>
      </c>
      <c r="N227" s="7" t="n">
        <v>8.5</v>
      </c>
      <c r="O227" s="7" t="n">
        <v>5</v>
      </c>
      <c r="P227" s="7" t="s">
        <v>81</v>
      </c>
      <c r="Q227" s="7" t="s">
        <v>80</v>
      </c>
      <c r="R227" s="7" t="s">
        <v>81</v>
      </c>
      <c r="S227" s="7" t="s">
        <v>81</v>
      </c>
      <c r="T227" s="7" t="s">
        <v>81</v>
      </c>
      <c r="U227" s="7" t="s">
        <v>144</v>
      </c>
      <c r="V227" s="7" t="s">
        <v>266</v>
      </c>
      <c r="W227" s="6" t="str">
        <f aca="false">IF(COUNTA(B227:V227)=0,"",IF(OR(B227="",C227="",D227="",F227="",G227="",H227="",I227="",L227="",M227=""),"ناقص",IF(AND(ISNUMBER(F227),ISNUMBER(H227)),"OK","السنة/السعر لازم أرقام")))</f>
        <v>OK</v>
      </c>
      <c r="X227" s="6" t="str">
        <f aca="false">IF(B227="","",B227&amp;" "&amp;C227&amp;" "&amp;D227&amp;" "&amp;E227&amp;" "&amp;F227&amp;" "&amp;G227&amp;" "&amp;I227&amp;" "&amp;L227&amp;" "&amp;M227&amp;" سعر "&amp;H227&amp;" جنيه "&amp;U227)</f>
        <v>BMW بي إم دبليو X1 E84 بي إم دبليو X1 E84 2013 مستعمل SUV أوتوماتيك بنزين سعر 1100000 جنيه تكييف، زجاج كهربائي، قفل مركزي، ABS، مرايات كهربائية، حساسات ركن خلفية</v>
      </c>
    </row>
    <row r="228" customFormat="false" ht="46.25" hidden="false" customHeight="false" outlineLevel="0" collapsed="false">
      <c r="A228" s="6" t="s">
        <v>814</v>
      </c>
      <c r="B228" s="7" t="s">
        <v>792</v>
      </c>
      <c r="C228" s="6" t="str">
        <f aca="false">IF(B228="","",IFERROR(INDEX(Lists!$K$2:$K$60,MATCH(B228,Lists!$J$2:$J$60,0)),""))</f>
        <v>بي إم دبليو</v>
      </c>
      <c r="D228" s="7" t="s">
        <v>815</v>
      </c>
      <c r="E228" s="7" t="s">
        <v>816</v>
      </c>
      <c r="F228" s="7" t="n">
        <v>2014</v>
      </c>
      <c r="G228" s="7" t="s">
        <v>249</v>
      </c>
      <c r="H228" s="8" t="n">
        <v>1500000</v>
      </c>
      <c r="I228" s="7" t="s">
        <v>113</v>
      </c>
      <c r="J228" s="9" t="n">
        <v>2000</v>
      </c>
      <c r="K228" s="7" t="n">
        <v>184</v>
      </c>
      <c r="L228" s="7" t="s">
        <v>78</v>
      </c>
      <c r="M228" s="7" t="s">
        <v>79</v>
      </c>
      <c r="N228" s="7" t="n">
        <v>9</v>
      </c>
      <c r="O228" s="7" t="n">
        <v>5</v>
      </c>
      <c r="P228" s="7" t="s">
        <v>81</v>
      </c>
      <c r="Q228" s="7" t="s">
        <v>80</v>
      </c>
      <c r="R228" s="7" t="s">
        <v>81</v>
      </c>
      <c r="S228" s="7" t="s">
        <v>81</v>
      </c>
      <c r="T228" s="7" t="s">
        <v>81</v>
      </c>
      <c r="U228" s="7" t="s">
        <v>299</v>
      </c>
      <c r="V228" s="7" t="s">
        <v>266</v>
      </c>
      <c r="W228" s="6" t="str">
        <f aca="false">IF(COUNTA(B228:V228)=0,"",IF(OR(B228="",C228="",D228="",F228="",G228="",H228="",I228="",L228="",M228=""),"ناقص",IF(AND(ISNUMBER(F228),ISNUMBER(H228)),"OK","السنة/السعر لازم أرقام")))</f>
        <v>OK</v>
      </c>
      <c r="X228" s="6" t="str">
        <f aca="false">IF(B228="","",B228&amp;" "&amp;C228&amp;" "&amp;D228&amp;" "&amp;E228&amp;" "&amp;F228&amp;" "&amp;G228&amp;" "&amp;I228&amp;" "&amp;L228&amp;" "&amp;M228&amp;" سعر "&amp;H228&amp;" جنيه "&amp;U228)</f>
        <v>BMW بي إم دبليو X3 F25 بي إم دبليو X3 F25 2014 مستعمل SUV أوتوماتيك بنزين سعر 1500000 جنيه تكييف، زجاج كهربائي، قفل مركزي، ABS، مرايات كهربائية، حساسات ركن خلفية، جنوط ألومنيوم، تحكم في الثبات ESP، مقاعد كهربائية، إضاءة LED</v>
      </c>
    </row>
    <row r="229" customFormat="false" ht="35.05" hidden="false" customHeight="false" outlineLevel="0" collapsed="false">
      <c r="A229" s="6" t="s">
        <v>817</v>
      </c>
      <c r="B229" s="7" t="s">
        <v>792</v>
      </c>
      <c r="C229" s="6" t="str">
        <f aca="false">IF(B229="","",IFERROR(INDEX(Lists!$K$2:$K$60,MATCH(B229,Lists!$J$2:$J$60,0)),""))</f>
        <v>بي إم دبليو</v>
      </c>
      <c r="D229" s="7" t="s">
        <v>818</v>
      </c>
      <c r="E229" s="7" t="s">
        <v>819</v>
      </c>
      <c r="F229" s="7" t="n">
        <v>2010</v>
      </c>
      <c r="G229" s="7" t="s">
        <v>249</v>
      </c>
      <c r="H229" s="8" t="n">
        <v>1200000</v>
      </c>
      <c r="I229" s="7" t="s">
        <v>113</v>
      </c>
      <c r="J229" s="9" t="n">
        <v>3000</v>
      </c>
      <c r="K229" s="7" t="n">
        <v>272</v>
      </c>
      <c r="L229" s="7" t="s">
        <v>78</v>
      </c>
      <c r="M229" s="7" t="s">
        <v>79</v>
      </c>
      <c r="N229" s="7" t="n">
        <v>12</v>
      </c>
      <c r="O229" s="7" t="n">
        <v>5</v>
      </c>
      <c r="P229" s="7" t="s">
        <v>81</v>
      </c>
      <c r="Q229" s="7" t="s">
        <v>80</v>
      </c>
      <c r="R229" s="7" t="s">
        <v>81</v>
      </c>
      <c r="S229" s="7" t="s">
        <v>81</v>
      </c>
      <c r="T229" s="7" t="s">
        <v>80</v>
      </c>
      <c r="U229" s="7" t="s">
        <v>820</v>
      </c>
      <c r="V229" s="7" t="s">
        <v>266</v>
      </c>
      <c r="W229" s="6" t="str">
        <f aca="false">IF(COUNTA(B229:V229)=0,"",IF(OR(B229="",C229="",D229="",F229="",G229="",H229="",I229="",L229="",M229=""),"ناقص",IF(AND(ISNUMBER(F229),ISNUMBER(H229)),"OK","السنة/السعر لازم أرقام")))</f>
        <v>OK</v>
      </c>
      <c r="X229" s="6" t="str">
        <f aca="false">IF(B229="","",B229&amp;" "&amp;C229&amp;" "&amp;D229&amp;" "&amp;E229&amp;" "&amp;F229&amp;" "&amp;G229&amp;" "&amp;I229&amp;" "&amp;L229&amp;" "&amp;M229&amp;" سعر "&amp;H229&amp;" جنيه "&amp;U229)</f>
        <v>BMW بي إم دبليو X5 E70 بي إم دبليو X5 E70 2010 مستعمل SUV أوتوماتيك بنزين سعر 1200000 جنيه تكييف، زجاج كهربائي، قفل مركزي، ABS، مقاعد كهربائية، إضاءة LED</v>
      </c>
    </row>
    <row r="230" customFormat="false" ht="35.05" hidden="false" customHeight="false" outlineLevel="0" collapsed="false">
      <c r="A230" s="6" t="s">
        <v>821</v>
      </c>
      <c r="B230" s="7" t="s">
        <v>822</v>
      </c>
      <c r="C230" s="6" t="str">
        <f aca="false">IF(B230="","",IFERROR(INDEX(Lists!$K$2:$K$60,MATCH(B230,Lists!$J$2:$J$60,0)),""))</f>
        <v>مرسيدس</v>
      </c>
      <c r="D230" s="7" t="s">
        <v>823</v>
      </c>
      <c r="E230" s="7" t="s">
        <v>824</v>
      </c>
      <c r="F230" s="7" t="n">
        <v>2005</v>
      </c>
      <c r="G230" s="7" t="s">
        <v>249</v>
      </c>
      <c r="H230" s="8" t="n">
        <v>500000</v>
      </c>
      <c r="I230" s="7" t="s">
        <v>77</v>
      </c>
      <c r="J230" s="9" t="n">
        <v>1800</v>
      </c>
      <c r="K230" s="7" t="n">
        <v>143</v>
      </c>
      <c r="L230" s="7" t="s">
        <v>78</v>
      </c>
      <c r="M230" s="7" t="s">
        <v>79</v>
      </c>
      <c r="N230" s="7" t="n">
        <v>9.5</v>
      </c>
      <c r="O230" s="7" t="n">
        <v>5</v>
      </c>
      <c r="P230" s="7" t="s">
        <v>80</v>
      </c>
      <c r="Q230" s="7" t="s">
        <v>80</v>
      </c>
      <c r="R230" s="7" t="s">
        <v>80</v>
      </c>
      <c r="S230" s="7" t="s">
        <v>80</v>
      </c>
      <c r="T230" s="7" t="s">
        <v>80</v>
      </c>
      <c r="U230" s="7" t="s">
        <v>251</v>
      </c>
      <c r="V230" s="7" t="s">
        <v>266</v>
      </c>
      <c r="W230" s="6" t="str">
        <f aca="false">IF(COUNTA(B230:V230)=0,"",IF(OR(B230="",C230="",D230="",F230="",G230="",H230="",I230="",L230="",M230=""),"ناقص",IF(AND(ISNUMBER(F230),ISNUMBER(H230)),"OK","السنة/السعر لازم أرقام")))</f>
        <v>OK</v>
      </c>
      <c r="X230" s="6" t="str">
        <f aca="false">IF(B230="","",B230&amp;" "&amp;C230&amp;" "&amp;D230&amp;" "&amp;E230&amp;" "&amp;F230&amp;" "&amp;G230&amp;" "&amp;I230&amp;" "&amp;L230&amp;" "&amp;M230&amp;" سعر "&amp;H230&amp;" جنيه "&amp;U230)</f>
        <v>Mercedes-Benz مرسيدس C180 W203 مرسيدس C180 W203 2005 مستعمل سيدان أوتوماتيك بنزين سعر 500000 جنيه تكييف، زجاج كهربائي، قفل مركزي</v>
      </c>
    </row>
    <row r="231" customFormat="false" ht="35.05" hidden="false" customHeight="false" outlineLevel="0" collapsed="false">
      <c r="A231" s="6" t="s">
        <v>825</v>
      </c>
      <c r="B231" s="7" t="s">
        <v>822</v>
      </c>
      <c r="C231" s="6" t="str">
        <f aca="false">IF(B231="","",IFERROR(INDEX(Lists!$K$2:$K$60,MATCH(B231,Lists!$J$2:$J$60,0)),""))</f>
        <v>مرسيدس</v>
      </c>
      <c r="D231" s="7" t="s">
        <v>826</v>
      </c>
      <c r="E231" s="7" t="s">
        <v>827</v>
      </c>
      <c r="F231" s="7" t="n">
        <v>2011</v>
      </c>
      <c r="G231" s="7" t="s">
        <v>249</v>
      </c>
      <c r="H231" s="8" t="n">
        <v>950000</v>
      </c>
      <c r="I231" s="7" t="s">
        <v>77</v>
      </c>
      <c r="J231" s="9" t="n">
        <v>1800</v>
      </c>
      <c r="K231" s="7" t="n">
        <v>156</v>
      </c>
      <c r="L231" s="7" t="s">
        <v>78</v>
      </c>
      <c r="M231" s="7" t="s">
        <v>79</v>
      </c>
      <c r="N231" s="7" t="n">
        <v>8.5</v>
      </c>
      <c r="O231" s="7" t="n">
        <v>5</v>
      </c>
      <c r="P231" s="7" t="s">
        <v>80</v>
      </c>
      <c r="Q231" s="7" t="s">
        <v>80</v>
      </c>
      <c r="R231" s="7" t="s">
        <v>81</v>
      </c>
      <c r="S231" s="7" t="s">
        <v>81</v>
      </c>
      <c r="T231" s="7" t="s">
        <v>81</v>
      </c>
      <c r="U231" s="7" t="s">
        <v>256</v>
      </c>
      <c r="V231" s="7" t="s">
        <v>266</v>
      </c>
      <c r="W231" s="6" t="str">
        <f aca="false">IF(COUNTA(B231:V231)=0,"",IF(OR(B231="",C231="",D231="",F231="",G231="",H231="",I231="",L231="",M231=""),"ناقص",IF(AND(ISNUMBER(F231),ISNUMBER(H231)),"OK","السنة/السعر لازم أرقام")))</f>
        <v>OK</v>
      </c>
      <c r="X231" s="6" t="str">
        <f aca="false">IF(B231="","",B231&amp;" "&amp;C231&amp;" "&amp;D231&amp;" "&amp;E231&amp;" "&amp;F231&amp;" "&amp;G231&amp;" "&amp;I231&amp;" "&amp;L231&amp;" "&amp;M231&amp;" سعر "&amp;H231&amp;" جنيه "&amp;U231)</f>
        <v>Mercedes-Benz مرسيدس C180 W204 مرسيدس C180 W204 2011 مستعمل سيدان أوتوماتيك بنزين سعر 950000 جنيه تكييف، زجاج كهربائي، قفل مركزي، ABS</v>
      </c>
    </row>
    <row r="232" customFormat="false" ht="46.25" hidden="false" customHeight="false" outlineLevel="0" collapsed="false">
      <c r="A232" s="6" t="s">
        <v>828</v>
      </c>
      <c r="B232" s="7" t="s">
        <v>822</v>
      </c>
      <c r="C232" s="6" t="str">
        <f aca="false">IF(B232="","",IFERROR(INDEX(Lists!$K$2:$K$60,MATCH(B232,Lists!$J$2:$J$60,0)),""))</f>
        <v>مرسيدس</v>
      </c>
      <c r="D232" s="7" t="s">
        <v>829</v>
      </c>
      <c r="E232" s="7" t="s">
        <v>830</v>
      </c>
      <c r="F232" s="7" t="n">
        <v>2017</v>
      </c>
      <c r="G232" s="7" t="s">
        <v>249</v>
      </c>
      <c r="H232" s="8" t="n">
        <v>2000000</v>
      </c>
      <c r="I232" s="7" t="s">
        <v>77</v>
      </c>
      <c r="J232" s="9" t="n">
        <v>2000</v>
      </c>
      <c r="K232" s="7" t="n">
        <v>184</v>
      </c>
      <c r="L232" s="7" t="s">
        <v>78</v>
      </c>
      <c r="M232" s="7" t="s">
        <v>79</v>
      </c>
      <c r="N232" s="7" t="n">
        <v>7.5</v>
      </c>
      <c r="O232" s="7" t="n">
        <v>5</v>
      </c>
      <c r="P232" s="7" t="s">
        <v>81</v>
      </c>
      <c r="Q232" s="7" t="s">
        <v>81</v>
      </c>
      <c r="R232" s="7" t="s">
        <v>81</v>
      </c>
      <c r="S232" s="7" t="s">
        <v>81</v>
      </c>
      <c r="T232" s="7" t="s">
        <v>81</v>
      </c>
      <c r="U232" s="7" t="s">
        <v>299</v>
      </c>
      <c r="V232" s="7" t="s">
        <v>266</v>
      </c>
      <c r="W232" s="6" t="str">
        <f aca="false">IF(COUNTA(B232:V232)=0,"",IF(OR(B232="",C232="",D232="",F232="",G232="",H232="",I232="",L232="",M232=""),"ناقص",IF(AND(ISNUMBER(F232),ISNUMBER(H232)),"OK","السنة/السعر لازم أرقام")))</f>
        <v>OK</v>
      </c>
      <c r="X232" s="6" t="str">
        <f aca="false">IF(B232="","",B232&amp;" "&amp;C232&amp;" "&amp;D232&amp;" "&amp;E232&amp;" "&amp;F232&amp;" "&amp;G232&amp;" "&amp;I232&amp;" "&amp;L232&amp;" "&amp;M232&amp;" سعر "&amp;H232&amp;" جنيه "&amp;U232)</f>
        <v>Mercedes-Benz مرسيدس C200 W205 مرسيدس C200 W205 2017 مستعمل سيدان أوتوماتيك بنزين سعر 2000000 جنيه تكييف، زجاج كهربائي، قفل مركزي، ABS، مرايات كهربائية، حساسات ركن خلفية، جنوط ألومنيوم، تحكم في الثبات ESP، مقاعد كهربائية، إضاءة LED</v>
      </c>
    </row>
    <row r="233" customFormat="false" ht="46.25" hidden="false" customHeight="false" outlineLevel="0" collapsed="false">
      <c r="A233" s="6" t="s">
        <v>831</v>
      </c>
      <c r="B233" s="7" t="s">
        <v>822</v>
      </c>
      <c r="C233" s="6" t="str">
        <f aca="false">IF(B233="","",IFERROR(INDEX(Lists!$K$2:$K$60,MATCH(B233,Lists!$J$2:$J$60,0)),""))</f>
        <v>مرسيدس</v>
      </c>
      <c r="D233" s="7" t="s">
        <v>832</v>
      </c>
      <c r="E233" s="7" t="s">
        <v>833</v>
      </c>
      <c r="F233" s="7" t="n">
        <v>2022</v>
      </c>
      <c r="G233" s="7" t="s">
        <v>249</v>
      </c>
      <c r="H233" s="8" t="n">
        <v>4200000</v>
      </c>
      <c r="I233" s="7" t="s">
        <v>77</v>
      </c>
      <c r="J233" s="9" t="n">
        <v>1500</v>
      </c>
      <c r="K233" s="7" t="n">
        <v>204</v>
      </c>
      <c r="L233" s="7" t="s">
        <v>78</v>
      </c>
      <c r="M233" s="7" t="s">
        <v>79</v>
      </c>
      <c r="N233" s="7" t="n">
        <v>7</v>
      </c>
      <c r="O233" s="7" t="n">
        <v>5</v>
      </c>
      <c r="P233" s="7" t="s">
        <v>81</v>
      </c>
      <c r="Q233" s="7" t="s">
        <v>81</v>
      </c>
      <c r="R233" s="7" t="s">
        <v>81</v>
      </c>
      <c r="S233" s="7" t="s">
        <v>81</v>
      </c>
      <c r="T233" s="7" t="s">
        <v>81</v>
      </c>
      <c r="U233" s="7" t="s">
        <v>299</v>
      </c>
      <c r="V233" s="7" t="s">
        <v>266</v>
      </c>
      <c r="W233" s="6" t="str">
        <f aca="false">IF(COUNTA(B233:V233)=0,"",IF(OR(B233="",C233="",D233="",F233="",G233="",H233="",I233="",L233="",M233=""),"ناقص",IF(AND(ISNUMBER(F233),ISNUMBER(H233)),"OK","السنة/السعر لازم أرقام")))</f>
        <v>OK</v>
      </c>
      <c r="X233" s="6" t="str">
        <f aca="false">IF(B233="","",B233&amp;" "&amp;C233&amp;" "&amp;D233&amp;" "&amp;E233&amp;" "&amp;F233&amp;" "&amp;G233&amp;" "&amp;I233&amp;" "&amp;L233&amp;" "&amp;M233&amp;" سعر "&amp;H233&amp;" جنيه "&amp;U233)</f>
        <v>Mercedes-Benz مرسيدس C200 W206 مرسيدس C200 W206 2022 مستعمل سيدان أوتوماتيك بنزين سعر 4200000 جنيه تكييف، زجاج كهربائي، قفل مركزي، ABS، مرايات كهربائية، حساسات ركن خلفية، جنوط ألومنيوم، تحكم في الثبات ESP، مقاعد كهربائية، إضاءة LED</v>
      </c>
    </row>
    <row r="234" customFormat="false" ht="35.05" hidden="false" customHeight="false" outlineLevel="0" collapsed="false">
      <c r="A234" s="6" t="s">
        <v>834</v>
      </c>
      <c r="B234" s="7" t="s">
        <v>822</v>
      </c>
      <c r="C234" s="6" t="str">
        <f aca="false">IF(B234="","",IFERROR(INDEX(Lists!$K$2:$K$60,MATCH(B234,Lists!$J$2:$J$60,0)),""))</f>
        <v>مرسيدس</v>
      </c>
      <c r="D234" s="7" t="s">
        <v>835</v>
      </c>
      <c r="E234" s="7" t="s">
        <v>836</v>
      </c>
      <c r="F234" s="7" t="n">
        <v>2006</v>
      </c>
      <c r="G234" s="7" t="s">
        <v>249</v>
      </c>
      <c r="H234" s="8" t="n">
        <v>650000</v>
      </c>
      <c r="I234" s="7" t="s">
        <v>77</v>
      </c>
      <c r="J234" s="9" t="n">
        <v>1800</v>
      </c>
      <c r="K234" s="7" t="n">
        <v>163</v>
      </c>
      <c r="L234" s="7" t="s">
        <v>78</v>
      </c>
      <c r="M234" s="7" t="s">
        <v>79</v>
      </c>
      <c r="N234" s="7" t="n">
        <v>9.5</v>
      </c>
      <c r="O234" s="7" t="n">
        <v>5</v>
      </c>
      <c r="P234" s="7" t="s">
        <v>81</v>
      </c>
      <c r="Q234" s="7" t="s">
        <v>80</v>
      </c>
      <c r="R234" s="7" t="s">
        <v>80</v>
      </c>
      <c r="S234" s="7" t="s">
        <v>81</v>
      </c>
      <c r="T234" s="7" t="s">
        <v>80</v>
      </c>
      <c r="U234" s="7" t="s">
        <v>807</v>
      </c>
      <c r="V234" s="7" t="s">
        <v>266</v>
      </c>
      <c r="W234" s="6" t="str">
        <f aca="false">IF(COUNTA(B234:V234)=0,"",IF(OR(B234="",C234="",D234="",F234="",G234="",H234="",I234="",L234="",M234=""),"ناقص",IF(AND(ISNUMBER(F234),ISNUMBER(H234)),"OK","السنة/السعر لازم أرقام")))</f>
        <v>OK</v>
      </c>
      <c r="X234" s="6" t="str">
        <f aca="false">IF(B234="","",B234&amp;" "&amp;C234&amp;" "&amp;D234&amp;" "&amp;E234&amp;" "&amp;F234&amp;" "&amp;G234&amp;" "&amp;I234&amp;" "&amp;L234&amp;" "&amp;M234&amp;" سعر "&amp;H234&amp;" جنيه "&amp;U234)</f>
        <v>Mercedes-Benz مرسيدس E200 W211 مرسيدس E200 W211 2006 مستعمل سيدان أوتوماتيك بنزين سعر 650000 جنيه تكييف، زجاج كهربائي، قفل مركزي، مقاعد كهربائية، إضاءة LED</v>
      </c>
    </row>
    <row r="235" customFormat="false" ht="46.25" hidden="false" customHeight="false" outlineLevel="0" collapsed="false">
      <c r="A235" s="6" t="s">
        <v>837</v>
      </c>
      <c r="B235" s="7" t="s">
        <v>822</v>
      </c>
      <c r="C235" s="6" t="str">
        <f aca="false">IF(B235="","",IFERROR(INDEX(Lists!$K$2:$K$60,MATCH(B235,Lists!$J$2:$J$60,0)),""))</f>
        <v>مرسيدس</v>
      </c>
      <c r="D235" s="7" t="s">
        <v>838</v>
      </c>
      <c r="E235" s="7" t="s">
        <v>839</v>
      </c>
      <c r="F235" s="7" t="n">
        <v>2013</v>
      </c>
      <c r="G235" s="7" t="s">
        <v>249</v>
      </c>
      <c r="H235" s="8" t="n">
        <v>1300000</v>
      </c>
      <c r="I235" s="7" t="s">
        <v>77</v>
      </c>
      <c r="J235" s="9" t="n">
        <v>1800</v>
      </c>
      <c r="K235" s="7" t="n">
        <v>184</v>
      </c>
      <c r="L235" s="7" t="s">
        <v>78</v>
      </c>
      <c r="M235" s="7" t="s">
        <v>79</v>
      </c>
      <c r="N235" s="7" t="n">
        <v>8.5</v>
      </c>
      <c r="O235" s="7" t="n">
        <v>5</v>
      </c>
      <c r="P235" s="7" t="s">
        <v>81</v>
      </c>
      <c r="Q235" s="7" t="s">
        <v>80</v>
      </c>
      <c r="R235" s="7" t="s">
        <v>81</v>
      </c>
      <c r="S235" s="7" t="s">
        <v>81</v>
      </c>
      <c r="T235" s="7" t="s">
        <v>81</v>
      </c>
      <c r="U235" s="7" t="s">
        <v>840</v>
      </c>
      <c r="V235" s="7" t="s">
        <v>266</v>
      </c>
      <c r="W235" s="6" t="str">
        <f aca="false">IF(COUNTA(B235:V235)=0,"",IF(OR(B235="",C235="",D235="",F235="",G235="",H235="",I235="",L235="",M235=""),"ناقص",IF(AND(ISNUMBER(F235),ISNUMBER(H235)),"OK","السنة/السعر لازم أرقام")))</f>
        <v>OK</v>
      </c>
      <c r="X235" s="6" t="str">
        <f aca="false">IF(B235="","",B235&amp;" "&amp;C235&amp;" "&amp;D235&amp;" "&amp;E235&amp;" "&amp;F235&amp;" "&amp;G235&amp;" "&amp;I235&amp;" "&amp;L235&amp;" "&amp;M235&amp;" سعر "&amp;H235&amp;" جنيه "&amp;U235)</f>
        <v>Mercedes-Benz مرسيدس E200 W212 مرسيدس E200 W212 2013 مستعمل سيدان أوتوماتيك بنزين سعر 1300000 جنيه تكييف، زجاج كهربائي، قفل مركزي، ABS، مرايات كهربائية، حساسات ركن خلفية، مقاعد كهربائية، إضاءة LED</v>
      </c>
    </row>
    <row r="236" customFormat="false" ht="46.25" hidden="false" customHeight="false" outlineLevel="0" collapsed="false">
      <c r="A236" s="6" t="s">
        <v>841</v>
      </c>
      <c r="B236" s="7" t="s">
        <v>822</v>
      </c>
      <c r="C236" s="6" t="str">
        <f aca="false">IF(B236="","",IFERROR(INDEX(Lists!$K$2:$K$60,MATCH(B236,Lists!$J$2:$J$60,0)),""))</f>
        <v>مرسيدس</v>
      </c>
      <c r="D236" s="7" t="s">
        <v>842</v>
      </c>
      <c r="E236" s="7" t="s">
        <v>843</v>
      </c>
      <c r="F236" s="7" t="n">
        <v>2018</v>
      </c>
      <c r="G236" s="7" t="s">
        <v>249</v>
      </c>
      <c r="H236" s="8" t="n">
        <v>2900000</v>
      </c>
      <c r="I236" s="7" t="s">
        <v>77</v>
      </c>
      <c r="J236" s="9" t="n">
        <v>2000</v>
      </c>
      <c r="K236" s="7" t="n">
        <v>197</v>
      </c>
      <c r="L236" s="7" t="s">
        <v>78</v>
      </c>
      <c r="M236" s="7" t="s">
        <v>79</v>
      </c>
      <c r="N236" s="7" t="n">
        <v>7.5</v>
      </c>
      <c r="O236" s="7" t="n">
        <v>5</v>
      </c>
      <c r="P236" s="7" t="s">
        <v>81</v>
      </c>
      <c r="Q236" s="7" t="s">
        <v>81</v>
      </c>
      <c r="R236" s="7" t="s">
        <v>81</v>
      </c>
      <c r="S236" s="7" t="s">
        <v>81</v>
      </c>
      <c r="T236" s="7" t="s">
        <v>81</v>
      </c>
      <c r="U236" s="7" t="s">
        <v>299</v>
      </c>
      <c r="V236" s="7" t="s">
        <v>266</v>
      </c>
      <c r="W236" s="6" t="str">
        <f aca="false">IF(COUNTA(B236:V236)=0,"",IF(OR(B236="",C236="",D236="",F236="",G236="",H236="",I236="",L236="",M236=""),"ناقص",IF(AND(ISNUMBER(F236),ISNUMBER(H236)),"OK","السنة/السعر لازم أرقام")))</f>
        <v>OK</v>
      </c>
      <c r="X236" s="6" t="str">
        <f aca="false">IF(B236="","",B236&amp;" "&amp;C236&amp;" "&amp;D236&amp;" "&amp;E236&amp;" "&amp;F236&amp;" "&amp;G236&amp;" "&amp;I236&amp;" "&amp;L236&amp;" "&amp;M236&amp;" سعر "&amp;H236&amp;" جنيه "&amp;U236)</f>
        <v>Mercedes-Benz مرسيدس E200 W213 مرسيدس E200 W213 2018 مستعمل سيدان أوتوماتيك بنزين سعر 2900000 جنيه تكييف، زجاج كهربائي، قفل مركزي، ABS، مرايات كهربائية، حساسات ركن خلفية، جنوط ألومنيوم، تحكم في الثبات ESP، مقاعد كهربائية، إضاءة LED</v>
      </c>
    </row>
    <row r="237" customFormat="false" ht="46.25" hidden="false" customHeight="false" outlineLevel="0" collapsed="false">
      <c r="A237" s="6" t="s">
        <v>844</v>
      </c>
      <c r="B237" s="7" t="s">
        <v>822</v>
      </c>
      <c r="C237" s="6" t="str">
        <f aca="false">IF(B237="","",IFERROR(INDEX(Lists!$K$2:$K$60,MATCH(B237,Lists!$J$2:$J$60,0)),""))</f>
        <v>مرسيدس</v>
      </c>
      <c r="D237" s="7" t="s">
        <v>845</v>
      </c>
      <c r="E237" s="7" t="s">
        <v>846</v>
      </c>
      <c r="F237" s="7" t="n">
        <v>2015</v>
      </c>
      <c r="G237" s="7" t="s">
        <v>249</v>
      </c>
      <c r="H237" s="8" t="n">
        <v>1100000</v>
      </c>
      <c r="I237" s="7" t="s">
        <v>270</v>
      </c>
      <c r="J237" s="9" t="n">
        <v>1600</v>
      </c>
      <c r="K237" s="7" t="n">
        <v>122</v>
      </c>
      <c r="L237" s="7" t="s">
        <v>135</v>
      </c>
      <c r="M237" s="7" t="s">
        <v>79</v>
      </c>
      <c r="N237" s="7" t="n">
        <v>6.5</v>
      </c>
      <c r="O237" s="7" t="n">
        <v>5</v>
      </c>
      <c r="P237" s="7" t="s">
        <v>81</v>
      </c>
      <c r="Q237" s="7" t="s">
        <v>81</v>
      </c>
      <c r="R237" s="7" t="s">
        <v>81</v>
      </c>
      <c r="S237" s="7" t="s">
        <v>81</v>
      </c>
      <c r="T237" s="7" t="s">
        <v>81</v>
      </c>
      <c r="U237" s="7" t="s">
        <v>148</v>
      </c>
      <c r="V237" s="7" t="s">
        <v>266</v>
      </c>
      <c r="W237" s="6" t="str">
        <f aca="false">IF(COUNTA(B237:V237)=0,"",IF(OR(B237="",C237="",D237="",F237="",G237="",H237="",I237="",L237="",M237=""),"ناقص",IF(AND(ISNUMBER(F237),ISNUMBER(H237)),"OK","السنة/السعر لازم أرقام")))</f>
        <v>OK</v>
      </c>
      <c r="X237" s="6" t="str">
        <f aca="false">IF(B237="","",B237&amp;" "&amp;C237&amp;" "&amp;D237&amp;" "&amp;E237&amp;" "&amp;F237&amp;" "&amp;G237&amp;" "&amp;I237&amp;" "&amp;L237&amp;" "&amp;M237&amp;" سعر "&amp;H237&amp;" جنيه "&amp;U237)</f>
        <v>Mercedes-Benz مرسيدس A180 W176 مرسيدس A180 W176 2015 مستعمل هاتشباك DCT بنزين سعر 1100000 جنيه تكييف، زجاج كهربائي، قفل مركزي، ABS، مرايات كهربائية، حساسات ركن خلفية، جنوط ألومنيوم، تحكم في الثبات ESP</v>
      </c>
    </row>
    <row r="238" customFormat="false" ht="46.25" hidden="false" customHeight="false" outlineLevel="0" collapsed="false">
      <c r="A238" s="6" t="s">
        <v>847</v>
      </c>
      <c r="B238" s="7" t="s">
        <v>822</v>
      </c>
      <c r="C238" s="6" t="str">
        <f aca="false">IF(B238="","",IFERROR(INDEX(Lists!$K$2:$K$60,MATCH(B238,Lists!$J$2:$J$60,0)),""))</f>
        <v>مرسيدس</v>
      </c>
      <c r="D238" s="7" t="s">
        <v>848</v>
      </c>
      <c r="E238" s="7" t="s">
        <v>849</v>
      </c>
      <c r="F238" s="7" t="n">
        <v>2016</v>
      </c>
      <c r="G238" s="7" t="s">
        <v>249</v>
      </c>
      <c r="H238" s="8" t="n">
        <v>1700000</v>
      </c>
      <c r="I238" s="7" t="s">
        <v>105</v>
      </c>
      <c r="J238" s="9" t="n">
        <v>1600</v>
      </c>
      <c r="K238" s="7" t="n">
        <v>156</v>
      </c>
      <c r="L238" s="7" t="s">
        <v>135</v>
      </c>
      <c r="M238" s="7" t="s">
        <v>79</v>
      </c>
      <c r="N238" s="7" t="n">
        <v>7</v>
      </c>
      <c r="O238" s="7" t="n">
        <v>5</v>
      </c>
      <c r="P238" s="7" t="s">
        <v>81</v>
      </c>
      <c r="Q238" s="7" t="s">
        <v>81</v>
      </c>
      <c r="R238" s="7" t="s">
        <v>81</v>
      </c>
      <c r="S238" s="7" t="s">
        <v>81</v>
      </c>
      <c r="T238" s="7" t="s">
        <v>81</v>
      </c>
      <c r="U238" s="7" t="s">
        <v>148</v>
      </c>
      <c r="V238" s="7" t="s">
        <v>266</v>
      </c>
      <c r="W238" s="6" t="str">
        <f aca="false">IF(COUNTA(B238:V238)=0,"",IF(OR(B238="",C238="",D238="",F238="",G238="",H238="",I238="",L238="",M238=""),"ناقص",IF(AND(ISNUMBER(F238),ISNUMBER(H238)),"OK","السنة/السعر لازم أرقام")))</f>
        <v>OK</v>
      </c>
      <c r="X238" s="6" t="str">
        <f aca="false">IF(B238="","",B238&amp;" "&amp;C238&amp;" "&amp;D238&amp;" "&amp;E238&amp;" "&amp;F238&amp;" "&amp;G238&amp;" "&amp;I238&amp;" "&amp;L238&amp;" "&amp;M238&amp;" سعر "&amp;H238&amp;" جنيه "&amp;U238)</f>
        <v>Mercedes-Benz مرسيدس GLA 200 مرسيدس GLA 200 2016 مستعمل كروس أوفر DCT بنزين سعر 1700000 جنيه تكييف، زجاج كهربائي، قفل مركزي، ABS، مرايات كهربائية، حساسات ركن خلفية، جنوط ألومنيوم، تحكم في الثبات ESP</v>
      </c>
    </row>
    <row r="239" customFormat="false" ht="46.25" hidden="false" customHeight="false" outlineLevel="0" collapsed="false">
      <c r="A239" s="6" t="s">
        <v>850</v>
      </c>
      <c r="B239" s="7" t="s">
        <v>822</v>
      </c>
      <c r="C239" s="6" t="str">
        <f aca="false">IF(B239="","",IFERROR(INDEX(Lists!$K$2:$K$60,MATCH(B239,Lists!$J$2:$J$60,0)),""))</f>
        <v>مرسيدس</v>
      </c>
      <c r="D239" s="7" t="s">
        <v>851</v>
      </c>
      <c r="E239" s="7" t="s">
        <v>852</v>
      </c>
      <c r="F239" s="7" t="n">
        <v>2018</v>
      </c>
      <c r="G239" s="7" t="s">
        <v>249</v>
      </c>
      <c r="H239" s="8" t="n">
        <v>2800000</v>
      </c>
      <c r="I239" s="7" t="s">
        <v>113</v>
      </c>
      <c r="J239" s="9" t="n">
        <v>2000</v>
      </c>
      <c r="K239" s="7" t="n">
        <v>197</v>
      </c>
      <c r="L239" s="7" t="s">
        <v>78</v>
      </c>
      <c r="M239" s="7" t="s">
        <v>79</v>
      </c>
      <c r="N239" s="7" t="n">
        <v>8</v>
      </c>
      <c r="O239" s="7" t="n">
        <v>5</v>
      </c>
      <c r="P239" s="7" t="s">
        <v>81</v>
      </c>
      <c r="Q239" s="7" t="s">
        <v>81</v>
      </c>
      <c r="R239" s="7" t="s">
        <v>81</v>
      </c>
      <c r="S239" s="7" t="s">
        <v>81</v>
      </c>
      <c r="T239" s="7" t="s">
        <v>81</v>
      </c>
      <c r="U239" s="7" t="s">
        <v>299</v>
      </c>
      <c r="V239" s="7" t="s">
        <v>266</v>
      </c>
      <c r="W239" s="6" t="str">
        <f aca="false">IF(COUNTA(B239:V239)=0,"",IF(OR(B239="",C239="",D239="",F239="",G239="",H239="",I239="",L239="",M239=""),"ناقص",IF(AND(ISNUMBER(F239),ISNUMBER(H239)),"OK","السنة/السعر لازم أرقام")))</f>
        <v>OK</v>
      </c>
      <c r="X239" s="6" t="str">
        <f aca="false">IF(B239="","",B239&amp;" "&amp;C239&amp;" "&amp;D239&amp;" "&amp;E239&amp;" "&amp;F239&amp;" "&amp;G239&amp;" "&amp;I239&amp;" "&amp;L239&amp;" "&amp;M239&amp;" سعر "&amp;H239&amp;" جنيه "&amp;U239)</f>
        <v>Mercedes-Benz مرسيدس GLC 200 مرسيدس GLC 200 2018 مستعمل SUV أوتوماتيك بنزين سعر 2800000 جنيه تكييف، زجاج كهربائي، قفل مركزي، ABS، مرايات كهربائية، حساسات ركن خلفية، جنوط ألومنيوم، تحكم في الثبات ESP، مقاعد كهربائية، إضاءة LED</v>
      </c>
    </row>
    <row r="240" customFormat="false" ht="35.05" hidden="false" customHeight="false" outlineLevel="0" collapsed="false">
      <c r="A240" s="6" t="s">
        <v>853</v>
      </c>
      <c r="B240" s="7" t="s">
        <v>822</v>
      </c>
      <c r="C240" s="6" t="str">
        <f aca="false">IF(B240="","",IFERROR(INDEX(Lists!$K$2:$K$60,MATCH(B240,Lists!$J$2:$J$60,0)),""))</f>
        <v>مرسيدس</v>
      </c>
      <c r="D240" s="7" t="s">
        <v>854</v>
      </c>
      <c r="E240" s="7" t="s">
        <v>855</v>
      </c>
      <c r="F240" s="7" t="n">
        <v>1990</v>
      </c>
      <c r="G240" s="7" t="s">
        <v>249</v>
      </c>
      <c r="H240" s="8" t="n">
        <v>350000</v>
      </c>
      <c r="I240" s="7" t="s">
        <v>77</v>
      </c>
      <c r="J240" s="9" t="n">
        <v>2000</v>
      </c>
      <c r="K240" s="7" t="n">
        <v>122</v>
      </c>
      <c r="L240" s="7" t="s">
        <v>250</v>
      </c>
      <c r="M240" s="7" t="s">
        <v>79</v>
      </c>
      <c r="N240" s="7" t="n">
        <v>10</v>
      </c>
      <c r="O240" s="7" t="n">
        <v>5</v>
      </c>
      <c r="P240" s="7" t="s">
        <v>80</v>
      </c>
      <c r="Q240" s="7" t="s">
        <v>80</v>
      </c>
      <c r="R240" s="7" t="s">
        <v>80</v>
      </c>
      <c r="S240" s="7" t="s">
        <v>80</v>
      </c>
      <c r="T240" s="7" t="s">
        <v>80</v>
      </c>
      <c r="U240" s="7" t="s">
        <v>251</v>
      </c>
      <c r="V240" s="7" t="s">
        <v>266</v>
      </c>
      <c r="W240" s="6" t="str">
        <f aca="false">IF(COUNTA(B240:V240)=0,"",IF(OR(B240="",C240="",D240="",F240="",G240="",H240="",I240="",L240="",M240=""),"ناقص",IF(AND(ISNUMBER(F240),ISNUMBER(H240)),"OK","السنة/السعر لازم أرقام")))</f>
        <v>OK</v>
      </c>
      <c r="X240" s="6" t="str">
        <f aca="false">IF(B240="","",B240&amp;" "&amp;C240&amp;" "&amp;D240&amp;" "&amp;E240&amp;" "&amp;F240&amp;" "&amp;G240&amp;" "&amp;I240&amp;" "&amp;L240&amp;" "&amp;M240&amp;" سعر "&amp;H240&amp;" جنيه "&amp;U240)</f>
        <v>Mercedes-Benz مرسيدس 190E W201 مرسيدس 190E W201 1990 مستعمل سيدان مانيوال بنزين سعر 350000 جنيه تكييف، زجاج كهربائي، قفل مركزي</v>
      </c>
    </row>
    <row r="241" customFormat="false" ht="35.05" hidden="false" customHeight="false" outlineLevel="0" collapsed="false">
      <c r="A241" s="6" t="s">
        <v>856</v>
      </c>
      <c r="B241" s="7" t="s">
        <v>857</v>
      </c>
      <c r="C241" s="6" t="str">
        <f aca="false">IF(B241="","",IFERROR(INDEX(Lists!$K$2:$K$60,MATCH(B241,Lists!$J$2:$J$60,0)),""))</f>
        <v>أودي</v>
      </c>
      <c r="D241" s="7" t="s">
        <v>858</v>
      </c>
      <c r="E241" s="7" t="s">
        <v>859</v>
      </c>
      <c r="F241" s="7" t="n">
        <v>2010</v>
      </c>
      <c r="G241" s="7" t="s">
        <v>249</v>
      </c>
      <c r="H241" s="8" t="n">
        <v>600000</v>
      </c>
      <c r="I241" s="7" t="s">
        <v>270</v>
      </c>
      <c r="J241" s="9" t="n">
        <v>1600</v>
      </c>
      <c r="K241" s="7" t="n">
        <v>102</v>
      </c>
      <c r="L241" s="7" t="s">
        <v>78</v>
      </c>
      <c r="M241" s="7" t="s">
        <v>79</v>
      </c>
      <c r="N241" s="7" t="n">
        <v>8</v>
      </c>
      <c r="O241" s="7" t="n">
        <v>5</v>
      </c>
      <c r="P241" s="7" t="s">
        <v>80</v>
      </c>
      <c r="Q241" s="7" t="s">
        <v>80</v>
      </c>
      <c r="R241" s="7" t="s">
        <v>81</v>
      </c>
      <c r="S241" s="7" t="s">
        <v>81</v>
      </c>
      <c r="T241" s="7" t="s">
        <v>80</v>
      </c>
      <c r="U241" s="7" t="s">
        <v>256</v>
      </c>
      <c r="V241" s="7" t="s">
        <v>266</v>
      </c>
      <c r="W241" s="6" t="str">
        <f aca="false">IF(COUNTA(B241:V241)=0,"",IF(OR(B241="",C241="",D241="",F241="",G241="",H241="",I241="",L241="",M241=""),"ناقص",IF(AND(ISNUMBER(F241),ISNUMBER(H241)),"OK","السنة/السعر لازم أرقام")))</f>
        <v>OK</v>
      </c>
      <c r="X241" s="6" t="str">
        <f aca="false">IF(B241="","",B241&amp;" "&amp;C241&amp;" "&amp;D241&amp;" "&amp;E241&amp;" "&amp;F241&amp;" "&amp;G241&amp;" "&amp;I241&amp;" "&amp;L241&amp;" "&amp;M241&amp;" سعر "&amp;H241&amp;" جنيه "&amp;U241)</f>
        <v>Audi أودي A3 8P أودي A3 8P 2010 مستعمل هاتشباك أوتوماتيك بنزين سعر 600000 جنيه تكييف، زجاج كهربائي، قفل مركزي، ABS</v>
      </c>
    </row>
    <row r="242" customFormat="false" ht="35.05" hidden="false" customHeight="false" outlineLevel="0" collapsed="false">
      <c r="A242" s="6" t="s">
        <v>860</v>
      </c>
      <c r="B242" s="7" t="s">
        <v>857</v>
      </c>
      <c r="C242" s="6" t="str">
        <f aca="false">IF(B242="","",IFERROR(INDEX(Lists!$K$2:$K$60,MATCH(B242,Lists!$J$2:$J$60,0)),""))</f>
        <v>أودي</v>
      </c>
      <c r="D242" s="7" t="s">
        <v>861</v>
      </c>
      <c r="E242" s="7" t="s">
        <v>862</v>
      </c>
      <c r="F242" s="7" t="n">
        <v>2016</v>
      </c>
      <c r="G242" s="7" t="s">
        <v>249</v>
      </c>
      <c r="H242" s="8" t="n">
        <v>1100000</v>
      </c>
      <c r="I242" s="7" t="s">
        <v>270</v>
      </c>
      <c r="J242" s="9" t="n">
        <v>1400</v>
      </c>
      <c r="K242" s="7" t="n">
        <v>122</v>
      </c>
      <c r="L242" s="7" t="s">
        <v>135</v>
      </c>
      <c r="M242" s="7" t="s">
        <v>79</v>
      </c>
      <c r="N242" s="7" t="n">
        <v>6</v>
      </c>
      <c r="O242" s="7" t="n">
        <v>5</v>
      </c>
      <c r="P242" s="7" t="s">
        <v>81</v>
      </c>
      <c r="Q242" s="7" t="s">
        <v>81</v>
      </c>
      <c r="R242" s="7" t="s">
        <v>81</v>
      </c>
      <c r="S242" s="7" t="s">
        <v>81</v>
      </c>
      <c r="T242" s="7" t="s">
        <v>81</v>
      </c>
      <c r="U242" s="7" t="s">
        <v>148</v>
      </c>
      <c r="V242" s="7" t="s">
        <v>266</v>
      </c>
      <c r="W242" s="6" t="str">
        <f aca="false">IF(COUNTA(B242:V242)=0,"",IF(OR(B242="",C242="",D242="",F242="",G242="",H242="",I242="",L242="",M242=""),"ناقص",IF(AND(ISNUMBER(F242),ISNUMBER(H242)),"OK","السنة/السعر لازم أرقام")))</f>
        <v>OK</v>
      </c>
      <c r="X242" s="6" t="str">
        <f aca="false">IF(B242="","",B242&amp;" "&amp;C242&amp;" "&amp;D242&amp;" "&amp;E242&amp;" "&amp;F242&amp;" "&amp;G242&amp;" "&amp;I242&amp;" "&amp;L242&amp;" "&amp;M242&amp;" سعر "&amp;H242&amp;" جنيه "&amp;U242)</f>
        <v>Audi أودي A3 8V أودي A3 8V 2016 مستعمل هاتشباك DCT بنزين سعر 1100000 جنيه تكييف، زجاج كهربائي، قفل مركزي، ABS، مرايات كهربائية، حساسات ركن خلفية، جنوط ألومنيوم، تحكم في الثبات ESP</v>
      </c>
    </row>
    <row r="243" customFormat="false" ht="35.05" hidden="false" customHeight="false" outlineLevel="0" collapsed="false">
      <c r="A243" s="6" t="s">
        <v>863</v>
      </c>
      <c r="B243" s="7" t="s">
        <v>857</v>
      </c>
      <c r="C243" s="6" t="str">
        <f aca="false">IF(B243="","",IFERROR(INDEX(Lists!$K$2:$K$60,MATCH(B243,Lists!$J$2:$J$60,0)),""))</f>
        <v>أودي</v>
      </c>
      <c r="D243" s="7" t="s">
        <v>864</v>
      </c>
      <c r="E243" s="7" t="s">
        <v>865</v>
      </c>
      <c r="F243" s="7" t="n">
        <v>2012</v>
      </c>
      <c r="G243" s="7" t="s">
        <v>249</v>
      </c>
      <c r="H243" s="8" t="n">
        <v>900000</v>
      </c>
      <c r="I243" s="7" t="s">
        <v>77</v>
      </c>
      <c r="J243" s="9" t="n">
        <v>1800</v>
      </c>
      <c r="K243" s="7" t="n">
        <v>160</v>
      </c>
      <c r="L243" s="7" t="s">
        <v>230</v>
      </c>
      <c r="M243" s="7" t="s">
        <v>79</v>
      </c>
      <c r="N243" s="7" t="n">
        <v>8</v>
      </c>
      <c r="O243" s="7" t="n">
        <v>5</v>
      </c>
      <c r="P243" s="7" t="s">
        <v>81</v>
      </c>
      <c r="Q243" s="7" t="s">
        <v>80</v>
      </c>
      <c r="R243" s="7" t="s">
        <v>81</v>
      </c>
      <c r="S243" s="7" t="s">
        <v>81</v>
      </c>
      <c r="T243" s="7" t="s">
        <v>81</v>
      </c>
      <c r="U243" s="7" t="s">
        <v>840</v>
      </c>
      <c r="V243" s="7" t="s">
        <v>266</v>
      </c>
      <c r="W243" s="6" t="str">
        <f aca="false">IF(COUNTA(B243:V243)=0,"",IF(OR(B243="",C243="",D243="",F243="",G243="",H243="",I243="",L243="",M243=""),"ناقص",IF(AND(ISNUMBER(F243),ISNUMBER(H243)),"OK","السنة/السعر لازم أرقام")))</f>
        <v>OK</v>
      </c>
      <c r="X243" s="6" t="str">
        <f aca="false">IF(B243="","",B243&amp;" "&amp;C243&amp;" "&amp;D243&amp;" "&amp;E243&amp;" "&amp;F243&amp;" "&amp;G243&amp;" "&amp;I243&amp;" "&amp;L243&amp;" "&amp;M243&amp;" سعر "&amp;H243&amp;" جنيه "&amp;U243)</f>
        <v>Audi أودي A4 B8 أودي A4 B8 2012 مستعمل سيدان CVT بنزين سعر 900000 جنيه تكييف، زجاج كهربائي، قفل مركزي، ABS، مرايات كهربائية، حساسات ركن خلفية، مقاعد كهربائية، إضاءة LED</v>
      </c>
    </row>
    <row r="244" customFormat="false" ht="46.25" hidden="false" customHeight="false" outlineLevel="0" collapsed="false">
      <c r="A244" s="6" t="s">
        <v>866</v>
      </c>
      <c r="B244" s="7" t="s">
        <v>857</v>
      </c>
      <c r="C244" s="6" t="str">
        <f aca="false">IF(B244="","",IFERROR(INDEX(Lists!$K$2:$K$60,MATCH(B244,Lists!$J$2:$J$60,0)),""))</f>
        <v>أودي</v>
      </c>
      <c r="D244" s="7" t="s">
        <v>867</v>
      </c>
      <c r="E244" s="7" t="s">
        <v>868</v>
      </c>
      <c r="F244" s="7" t="n">
        <v>2018</v>
      </c>
      <c r="G244" s="7" t="s">
        <v>249</v>
      </c>
      <c r="H244" s="8" t="n">
        <v>2000000</v>
      </c>
      <c r="I244" s="7" t="s">
        <v>77</v>
      </c>
      <c r="J244" s="9" t="n">
        <v>2000</v>
      </c>
      <c r="K244" s="7" t="n">
        <v>190</v>
      </c>
      <c r="L244" s="7" t="s">
        <v>135</v>
      </c>
      <c r="M244" s="7" t="s">
        <v>79</v>
      </c>
      <c r="N244" s="7" t="n">
        <v>7</v>
      </c>
      <c r="O244" s="7" t="n">
        <v>5</v>
      </c>
      <c r="P244" s="7" t="s">
        <v>81</v>
      </c>
      <c r="Q244" s="7" t="s">
        <v>81</v>
      </c>
      <c r="R244" s="7" t="s">
        <v>81</v>
      </c>
      <c r="S244" s="7" t="s">
        <v>81</v>
      </c>
      <c r="T244" s="7" t="s">
        <v>81</v>
      </c>
      <c r="U244" s="7" t="s">
        <v>299</v>
      </c>
      <c r="V244" s="7" t="s">
        <v>266</v>
      </c>
      <c r="W244" s="6" t="str">
        <f aca="false">IF(COUNTA(B244:V244)=0,"",IF(OR(B244="",C244="",D244="",F244="",G244="",H244="",I244="",L244="",M244=""),"ناقص",IF(AND(ISNUMBER(F244),ISNUMBER(H244)),"OK","السنة/السعر لازم أرقام")))</f>
        <v>OK</v>
      </c>
      <c r="X244" s="6" t="str">
        <f aca="false">IF(B244="","",B244&amp;" "&amp;C244&amp;" "&amp;D244&amp;" "&amp;E244&amp;" "&amp;F244&amp;" "&amp;G244&amp;" "&amp;I244&amp;" "&amp;L244&amp;" "&amp;M244&amp;" سعر "&amp;H244&amp;" جنيه "&amp;U244)</f>
        <v>Audi أودي A4 B9 أودي A4 B9 2018 مستعمل سيدان DCT بنزين سعر 2000000 جنيه تكييف، زجاج كهربائي، قفل مركزي، ABS، مرايات كهربائية، حساسات ركن خلفية، جنوط ألومنيوم، تحكم في الثبات ESP، مقاعد كهربائية، إضاءة LED</v>
      </c>
    </row>
    <row r="245" customFormat="false" ht="46.25" hidden="false" customHeight="false" outlineLevel="0" collapsed="false">
      <c r="A245" s="6" t="s">
        <v>869</v>
      </c>
      <c r="B245" s="7" t="s">
        <v>857</v>
      </c>
      <c r="C245" s="6" t="str">
        <f aca="false">IF(B245="","",IFERROR(INDEX(Lists!$K$2:$K$60,MATCH(B245,Lists!$J$2:$J$60,0)),""))</f>
        <v>أودي</v>
      </c>
      <c r="D245" s="7" t="s">
        <v>870</v>
      </c>
      <c r="E245" s="7" t="s">
        <v>871</v>
      </c>
      <c r="F245" s="7" t="n">
        <v>2014</v>
      </c>
      <c r="G245" s="7" t="s">
        <v>249</v>
      </c>
      <c r="H245" s="8" t="n">
        <v>1400000</v>
      </c>
      <c r="I245" s="7" t="s">
        <v>77</v>
      </c>
      <c r="J245" s="9" t="n">
        <v>2000</v>
      </c>
      <c r="K245" s="7" t="n">
        <v>180</v>
      </c>
      <c r="L245" s="7" t="s">
        <v>230</v>
      </c>
      <c r="M245" s="7" t="s">
        <v>79</v>
      </c>
      <c r="N245" s="7" t="n">
        <v>8</v>
      </c>
      <c r="O245" s="7" t="n">
        <v>5</v>
      </c>
      <c r="P245" s="7" t="s">
        <v>81</v>
      </c>
      <c r="Q245" s="7" t="s">
        <v>80</v>
      </c>
      <c r="R245" s="7" t="s">
        <v>81</v>
      </c>
      <c r="S245" s="7" t="s">
        <v>81</v>
      </c>
      <c r="T245" s="7" t="s">
        <v>81</v>
      </c>
      <c r="U245" s="7" t="s">
        <v>299</v>
      </c>
      <c r="V245" s="7" t="s">
        <v>266</v>
      </c>
      <c r="W245" s="6" t="str">
        <f aca="false">IF(COUNTA(B245:V245)=0,"",IF(OR(B245="",C245="",D245="",F245="",G245="",H245="",I245="",L245="",M245=""),"ناقص",IF(AND(ISNUMBER(F245),ISNUMBER(H245)),"OK","السنة/السعر لازم أرقام")))</f>
        <v>OK</v>
      </c>
      <c r="X245" s="6" t="str">
        <f aca="false">IF(B245="","",B245&amp;" "&amp;C245&amp;" "&amp;D245&amp;" "&amp;E245&amp;" "&amp;F245&amp;" "&amp;G245&amp;" "&amp;I245&amp;" "&amp;L245&amp;" "&amp;M245&amp;" سعر "&amp;H245&amp;" جنيه "&amp;U245)</f>
        <v>Audi أودي A6 C7 أودي A6 C7 2014 مستعمل سيدان CVT بنزين سعر 1400000 جنيه تكييف، زجاج كهربائي، قفل مركزي، ABS، مرايات كهربائية، حساسات ركن خلفية، جنوط ألومنيوم، تحكم في الثبات ESP، مقاعد كهربائية، إضاءة LED</v>
      </c>
    </row>
    <row r="246" customFormat="false" ht="35.05" hidden="false" customHeight="false" outlineLevel="0" collapsed="false">
      <c r="A246" s="6" t="s">
        <v>872</v>
      </c>
      <c r="B246" s="7" t="s">
        <v>873</v>
      </c>
      <c r="C246" s="6" t="str">
        <f aca="false">IF(B246="","",IFERROR(INDEX(Lists!$K$2:$K$60,MATCH(B246,Lists!$J$2:$J$60,0)),""))</f>
        <v>فورد</v>
      </c>
      <c r="D246" s="7" t="s">
        <v>874</v>
      </c>
      <c r="E246" s="7" t="s">
        <v>875</v>
      </c>
      <c r="F246" s="7" t="n">
        <v>2008</v>
      </c>
      <c r="G246" s="7" t="s">
        <v>249</v>
      </c>
      <c r="H246" s="8" t="n">
        <v>420000</v>
      </c>
      <c r="I246" s="7" t="s">
        <v>270</v>
      </c>
      <c r="J246" s="9" t="n">
        <v>1600</v>
      </c>
      <c r="K246" s="7" t="n">
        <v>116</v>
      </c>
      <c r="L246" s="7" t="s">
        <v>78</v>
      </c>
      <c r="M246" s="7" t="s">
        <v>79</v>
      </c>
      <c r="N246" s="7" t="n">
        <v>8.5</v>
      </c>
      <c r="O246" s="7" t="n">
        <v>5</v>
      </c>
      <c r="P246" s="7" t="s">
        <v>80</v>
      </c>
      <c r="Q246" s="7" t="s">
        <v>80</v>
      </c>
      <c r="R246" s="7" t="s">
        <v>80</v>
      </c>
      <c r="S246" s="7" t="s">
        <v>80</v>
      </c>
      <c r="T246" s="7" t="s">
        <v>80</v>
      </c>
      <c r="U246" s="7" t="s">
        <v>251</v>
      </c>
      <c r="V246" s="7" t="s">
        <v>266</v>
      </c>
      <c r="W246" s="6" t="str">
        <f aca="false">IF(COUNTA(B246:V246)=0,"",IF(OR(B246="",C246="",D246="",F246="",G246="",H246="",I246="",L246="",M246=""),"ناقص",IF(AND(ISNUMBER(F246),ISNUMBER(H246)),"OK","السنة/السعر لازم أرقام")))</f>
        <v>OK</v>
      </c>
      <c r="X246" s="6" t="str">
        <f aca="false">IF(B246="","",B246&amp;" "&amp;C246&amp;" "&amp;D246&amp;" "&amp;E246&amp;" "&amp;F246&amp;" "&amp;G246&amp;" "&amp;I246&amp;" "&amp;L246&amp;" "&amp;M246&amp;" سعر "&amp;H246&amp;" جنيه "&amp;U246)</f>
        <v>Ford فورد Focus Mk2 فورد فوكس Mk2 2008 مستعمل هاتشباك أوتوماتيك بنزين سعر 420000 جنيه تكييف، زجاج كهربائي، قفل مركزي</v>
      </c>
    </row>
    <row r="247" customFormat="false" ht="35.05" hidden="false" customHeight="false" outlineLevel="0" collapsed="false">
      <c r="A247" s="6" t="s">
        <v>876</v>
      </c>
      <c r="B247" s="7" t="s">
        <v>873</v>
      </c>
      <c r="C247" s="6" t="str">
        <f aca="false">IF(B247="","",IFERROR(INDEX(Lists!$K$2:$K$60,MATCH(B247,Lists!$J$2:$J$60,0)),""))</f>
        <v>فورد</v>
      </c>
      <c r="D247" s="7" t="s">
        <v>877</v>
      </c>
      <c r="E247" s="7" t="s">
        <v>878</v>
      </c>
      <c r="F247" s="7" t="n">
        <v>2013</v>
      </c>
      <c r="G247" s="7" t="s">
        <v>249</v>
      </c>
      <c r="H247" s="8" t="n">
        <v>650000</v>
      </c>
      <c r="I247" s="7" t="s">
        <v>270</v>
      </c>
      <c r="J247" s="9" t="n">
        <v>1600</v>
      </c>
      <c r="K247" s="7" t="n">
        <v>125</v>
      </c>
      <c r="L247" s="7" t="s">
        <v>135</v>
      </c>
      <c r="M247" s="7" t="s">
        <v>79</v>
      </c>
      <c r="N247" s="7" t="n">
        <v>7.5</v>
      </c>
      <c r="O247" s="7" t="n">
        <v>5</v>
      </c>
      <c r="P247" s="7" t="s">
        <v>81</v>
      </c>
      <c r="Q247" s="7" t="s">
        <v>80</v>
      </c>
      <c r="R247" s="7" t="s">
        <v>81</v>
      </c>
      <c r="S247" s="7" t="s">
        <v>81</v>
      </c>
      <c r="T247" s="7" t="s">
        <v>81</v>
      </c>
      <c r="U247" s="7" t="s">
        <v>144</v>
      </c>
      <c r="V247" s="7" t="s">
        <v>266</v>
      </c>
      <c r="W247" s="6" t="str">
        <f aca="false">IF(COUNTA(B247:V247)=0,"",IF(OR(B247="",C247="",D247="",F247="",G247="",H247="",I247="",L247="",M247=""),"ناقص",IF(AND(ISNUMBER(F247),ISNUMBER(H247)),"OK","السنة/السعر لازم أرقام")))</f>
        <v>OK</v>
      </c>
      <c r="X247" s="6" t="str">
        <f aca="false">IF(B247="","",B247&amp;" "&amp;C247&amp;" "&amp;D247&amp;" "&amp;E247&amp;" "&amp;F247&amp;" "&amp;G247&amp;" "&amp;I247&amp;" "&amp;L247&amp;" "&amp;M247&amp;" سعر "&amp;H247&amp;" جنيه "&amp;U247)</f>
        <v>Ford فورد Focus Mk3 فورد فوكس Mk3 2013 مستعمل هاتشباك DCT بنزين سعر 650000 جنيه تكييف، زجاج كهربائي، قفل مركزي، ABS، مرايات كهربائية، حساسات ركن خلفية</v>
      </c>
    </row>
    <row r="248" customFormat="false" ht="35.05" hidden="false" customHeight="false" outlineLevel="0" collapsed="false">
      <c r="A248" s="6" t="s">
        <v>879</v>
      </c>
      <c r="B248" s="7" t="s">
        <v>873</v>
      </c>
      <c r="C248" s="6" t="str">
        <f aca="false">IF(B248="","",IFERROR(INDEX(Lists!$K$2:$K$60,MATCH(B248,Lists!$J$2:$J$60,0)),""))</f>
        <v>فورد</v>
      </c>
      <c r="D248" s="7" t="s">
        <v>880</v>
      </c>
      <c r="E248" s="7" t="s">
        <v>881</v>
      </c>
      <c r="F248" s="7" t="n">
        <v>2010</v>
      </c>
      <c r="G248" s="7" t="s">
        <v>249</v>
      </c>
      <c r="H248" s="8" t="n">
        <v>320000</v>
      </c>
      <c r="I248" s="7" t="s">
        <v>270</v>
      </c>
      <c r="J248" s="9" t="n">
        <v>1400</v>
      </c>
      <c r="K248" s="7" t="n">
        <v>96</v>
      </c>
      <c r="L248" s="7" t="s">
        <v>250</v>
      </c>
      <c r="M248" s="7" t="s">
        <v>79</v>
      </c>
      <c r="N248" s="7" t="n">
        <v>7</v>
      </c>
      <c r="O248" s="7" t="n">
        <v>5</v>
      </c>
      <c r="P248" s="7" t="s">
        <v>80</v>
      </c>
      <c r="Q248" s="7" t="s">
        <v>80</v>
      </c>
      <c r="R248" s="7" t="s">
        <v>80</v>
      </c>
      <c r="S248" s="7" t="s">
        <v>80</v>
      </c>
      <c r="T248" s="7" t="s">
        <v>80</v>
      </c>
      <c r="U248" s="7" t="s">
        <v>256</v>
      </c>
      <c r="V248" s="7" t="s">
        <v>266</v>
      </c>
      <c r="W248" s="6" t="str">
        <f aca="false">IF(COUNTA(B248:V248)=0,"",IF(OR(B248="",C248="",D248="",F248="",G248="",H248="",I248="",L248="",M248=""),"ناقص",IF(AND(ISNUMBER(F248),ISNUMBER(H248)),"OK","السنة/السعر لازم أرقام")))</f>
        <v>OK</v>
      </c>
      <c r="X248" s="6" t="str">
        <f aca="false">IF(B248="","",B248&amp;" "&amp;C248&amp;" "&amp;D248&amp;" "&amp;E248&amp;" "&amp;F248&amp;" "&amp;G248&amp;" "&amp;I248&amp;" "&amp;L248&amp;" "&amp;M248&amp;" سعر "&amp;H248&amp;" جنيه "&amp;U248)</f>
        <v>Ford فورد Fiesta Mk6 فورد فييستا Mk6 2010 مستعمل هاتشباك مانيوال بنزين سعر 320000 جنيه تكييف، زجاج كهربائي، قفل مركزي، ABS</v>
      </c>
    </row>
    <row r="249" customFormat="false" ht="35.05" hidden="false" customHeight="false" outlineLevel="0" collapsed="false">
      <c r="A249" s="6" t="s">
        <v>882</v>
      </c>
      <c r="B249" s="7" t="s">
        <v>873</v>
      </c>
      <c r="C249" s="6" t="str">
        <f aca="false">IF(B249="","",IFERROR(INDEX(Lists!$K$2:$K$60,MATCH(B249,Lists!$J$2:$J$60,0)),""))</f>
        <v>فورد</v>
      </c>
      <c r="D249" s="7" t="s">
        <v>883</v>
      </c>
      <c r="E249" s="7" t="s">
        <v>884</v>
      </c>
      <c r="F249" s="7" t="n">
        <v>2016</v>
      </c>
      <c r="G249" s="7" t="s">
        <v>249</v>
      </c>
      <c r="H249" s="8" t="n">
        <v>750000</v>
      </c>
      <c r="I249" s="7" t="s">
        <v>105</v>
      </c>
      <c r="J249" s="9" t="n">
        <v>1500</v>
      </c>
      <c r="K249" s="7" t="n">
        <v>112</v>
      </c>
      <c r="L249" s="7" t="s">
        <v>78</v>
      </c>
      <c r="M249" s="7" t="s">
        <v>79</v>
      </c>
      <c r="N249" s="7" t="n">
        <v>7.5</v>
      </c>
      <c r="O249" s="7" t="n">
        <v>5</v>
      </c>
      <c r="P249" s="7" t="s">
        <v>80</v>
      </c>
      <c r="Q249" s="7" t="s">
        <v>80</v>
      </c>
      <c r="R249" s="7" t="s">
        <v>81</v>
      </c>
      <c r="S249" s="7" t="s">
        <v>80</v>
      </c>
      <c r="T249" s="7" t="s">
        <v>81</v>
      </c>
      <c r="U249" s="7" t="s">
        <v>144</v>
      </c>
      <c r="V249" s="7" t="s">
        <v>266</v>
      </c>
      <c r="W249" s="6" t="str">
        <f aca="false">IF(COUNTA(B249:V249)=0,"",IF(OR(B249="",C249="",D249="",F249="",G249="",H249="",I249="",L249="",M249=""),"ناقص",IF(AND(ISNUMBER(F249),ISNUMBER(H249)),"OK","السنة/السعر لازم أرقام")))</f>
        <v>OK</v>
      </c>
      <c r="X249" s="6" t="str">
        <f aca="false">IF(B249="","",B249&amp;" "&amp;C249&amp;" "&amp;D249&amp;" "&amp;E249&amp;" "&amp;F249&amp;" "&amp;G249&amp;" "&amp;I249&amp;" "&amp;L249&amp;" "&amp;M249&amp;" سعر "&amp;H249&amp;" جنيه "&amp;U249)</f>
        <v>Ford فورد EcoSport فورد إيكو سبورت 2016 مستعمل كروس أوفر أوتوماتيك بنزين سعر 750000 جنيه تكييف، زجاج كهربائي، قفل مركزي، ABS، مرايات كهربائية، حساسات ركن خلفية</v>
      </c>
    </row>
    <row r="250" customFormat="false" ht="35.05" hidden="false" customHeight="false" outlineLevel="0" collapsed="false">
      <c r="A250" s="6" t="s">
        <v>885</v>
      </c>
      <c r="B250" s="7" t="s">
        <v>873</v>
      </c>
      <c r="C250" s="6" t="str">
        <f aca="false">IF(B250="","",IFERROR(INDEX(Lists!$K$2:$K$60,MATCH(B250,Lists!$J$2:$J$60,0)),""))</f>
        <v>فورد</v>
      </c>
      <c r="D250" s="7" t="s">
        <v>886</v>
      </c>
      <c r="E250" s="7" t="s">
        <v>887</v>
      </c>
      <c r="F250" s="7" t="n">
        <v>2014</v>
      </c>
      <c r="G250" s="7" t="s">
        <v>249</v>
      </c>
      <c r="H250" s="8" t="n">
        <v>900000</v>
      </c>
      <c r="I250" s="7" t="s">
        <v>105</v>
      </c>
      <c r="J250" s="9" t="n">
        <v>1600</v>
      </c>
      <c r="K250" s="7" t="n">
        <v>150</v>
      </c>
      <c r="L250" s="7" t="s">
        <v>78</v>
      </c>
      <c r="M250" s="7" t="s">
        <v>79</v>
      </c>
      <c r="N250" s="7" t="n">
        <v>9</v>
      </c>
      <c r="O250" s="7" t="n">
        <v>5</v>
      </c>
      <c r="P250" s="7" t="s">
        <v>81</v>
      </c>
      <c r="Q250" s="7" t="s">
        <v>80</v>
      </c>
      <c r="R250" s="7" t="s">
        <v>81</v>
      </c>
      <c r="S250" s="7" t="s">
        <v>81</v>
      </c>
      <c r="T250" s="7" t="s">
        <v>81</v>
      </c>
      <c r="U250" s="7" t="s">
        <v>148</v>
      </c>
      <c r="V250" s="7" t="s">
        <v>266</v>
      </c>
      <c r="W250" s="6" t="str">
        <f aca="false">IF(COUNTA(B250:V250)=0,"",IF(OR(B250="",C250="",D250="",F250="",G250="",H250="",I250="",L250="",M250=""),"ناقص",IF(AND(ISNUMBER(F250),ISNUMBER(H250)),"OK","السنة/السعر لازم أرقام")))</f>
        <v>OK</v>
      </c>
      <c r="X250" s="6" t="str">
        <f aca="false">IF(B250="","",B250&amp;" "&amp;C250&amp;" "&amp;D250&amp;" "&amp;E250&amp;" "&amp;F250&amp;" "&amp;G250&amp;" "&amp;I250&amp;" "&amp;L250&amp;" "&amp;M250&amp;" سعر "&amp;H250&amp;" جنيه "&amp;U250)</f>
        <v>Ford فورد Kuga Mk2 فورد كوجا Mk2 2014 مستعمل كروس أوفر أوتوماتيك بنزين سعر 900000 جنيه تكييف، زجاج كهربائي، قفل مركزي، ABS، مرايات كهربائية، حساسات ركن خلفية، جنوط ألومنيوم، تحكم في الثبات ESP</v>
      </c>
    </row>
    <row r="251" customFormat="false" ht="35.05" hidden="false" customHeight="false" outlineLevel="0" collapsed="false">
      <c r="A251" s="6" t="s">
        <v>888</v>
      </c>
      <c r="B251" s="7" t="s">
        <v>873</v>
      </c>
      <c r="C251" s="6" t="str">
        <f aca="false">IF(B251="","",IFERROR(INDEX(Lists!$K$2:$K$60,MATCH(B251,Lists!$J$2:$J$60,0)),""))</f>
        <v>فورد</v>
      </c>
      <c r="D251" s="7" t="s">
        <v>889</v>
      </c>
      <c r="E251" s="7" t="s">
        <v>890</v>
      </c>
      <c r="F251" s="7" t="n">
        <v>2010</v>
      </c>
      <c r="G251" s="7" t="s">
        <v>249</v>
      </c>
      <c r="H251" s="8" t="n">
        <v>600000</v>
      </c>
      <c r="I251" s="7" t="s">
        <v>113</v>
      </c>
      <c r="J251" s="9" t="n">
        <v>2300</v>
      </c>
      <c r="K251" s="7" t="n">
        <v>153</v>
      </c>
      <c r="L251" s="7" t="s">
        <v>78</v>
      </c>
      <c r="M251" s="7" t="s">
        <v>79</v>
      </c>
      <c r="N251" s="7" t="n">
        <v>10.5</v>
      </c>
      <c r="O251" s="7" t="n">
        <v>5</v>
      </c>
      <c r="P251" s="7" t="s">
        <v>80</v>
      </c>
      <c r="Q251" s="7" t="s">
        <v>80</v>
      </c>
      <c r="R251" s="7" t="s">
        <v>80</v>
      </c>
      <c r="S251" s="7" t="s">
        <v>80</v>
      </c>
      <c r="T251" s="7" t="s">
        <v>80</v>
      </c>
      <c r="U251" s="7" t="s">
        <v>256</v>
      </c>
      <c r="V251" s="7" t="s">
        <v>266</v>
      </c>
      <c r="W251" s="6" t="str">
        <f aca="false">IF(COUNTA(B251:V251)=0,"",IF(OR(B251="",C251="",D251="",F251="",G251="",H251="",I251="",L251="",M251=""),"ناقص",IF(AND(ISNUMBER(F251),ISNUMBER(H251)),"OK","السنة/السعر لازم أرقام")))</f>
        <v>OK</v>
      </c>
      <c r="X251" s="6" t="str">
        <f aca="false">IF(B251="","",B251&amp;" "&amp;C251&amp;" "&amp;D251&amp;" "&amp;E251&amp;" "&amp;F251&amp;" "&amp;G251&amp;" "&amp;I251&amp;" "&amp;L251&amp;" "&amp;M251&amp;" سعر "&amp;H251&amp;" جنيه "&amp;U251)</f>
        <v>Ford فورد Escape فورد إسكيب 2010 مستعمل SUV أوتوماتيك بنزين سعر 600000 جنيه تكييف، زجاج كهربائي، قفل مركزي، ABS</v>
      </c>
    </row>
    <row r="252" customFormat="false" ht="35.05" hidden="false" customHeight="false" outlineLevel="0" collapsed="false">
      <c r="A252" s="6" t="s">
        <v>891</v>
      </c>
      <c r="B252" s="7" t="s">
        <v>892</v>
      </c>
      <c r="C252" s="6" t="str">
        <f aca="false">IF(B252="","",IFERROR(INDEX(Lists!$K$2:$K$60,MATCH(B252,Lists!$J$2:$J$60,0)),""))</f>
        <v>أوبل</v>
      </c>
      <c r="D252" s="7" t="s">
        <v>893</v>
      </c>
      <c r="E252" s="7" t="s">
        <v>894</v>
      </c>
      <c r="F252" s="7" t="n">
        <v>2007</v>
      </c>
      <c r="G252" s="7" t="s">
        <v>249</v>
      </c>
      <c r="H252" s="8" t="n">
        <v>400000</v>
      </c>
      <c r="I252" s="7" t="s">
        <v>270</v>
      </c>
      <c r="J252" s="9" t="n">
        <v>1600</v>
      </c>
      <c r="K252" s="7" t="n">
        <v>105</v>
      </c>
      <c r="L252" s="7" t="s">
        <v>78</v>
      </c>
      <c r="M252" s="7" t="s">
        <v>79</v>
      </c>
      <c r="N252" s="7" t="n">
        <v>8.5</v>
      </c>
      <c r="O252" s="7" t="n">
        <v>5</v>
      </c>
      <c r="P252" s="7" t="s">
        <v>80</v>
      </c>
      <c r="Q252" s="7" t="s">
        <v>80</v>
      </c>
      <c r="R252" s="7" t="s">
        <v>80</v>
      </c>
      <c r="S252" s="7" t="s">
        <v>80</v>
      </c>
      <c r="T252" s="7" t="s">
        <v>80</v>
      </c>
      <c r="U252" s="7" t="s">
        <v>251</v>
      </c>
      <c r="V252" s="7" t="s">
        <v>266</v>
      </c>
      <c r="W252" s="6" t="str">
        <f aca="false">IF(COUNTA(B252:V252)=0,"",IF(OR(B252="",C252="",D252="",F252="",G252="",H252="",I252="",L252="",M252=""),"ناقص",IF(AND(ISNUMBER(F252),ISNUMBER(H252)),"OK","السنة/السعر لازم أرقام")))</f>
        <v>OK</v>
      </c>
      <c r="X252" s="6" t="str">
        <f aca="false">IF(B252="","",B252&amp;" "&amp;C252&amp;" "&amp;D252&amp;" "&amp;E252&amp;" "&amp;F252&amp;" "&amp;G252&amp;" "&amp;I252&amp;" "&amp;L252&amp;" "&amp;M252&amp;" سعر "&amp;H252&amp;" جنيه "&amp;U252)</f>
        <v>Opel أوبل Astra H أوبل أسترا H 2007 مستعمل هاتشباك أوتوماتيك بنزين سعر 400000 جنيه تكييف، زجاج كهربائي، قفل مركزي</v>
      </c>
    </row>
    <row r="253" customFormat="false" ht="35.05" hidden="false" customHeight="false" outlineLevel="0" collapsed="false">
      <c r="A253" s="6" t="s">
        <v>895</v>
      </c>
      <c r="B253" s="7" t="s">
        <v>892</v>
      </c>
      <c r="C253" s="6" t="str">
        <f aca="false">IF(B253="","",IFERROR(INDEX(Lists!$K$2:$K$60,MATCH(B253,Lists!$J$2:$J$60,0)),""))</f>
        <v>أوبل</v>
      </c>
      <c r="D253" s="7" t="s">
        <v>896</v>
      </c>
      <c r="E253" s="7" t="s">
        <v>897</v>
      </c>
      <c r="F253" s="7" t="n">
        <v>2013</v>
      </c>
      <c r="G253" s="7" t="s">
        <v>249</v>
      </c>
      <c r="H253" s="8" t="n">
        <v>650000</v>
      </c>
      <c r="I253" s="7" t="s">
        <v>270</v>
      </c>
      <c r="J253" s="9" t="n">
        <v>1600</v>
      </c>
      <c r="K253" s="7" t="n">
        <v>115</v>
      </c>
      <c r="L253" s="7" t="s">
        <v>78</v>
      </c>
      <c r="M253" s="7" t="s">
        <v>79</v>
      </c>
      <c r="N253" s="7" t="n">
        <v>8</v>
      </c>
      <c r="O253" s="7" t="n">
        <v>5</v>
      </c>
      <c r="P253" s="7" t="s">
        <v>81</v>
      </c>
      <c r="Q253" s="7" t="s">
        <v>80</v>
      </c>
      <c r="R253" s="7" t="s">
        <v>81</v>
      </c>
      <c r="S253" s="7" t="s">
        <v>81</v>
      </c>
      <c r="T253" s="7" t="s">
        <v>81</v>
      </c>
      <c r="U253" s="7" t="s">
        <v>144</v>
      </c>
      <c r="V253" s="7" t="s">
        <v>266</v>
      </c>
      <c r="W253" s="6" t="str">
        <f aca="false">IF(COUNTA(B253:V253)=0,"",IF(OR(B253="",C253="",D253="",F253="",G253="",H253="",I253="",L253="",M253=""),"ناقص",IF(AND(ISNUMBER(F253),ISNUMBER(H253)),"OK","السنة/السعر لازم أرقام")))</f>
        <v>OK</v>
      </c>
      <c r="X253" s="6" t="str">
        <f aca="false">IF(B253="","",B253&amp;" "&amp;C253&amp;" "&amp;D253&amp;" "&amp;E253&amp;" "&amp;F253&amp;" "&amp;G253&amp;" "&amp;I253&amp;" "&amp;L253&amp;" "&amp;M253&amp;" سعر "&amp;H253&amp;" جنيه "&amp;U253)</f>
        <v>Opel أوبل Astra J أوبل أسترا J 2013 مستعمل هاتشباك أوتوماتيك بنزين سعر 650000 جنيه تكييف، زجاج كهربائي، قفل مركزي، ABS، مرايات كهربائية، حساسات ركن خلفية</v>
      </c>
    </row>
    <row r="254" customFormat="false" ht="35.05" hidden="false" customHeight="false" outlineLevel="0" collapsed="false">
      <c r="A254" s="6" t="s">
        <v>898</v>
      </c>
      <c r="B254" s="7" t="s">
        <v>892</v>
      </c>
      <c r="C254" s="6" t="str">
        <f aca="false">IF(B254="","",IFERROR(INDEX(Lists!$K$2:$K$60,MATCH(B254,Lists!$J$2:$J$60,0)),""))</f>
        <v>أوبل</v>
      </c>
      <c r="D254" s="7" t="s">
        <v>899</v>
      </c>
      <c r="E254" s="7" t="s">
        <v>900</v>
      </c>
      <c r="F254" s="7" t="n">
        <v>2018</v>
      </c>
      <c r="G254" s="7" t="s">
        <v>249</v>
      </c>
      <c r="H254" s="8" t="n">
        <v>1000000</v>
      </c>
      <c r="I254" s="7" t="s">
        <v>270</v>
      </c>
      <c r="J254" s="9" t="n">
        <v>1400</v>
      </c>
      <c r="K254" s="7" t="n">
        <v>125</v>
      </c>
      <c r="L254" s="7" t="s">
        <v>78</v>
      </c>
      <c r="M254" s="7" t="s">
        <v>79</v>
      </c>
      <c r="N254" s="7" t="n">
        <v>6.5</v>
      </c>
      <c r="O254" s="7" t="n">
        <v>5</v>
      </c>
      <c r="P254" s="7" t="s">
        <v>81</v>
      </c>
      <c r="Q254" s="7" t="s">
        <v>81</v>
      </c>
      <c r="R254" s="7" t="s">
        <v>81</v>
      </c>
      <c r="S254" s="7" t="s">
        <v>81</v>
      </c>
      <c r="T254" s="7" t="s">
        <v>81</v>
      </c>
      <c r="U254" s="7" t="s">
        <v>148</v>
      </c>
      <c r="V254" s="7" t="s">
        <v>266</v>
      </c>
      <c r="W254" s="6" t="str">
        <f aca="false">IF(COUNTA(B254:V254)=0,"",IF(OR(B254="",C254="",D254="",F254="",G254="",H254="",I254="",L254="",M254=""),"ناقص",IF(AND(ISNUMBER(F254),ISNUMBER(H254)),"OK","السنة/السعر لازم أرقام")))</f>
        <v>OK</v>
      </c>
      <c r="X254" s="6" t="str">
        <f aca="false">IF(B254="","",B254&amp;" "&amp;C254&amp;" "&amp;D254&amp;" "&amp;E254&amp;" "&amp;F254&amp;" "&amp;G254&amp;" "&amp;I254&amp;" "&amp;L254&amp;" "&amp;M254&amp;" سعر "&amp;H254&amp;" جنيه "&amp;U254)</f>
        <v>Opel أوبل Astra K أوبل أسترا K 2018 مستعمل هاتشباك أوتوماتيك بنزين سعر 1000000 جنيه تكييف، زجاج كهربائي، قفل مركزي، ABS، مرايات كهربائية، حساسات ركن خلفية، جنوط ألومنيوم، تحكم في الثبات ESP</v>
      </c>
    </row>
    <row r="255" customFormat="false" ht="35.05" hidden="false" customHeight="false" outlineLevel="0" collapsed="false">
      <c r="A255" s="6" t="s">
        <v>901</v>
      </c>
      <c r="B255" s="7" t="s">
        <v>892</v>
      </c>
      <c r="C255" s="6" t="str">
        <f aca="false">IF(B255="","",IFERROR(INDEX(Lists!$K$2:$K$60,MATCH(B255,Lists!$J$2:$J$60,0)),""))</f>
        <v>أوبل</v>
      </c>
      <c r="D255" s="7" t="s">
        <v>902</v>
      </c>
      <c r="E255" s="7" t="s">
        <v>903</v>
      </c>
      <c r="F255" s="7" t="n">
        <v>2010</v>
      </c>
      <c r="G255" s="7" t="s">
        <v>249</v>
      </c>
      <c r="H255" s="8" t="n">
        <v>320000</v>
      </c>
      <c r="I255" s="7" t="s">
        <v>270</v>
      </c>
      <c r="J255" s="9" t="n">
        <v>1200</v>
      </c>
      <c r="K255" s="7" t="n">
        <v>80</v>
      </c>
      <c r="L255" s="7" t="s">
        <v>250</v>
      </c>
      <c r="M255" s="7" t="s">
        <v>79</v>
      </c>
      <c r="N255" s="7" t="n">
        <v>6.5</v>
      </c>
      <c r="O255" s="7" t="n">
        <v>5</v>
      </c>
      <c r="P255" s="7" t="s">
        <v>80</v>
      </c>
      <c r="Q255" s="7" t="s">
        <v>80</v>
      </c>
      <c r="R255" s="7" t="s">
        <v>80</v>
      </c>
      <c r="S255" s="7" t="s">
        <v>80</v>
      </c>
      <c r="T255" s="7" t="s">
        <v>80</v>
      </c>
      <c r="U255" s="7" t="s">
        <v>256</v>
      </c>
      <c r="V255" s="7" t="s">
        <v>266</v>
      </c>
      <c r="W255" s="6" t="str">
        <f aca="false">IF(COUNTA(B255:V255)=0,"",IF(OR(B255="",C255="",D255="",F255="",G255="",H255="",I255="",L255="",M255=""),"ناقص",IF(AND(ISNUMBER(F255),ISNUMBER(H255)),"OK","السنة/السعر لازم أرقام")))</f>
        <v>OK</v>
      </c>
      <c r="X255" s="6" t="str">
        <f aca="false">IF(B255="","",B255&amp;" "&amp;C255&amp;" "&amp;D255&amp;" "&amp;E255&amp;" "&amp;F255&amp;" "&amp;G255&amp;" "&amp;I255&amp;" "&amp;L255&amp;" "&amp;M255&amp;" سعر "&amp;H255&amp;" جنيه "&amp;U255)</f>
        <v>Opel أوبل Corsa D أوبل كورسا D 2010 مستعمل هاتشباك مانيوال بنزين سعر 320000 جنيه تكييف، زجاج كهربائي، قفل مركزي، ABS</v>
      </c>
    </row>
    <row r="256" customFormat="false" ht="35.05" hidden="false" customHeight="false" outlineLevel="0" collapsed="false">
      <c r="A256" s="6" t="s">
        <v>904</v>
      </c>
      <c r="B256" s="7" t="s">
        <v>892</v>
      </c>
      <c r="C256" s="6" t="str">
        <f aca="false">IF(B256="","",IFERROR(INDEX(Lists!$K$2:$K$60,MATCH(B256,Lists!$J$2:$J$60,0)),""))</f>
        <v>أوبل</v>
      </c>
      <c r="D256" s="7" t="s">
        <v>905</v>
      </c>
      <c r="E256" s="7" t="s">
        <v>906</v>
      </c>
      <c r="F256" s="7" t="n">
        <v>2014</v>
      </c>
      <c r="G256" s="7" t="s">
        <v>249</v>
      </c>
      <c r="H256" s="8" t="n">
        <v>850000</v>
      </c>
      <c r="I256" s="7" t="s">
        <v>77</v>
      </c>
      <c r="J256" s="9" t="n">
        <v>1600</v>
      </c>
      <c r="K256" s="7" t="n">
        <v>170</v>
      </c>
      <c r="L256" s="7" t="s">
        <v>78</v>
      </c>
      <c r="M256" s="7" t="s">
        <v>79</v>
      </c>
      <c r="N256" s="7" t="n">
        <v>8.5</v>
      </c>
      <c r="O256" s="7" t="n">
        <v>5</v>
      </c>
      <c r="P256" s="7" t="s">
        <v>81</v>
      </c>
      <c r="Q256" s="7" t="s">
        <v>80</v>
      </c>
      <c r="R256" s="7" t="s">
        <v>81</v>
      </c>
      <c r="S256" s="7" t="s">
        <v>81</v>
      </c>
      <c r="T256" s="7" t="s">
        <v>81</v>
      </c>
      <c r="U256" s="7" t="s">
        <v>148</v>
      </c>
      <c r="V256" s="7" t="s">
        <v>266</v>
      </c>
      <c r="W256" s="6" t="str">
        <f aca="false">IF(COUNTA(B256:V256)=0,"",IF(OR(B256="",C256="",D256="",F256="",G256="",H256="",I256="",L256="",M256=""),"ناقص",IF(AND(ISNUMBER(F256),ISNUMBER(H256)),"OK","السنة/السعر لازم أرقام")))</f>
        <v>OK</v>
      </c>
      <c r="X256" s="6" t="str">
        <f aca="false">IF(B256="","",B256&amp;" "&amp;C256&amp;" "&amp;D256&amp;" "&amp;E256&amp;" "&amp;F256&amp;" "&amp;G256&amp;" "&amp;I256&amp;" "&amp;L256&amp;" "&amp;M256&amp;" سعر "&amp;H256&amp;" جنيه "&amp;U256)</f>
        <v>Opel أوبل Insignia أوبل إنسيجنيا 2014 مستعمل سيدان أوتوماتيك بنزين سعر 850000 جنيه تكييف، زجاج كهربائي، قفل مركزي، ABS، مرايات كهربائية، حساسات ركن خلفية، جنوط ألومنيوم، تحكم في الثبات ESP</v>
      </c>
    </row>
    <row r="257" customFormat="false" ht="35.05" hidden="false" customHeight="false" outlineLevel="0" collapsed="false">
      <c r="A257" s="6" t="s">
        <v>907</v>
      </c>
      <c r="B257" s="7" t="s">
        <v>892</v>
      </c>
      <c r="C257" s="6" t="str">
        <f aca="false">IF(B257="","",IFERROR(INDEX(Lists!$K$2:$K$60,MATCH(B257,Lists!$J$2:$J$60,0)),""))</f>
        <v>أوبل</v>
      </c>
      <c r="D257" s="7" t="s">
        <v>908</v>
      </c>
      <c r="E257" s="7" t="s">
        <v>909</v>
      </c>
      <c r="F257" s="7" t="n">
        <v>2015</v>
      </c>
      <c r="G257" s="7" t="s">
        <v>249</v>
      </c>
      <c r="H257" s="8" t="n">
        <v>900000</v>
      </c>
      <c r="I257" s="7" t="s">
        <v>105</v>
      </c>
      <c r="J257" s="9" t="n">
        <v>1400</v>
      </c>
      <c r="K257" s="7" t="n">
        <v>140</v>
      </c>
      <c r="L257" s="7" t="s">
        <v>78</v>
      </c>
      <c r="M257" s="7" t="s">
        <v>79</v>
      </c>
      <c r="N257" s="7" t="n">
        <v>7.5</v>
      </c>
      <c r="O257" s="7" t="n">
        <v>5</v>
      </c>
      <c r="P257" s="7" t="s">
        <v>81</v>
      </c>
      <c r="Q257" s="7" t="s">
        <v>81</v>
      </c>
      <c r="R257" s="7" t="s">
        <v>81</v>
      </c>
      <c r="S257" s="7" t="s">
        <v>81</v>
      </c>
      <c r="T257" s="7" t="s">
        <v>81</v>
      </c>
      <c r="U257" s="7" t="s">
        <v>148</v>
      </c>
      <c r="V257" s="7" t="s">
        <v>266</v>
      </c>
      <c r="W257" s="6" t="str">
        <f aca="false">IF(COUNTA(B257:V257)=0,"",IF(OR(B257="",C257="",D257="",F257="",G257="",H257="",I257="",L257="",M257=""),"ناقص",IF(AND(ISNUMBER(F257),ISNUMBER(H257)),"OK","السنة/السعر لازم أرقام")))</f>
        <v>OK</v>
      </c>
      <c r="X257" s="6" t="str">
        <f aca="false">IF(B257="","",B257&amp;" "&amp;C257&amp;" "&amp;D257&amp;" "&amp;E257&amp;" "&amp;F257&amp;" "&amp;G257&amp;" "&amp;I257&amp;" "&amp;L257&amp;" "&amp;M257&amp;" سعر "&amp;H257&amp;" جنيه "&amp;U257)</f>
        <v>Opel أوبل Mokka أوبل موكا 2015 مستعمل كروس أوفر أوتوماتيك بنزين سعر 900000 جنيه تكييف، زجاج كهربائي، قفل مركزي، ABS، مرايات كهربائية، حساسات ركن خلفية، جنوط ألومنيوم، تحكم في الثبات ESP</v>
      </c>
    </row>
    <row r="258" customFormat="false" ht="35.05" hidden="false" customHeight="false" outlineLevel="0" collapsed="false">
      <c r="A258" s="6" t="s">
        <v>910</v>
      </c>
      <c r="B258" s="7" t="s">
        <v>911</v>
      </c>
      <c r="C258" s="6" t="str">
        <f aca="false">IF(B258="","",IFERROR(INDEX(Lists!$K$2:$K$60,MATCH(B258,Lists!$J$2:$J$60,0)),""))</f>
        <v>لادا</v>
      </c>
      <c r="D258" s="7" t="s">
        <v>912</v>
      </c>
      <c r="E258" s="7" t="s">
        <v>913</v>
      </c>
      <c r="F258" s="7" t="n">
        <v>2005</v>
      </c>
      <c r="G258" s="7" t="s">
        <v>249</v>
      </c>
      <c r="H258" s="8" t="n">
        <v>150000</v>
      </c>
      <c r="I258" s="7" t="s">
        <v>77</v>
      </c>
      <c r="J258" s="9" t="n">
        <v>1500</v>
      </c>
      <c r="K258" s="7" t="n">
        <v>72</v>
      </c>
      <c r="L258" s="7" t="s">
        <v>250</v>
      </c>
      <c r="M258" s="7" t="s">
        <v>79</v>
      </c>
      <c r="N258" s="7" t="n">
        <v>9</v>
      </c>
      <c r="O258" s="7" t="n">
        <v>5</v>
      </c>
      <c r="P258" s="7" t="s">
        <v>80</v>
      </c>
      <c r="Q258" s="7" t="s">
        <v>80</v>
      </c>
      <c r="R258" s="7" t="s">
        <v>80</v>
      </c>
      <c r="S258" s="7" t="s">
        <v>80</v>
      </c>
      <c r="T258" s="7" t="s">
        <v>80</v>
      </c>
      <c r="U258" s="7" t="s">
        <v>251</v>
      </c>
      <c r="V258" s="7" t="s">
        <v>266</v>
      </c>
      <c r="W258" s="6" t="str">
        <f aca="false">IF(COUNTA(B258:V258)=0,"",IF(OR(B258="",C258="",D258="",F258="",G258="",H258="",I258="",L258="",M258=""),"ناقص",IF(AND(ISNUMBER(F258),ISNUMBER(H258)),"OK","السنة/السعر لازم أرقام")))</f>
        <v>OK</v>
      </c>
      <c r="X258" s="6" t="str">
        <f aca="false">IF(B258="","",B258&amp;" "&amp;C258&amp;" "&amp;D258&amp;" "&amp;E258&amp;" "&amp;F258&amp;" "&amp;G258&amp;" "&amp;I258&amp;" "&amp;L258&amp;" "&amp;M258&amp;" سعر "&amp;H258&amp;" جنيه "&amp;U258)</f>
        <v>Lada لادا 2107 لادا 2107 2005 مستعمل سيدان مانيوال بنزين سعر 150000 جنيه تكييف، زجاج كهربائي، قفل مركزي</v>
      </c>
    </row>
    <row r="259" customFormat="false" ht="35.05" hidden="false" customHeight="false" outlineLevel="0" collapsed="false">
      <c r="A259" s="6" t="s">
        <v>914</v>
      </c>
      <c r="B259" s="7" t="s">
        <v>911</v>
      </c>
      <c r="C259" s="6" t="str">
        <f aca="false">IF(B259="","",IFERROR(INDEX(Lists!$K$2:$K$60,MATCH(B259,Lists!$J$2:$J$60,0)),""))</f>
        <v>لادا</v>
      </c>
      <c r="D259" s="7" t="s">
        <v>915</v>
      </c>
      <c r="E259" s="7" t="s">
        <v>916</v>
      </c>
      <c r="F259" s="7" t="n">
        <v>2010</v>
      </c>
      <c r="G259" s="7" t="s">
        <v>249</v>
      </c>
      <c r="H259" s="8" t="n">
        <v>220000</v>
      </c>
      <c r="I259" s="7" t="s">
        <v>113</v>
      </c>
      <c r="J259" s="9" t="n">
        <v>1700</v>
      </c>
      <c r="K259" s="7" t="n">
        <v>80</v>
      </c>
      <c r="L259" s="7" t="s">
        <v>250</v>
      </c>
      <c r="M259" s="7" t="s">
        <v>79</v>
      </c>
      <c r="N259" s="7" t="n">
        <v>11</v>
      </c>
      <c r="O259" s="7" t="n">
        <v>5</v>
      </c>
      <c r="P259" s="7" t="s">
        <v>80</v>
      </c>
      <c r="Q259" s="7" t="s">
        <v>80</v>
      </c>
      <c r="R259" s="7" t="s">
        <v>80</v>
      </c>
      <c r="S259" s="7" t="s">
        <v>80</v>
      </c>
      <c r="T259" s="7" t="s">
        <v>80</v>
      </c>
      <c r="U259" s="7" t="s">
        <v>256</v>
      </c>
      <c r="V259" s="7" t="s">
        <v>266</v>
      </c>
      <c r="W259" s="6" t="str">
        <f aca="false">IF(COUNTA(B259:V259)=0,"",IF(OR(B259="",C259="",D259="",F259="",G259="",H259="",I259="",L259="",M259=""),"ناقص",IF(AND(ISNUMBER(F259),ISNUMBER(H259)),"OK","السنة/السعر لازم أرقام")))</f>
        <v>OK</v>
      </c>
      <c r="X259" s="6" t="str">
        <f aca="false">IF(B259="","",B259&amp;" "&amp;C259&amp;" "&amp;D259&amp;" "&amp;E259&amp;" "&amp;F259&amp;" "&amp;G259&amp;" "&amp;I259&amp;" "&amp;L259&amp;" "&amp;M259&amp;" سعر "&amp;H259&amp;" جنيه "&amp;U259)</f>
        <v>Lada لادا Niva لادا نيفا 2010 مستعمل SUV مانيوال بنزين سعر 220000 جنيه تكييف، زجاج كهربائي، قفل مركزي، ABS</v>
      </c>
    </row>
    <row r="260" customFormat="false" ht="35.05" hidden="false" customHeight="false" outlineLevel="0" collapsed="false">
      <c r="A260" s="6" t="s">
        <v>917</v>
      </c>
      <c r="B260" s="7" t="s">
        <v>911</v>
      </c>
      <c r="C260" s="6" t="str">
        <f aca="false">IF(B260="","",IFERROR(INDEX(Lists!$K$2:$K$60,MATCH(B260,Lists!$J$2:$J$60,0)),""))</f>
        <v>لادا</v>
      </c>
      <c r="D260" s="7" t="s">
        <v>918</v>
      </c>
      <c r="E260" s="7" t="s">
        <v>919</v>
      </c>
      <c r="F260" s="7" t="n">
        <v>1996</v>
      </c>
      <c r="G260" s="7" t="s">
        <v>249</v>
      </c>
      <c r="H260" s="8" t="n">
        <v>110000</v>
      </c>
      <c r="I260" s="7" t="s">
        <v>270</v>
      </c>
      <c r="J260" s="9" t="n">
        <v>1300</v>
      </c>
      <c r="K260" s="7" t="n">
        <v>65</v>
      </c>
      <c r="L260" s="7" t="s">
        <v>250</v>
      </c>
      <c r="M260" s="7" t="s">
        <v>79</v>
      </c>
      <c r="N260" s="7" t="n">
        <v>8</v>
      </c>
      <c r="O260" s="7" t="n">
        <v>5</v>
      </c>
      <c r="P260" s="7" t="s">
        <v>80</v>
      </c>
      <c r="Q260" s="7" t="s">
        <v>80</v>
      </c>
      <c r="R260" s="7" t="s">
        <v>80</v>
      </c>
      <c r="S260" s="7" t="s">
        <v>80</v>
      </c>
      <c r="T260" s="7" t="s">
        <v>80</v>
      </c>
      <c r="U260" s="7" t="s">
        <v>251</v>
      </c>
      <c r="V260" s="7" t="s">
        <v>266</v>
      </c>
      <c r="W260" s="6" t="str">
        <f aca="false">IF(COUNTA(B260:V260)=0,"",IF(OR(B260="",C260="",D260="",F260="",G260="",H260="",I260="",L260="",M260=""),"ناقص",IF(AND(ISNUMBER(F260),ISNUMBER(H260)),"OK","السنة/السعر لازم أرقام")))</f>
        <v>OK</v>
      </c>
      <c r="X260" s="6" t="str">
        <f aca="false">IF(B260="","",B260&amp;" "&amp;C260&amp;" "&amp;D260&amp;" "&amp;E260&amp;" "&amp;F260&amp;" "&amp;G260&amp;" "&amp;I260&amp;" "&amp;L260&amp;" "&amp;M260&amp;" سعر "&amp;H260&amp;" جنيه "&amp;U260)</f>
        <v>Lada لادا Samara لادا ساماره 1996 مستعمل هاتشباك مانيوال بنزين سعر 110000 جنيه تكييف، زجاج كهربائي، قفل مركزي</v>
      </c>
    </row>
    <row r="261" customFormat="false" ht="35.05" hidden="false" customHeight="false" outlineLevel="0" collapsed="false">
      <c r="A261" s="6" t="s">
        <v>920</v>
      </c>
      <c r="B261" s="7" t="s">
        <v>911</v>
      </c>
      <c r="C261" s="6" t="str">
        <f aca="false">IF(B261="","",IFERROR(INDEX(Lists!$K$2:$K$60,MATCH(B261,Lists!$J$2:$J$60,0)),""))</f>
        <v>لادا</v>
      </c>
      <c r="D261" s="7" t="s">
        <v>921</v>
      </c>
      <c r="E261" s="7" t="s">
        <v>922</v>
      </c>
      <c r="F261" s="7" t="n">
        <v>2018</v>
      </c>
      <c r="G261" s="7" t="s">
        <v>249</v>
      </c>
      <c r="H261" s="8" t="n">
        <v>380000</v>
      </c>
      <c r="I261" s="7" t="s">
        <v>77</v>
      </c>
      <c r="J261" s="9" t="n">
        <v>1600</v>
      </c>
      <c r="K261" s="7" t="n">
        <v>87</v>
      </c>
      <c r="L261" s="7" t="s">
        <v>250</v>
      </c>
      <c r="M261" s="7" t="s">
        <v>79</v>
      </c>
      <c r="N261" s="7" t="n">
        <v>7.5</v>
      </c>
      <c r="O261" s="7" t="n">
        <v>5</v>
      </c>
      <c r="P261" s="7" t="s">
        <v>80</v>
      </c>
      <c r="Q261" s="7" t="s">
        <v>80</v>
      </c>
      <c r="R261" s="7" t="s">
        <v>80</v>
      </c>
      <c r="S261" s="7" t="s">
        <v>80</v>
      </c>
      <c r="T261" s="7" t="s">
        <v>81</v>
      </c>
      <c r="U261" s="7" t="s">
        <v>256</v>
      </c>
      <c r="V261" s="7" t="s">
        <v>266</v>
      </c>
      <c r="W261" s="6" t="str">
        <f aca="false">IF(COUNTA(B261:V261)=0,"",IF(OR(B261="",C261="",D261="",F261="",G261="",H261="",I261="",L261="",M261=""),"ناقص",IF(AND(ISNUMBER(F261),ISNUMBER(H261)),"OK","السنة/السعر لازم أرقام")))</f>
        <v>OK</v>
      </c>
      <c r="X261" s="6" t="str">
        <f aca="false">IF(B261="","",B261&amp;" "&amp;C261&amp;" "&amp;D261&amp;" "&amp;E261&amp;" "&amp;F261&amp;" "&amp;G261&amp;" "&amp;I261&amp;" "&amp;L261&amp;" "&amp;M261&amp;" سعر "&amp;H261&amp;" جنيه "&amp;U261)</f>
        <v>Lada لادا Granta لادا جرانتا 2018 مستعمل سيدان مانيوال بنزين سعر 380000 جنيه تكييف، زجاج كهربائي، قفل مركزي، ABS</v>
      </c>
    </row>
    <row r="262" customFormat="false" ht="35.05" hidden="false" customHeight="false" outlineLevel="0" collapsed="false">
      <c r="A262" s="6" t="s">
        <v>923</v>
      </c>
      <c r="B262" s="7" t="s">
        <v>911</v>
      </c>
      <c r="C262" s="6" t="str">
        <f aca="false">IF(B262="","",IFERROR(INDEX(Lists!$K$2:$K$60,MATCH(B262,Lists!$J$2:$J$60,0)),""))</f>
        <v>لادا</v>
      </c>
      <c r="D262" s="7" t="s">
        <v>924</v>
      </c>
      <c r="E262" s="7" t="s">
        <v>925</v>
      </c>
      <c r="F262" s="7" t="n">
        <v>2019</v>
      </c>
      <c r="G262" s="7" t="s">
        <v>249</v>
      </c>
      <c r="H262" s="8" t="n">
        <v>500000</v>
      </c>
      <c r="I262" s="7" t="s">
        <v>77</v>
      </c>
      <c r="J262" s="9" t="n">
        <v>1600</v>
      </c>
      <c r="K262" s="7" t="n">
        <v>106</v>
      </c>
      <c r="L262" s="7" t="s">
        <v>250</v>
      </c>
      <c r="M262" s="7" t="s">
        <v>79</v>
      </c>
      <c r="N262" s="7" t="n">
        <v>7.5</v>
      </c>
      <c r="O262" s="7" t="n">
        <v>5</v>
      </c>
      <c r="P262" s="7" t="s">
        <v>80</v>
      </c>
      <c r="Q262" s="7" t="s">
        <v>81</v>
      </c>
      <c r="R262" s="7" t="s">
        <v>80</v>
      </c>
      <c r="S262" s="7" t="s">
        <v>80</v>
      </c>
      <c r="T262" s="7" t="s">
        <v>81</v>
      </c>
      <c r="U262" s="7" t="s">
        <v>256</v>
      </c>
      <c r="V262" s="7" t="s">
        <v>266</v>
      </c>
      <c r="W262" s="6" t="str">
        <f aca="false">IF(COUNTA(B262:V262)=0,"",IF(OR(B262="",C262="",D262="",F262="",G262="",H262="",I262="",L262="",M262=""),"ناقص",IF(AND(ISNUMBER(F262),ISNUMBER(H262)),"OK","السنة/السعر لازم أرقام")))</f>
        <v>OK</v>
      </c>
      <c r="X262" s="6" t="str">
        <f aca="false">IF(B262="","",B262&amp;" "&amp;C262&amp;" "&amp;D262&amp;" "&amp;E262&amp;" "&amp;F262&amp;" "&amp;G262&amp;" "&amp;I262&amp;" "&amp;L262&amp;" "&amp;M262&amp;" سعر "&amp;H262&amp;" جنيه "&amp;U262)</f>
        <v>Lada لادا Vesta لادا فيستا 2019 مستعمل سيدان مانيوال بنزين سعر 500000 جنيه تكييف، زجاج كهربائي، قفل مركزي، ABS</v>
      </c>
    </row>
    <row r="263" customFormat="false" ht="35.05" hidden="false" customHeight="false" outlineLevel="0" collapsed="false">
      <c r="A263" s="6" t="s">
        <v>926</v>
      </c>
      <c r="B263" s="7" t="s">
        <v>911</v>
      </c>
      <c r="C263" s="6" t="str">
        <f aca="false">IF(B263="","",IFERROR(INDEX(Lists!$K$2:$K$60,MATCH(B263,Lists!$J$2:$J$60,0)),""))</f>
        <v>لادا</v>
      </c>
      <c r="D263" s="7" t="s">
        <v>927</v>
      </c>
      <c r="E263" s="7" t="s">
        <v>928</v>
      </c>
      <c r="F263" s="7" t="n">
        <v>2014</v>
      </c>
      <c r="G263" s="7" t="s">
        <v>249</v>
      </c>
      <c r="H263" s="8" t="n">
        <v>330000</v>
      </c>
      <c r="I263" s="7" t="s">
        <v>270</v>
      </c>
      <c r="J263" s="9" t="n">
        <v>1600</v>
      </c>
      <c r="K263" s="7" t="n">
        <v>87</v>
      </c>
      <c r="L263" s="7" t="s">
        <v>250</v>
      </c>
      <c r="M263" s="7" t="s">
        <v>79</v>
      </c>
      <c r="N263" s="7" t="n">
        <v>7.5</v>
      </c>
      <c r="O263" s="7" t="n">
        <v>5</v>
      </c>
      <c r="P263" s="7" t="s">
        <v>80</v>
      </c>
      <c r="Q263" s="7" t="s">
        <v>80</v>
      </c>
      <c r="R263" s="7" t="s">
        <v>80</v>
      </c>
      <c r="S263" s="7" t="s">
        <v>80</v>
      </c>
      <c r="T263" s="7" t="s">
        <v>80</v>
      </c>
      <c r="U263" s="7" t="s">
        <v>256</v>
      </c>
      <c r="V263" s="7" t="s">
        <v>266</v>
      </c>
      <c r="W263" s="6" t="str">
        <f aca="false">IF(COUNTA(B263:V263)=0,"",IF(OR(B263="",C263="",D263="",F263="",G263="",H263="",I263="",L263="",M263=""),"ناقص",IF(AND(ISNUMBER(F263),ISNUMBER(H263)),"OK","السنة/السعر لازم أرقام")))</f>
        <v>OK</v>
      </c>
      <c r="X263" s="6" t="str">
        <f aca="false">IF(B263="","",B263&amp;" "&amp;C263&amp;" "&amp;D263&amp;" "&amp;E263&amp;" "&amp;F263&amp;" "&amp;G263&amp;" "&amp;I263&amp;" "&amp;L263&amp;" "&amp;M263&amp;" سعر "&amp;H263&amp;" جنيه "&amp;U263)</f>
        <v>Lada لادا Kalina لادا كالينا 2014 مستعمل هاتشباك مانيوال بنزين سعر 330000 جنيه تكييف، زجاج كهربائي، قفل مركزي، ABS</v>
      </c>
    </row>
    <row r="264" customFormat="false" ht="35.05" hidden="false" customHeight="false" outlineLevel="0" collapsed="false">
      <c r="A264" s="6" t="s">
        <v>929</v>
      </c>
      <c r="B264" s="7" t="s">
        <v>930</v>
      </c>
      <c r="C264" s="6" t="str">
        <f aca="false">IF(B264="","",IFERROR(INDEX(Lists!$K$2:$K$60,MATCH(B264,Lists!$J$2:$J$60,0)),""))</f>
        <v>جيب</v>
      </c>
      <c r="D264" s="7" t="s">
        <v>931</v>
      </c>
      <c r="E264" s="7" t="s">
        <v>932</v>
      </c>
      <c r="F264" s="7" t="n">
        <v>2012</v>
      </c>
      <c r="G264" s="7" t="s">
        <v>249</v>
      </c>
      <c r="H264" s="8" t="n">
        <v>1500000</v>
      </c>
      <c r="I264" s="7" t="s">
        <v>113</v>
      </c>
      <c r="J264" s="9" t="n">
        <v>3600</v>
      </c>
      <c r="K264" s="7" t="n">
        <v>284</v>
      </c>
      <c r="L264" s="7" t="s">
        <v>78</v>
      </c>
      <c r="M264" s="7" t="s">
        <v>79</v>
      </c>
      <c r="N264" s="7" t="n">
        <v>14</v>
      </c>
      <c r="O264" s="7" t="n">
        <v>5</v>
      </c>
      <c r="P264" s="7" t="s">
        <v>81</v>
      </c>
      <c r="Q264" s="7" t="s">
        <v>80</v>
      </c>
      <c r="R264" s="7" t="s">
        <v>81</v>
      </c>
      <c r="S264" s="7" t="s">
        <v>81</v>
      </c>
      <c r="T264" s="7" t="s">
        <v>81</v>
      </c>
      <c r="U264" s="7" t="s">
        <v>144</v>
      </c>
      <c r="V264" s="7" t="s">
        <v>266</v>
      </c>
      <c r="W264" s="6" t="str">
        <f aca="false">IF(COUNTA(B264:V264)=0,"",IF(OR(B264="",C264="",D264="",F264="",G264="",H264="",I264="",L264="",M264=""),"ناقص",IF(AND(ISNUMBER(F264),ISNUMBER(H264)),"OK","السنة/السعر لازم أرقام")))</f>
        <v>OK</v>
      </c>
      <c r="X264" s="6" t="str">
        <f aca="false">IF(B264="","",B264&amp;" "&amp;C264&amp;" "&amp;D264&amp;" "&amp;E264&amp;" "&amp;F264&amp;" "&amp;G264&amp;" "&amp;I264&amp;" "&amp;L264&amp;" "&amp;M264&amp;" سعر "&amp;H264&amp;" جنيه "&amp;U264)</f>
        <v>Jeep جيب Wrangler JK جيب رانجلر JK 2012 مستعمل SUV أوتوماتيك بنزين سعر 1500000 جنيه تكييف، زجاج كهربائي، قفل مركزي، ABS، مرايات كهربائية، حساسات ركن خلفية</v>
      </c>
    </row>
    <row r="265" customFormat="false" ht="46.25" hidden="false" customHeight="false" outlineLevel="0" collapsed="false">
      <c r="A265" s="6" t="s">
        <v>933</v>
      </c>
      <c r="B265" s="7" t="s">
        <v>930</v>
      </c>
      <c r="C265" s="6" t="str">
        <f aca="false">IF(B265="","",IFERROR(INDEX(Lists!$K$2:$K$60,MATCH(B265,Lists!$J$2:$J$60,0)),""))</f>
        <v>جيب</v>
      </c>
      <c r="D265" s="7" t="s">
        <v>934</v>
      </c>
      <c r="E265" s="7" t="s">
        <v>935</v>
      </c>
      <c r="F265" s="7" t="n">
        <v>2014</v>
      </c>
      <c r="G265" s="7" t="s">
        <v>249</v>
      </c>
      <c r="H265" s="8" t="n">
        <v>1700000</v>
      </c>
      <c r="I265" s="7" t="s">
        <v>113</v>
      </c>
      <c r="J265" s="9" t="n">
        <v>3600</v>
      </c>
      <c r="K265" s="7" t="n">
        <v>286</v>
      </c>
      <c r="L265" s="7" t="s">
        <v>78</v>
      </c>
      <c r="M265" s="7" t="s">
        <v>79</v>
      </c>
      <c r="N265" s="7" t="n">
        <v>13</v>
      </c>
      <c r="O265" s="7" t="n">
        <v>5</v>
      </c>
      <c r="P265" s="7" t="s">
        <v>81</v>
      </c>
      <c r="Q265" s="7" t="s">
        <v>80</v>
      </c>
      <c r="R265" s="7" t="s">
        <v>81</v>
      </c>
      <c r="S265" s="7" t="s">
        <v>81</v>
      </c>
      <c r="T265" s="7" t="s">
        <v>81</v>
      </c>
      <c r="U265" s="7" t="s">
        <v>299</v>
      </c>
      <c r="V265" s="7" t="s">
        <v>266</v>
      </c>
      <c r="W265" s="6" t="str">
        <f aca="false">IF(COUNTA(B265:V265)=0,"",IF(OR(B265="",C265="",D265="",F265="",G265="",H265="",I265="",L265="",M265=""),"ناقص",IF(AND(ISNUMBER(F265),ISNUMBER(H265)),"OK","السنة/السعر لازم أرقام")))</f>
        <v>OK</v>
      </c>
      <c r="X265" s="6" t="str">
        <f aca="false">IF(B265="","",B265&amp;" "&amp;C265&amp;" "&amp;D265&amp;" "&amp;E265&amp;" "&amp;F265&amp;" "&amp;G265&amp;" "&amp;I265&amp;" "&amp;L265&amp;" "&amp;M265&amp;" سعر "&amp;H265&amp;" جنيه "&amp;U265)</f>
        <v>Jeep جيب Grand Cherokee WK2 جيب جراند شيروكي WK2 2014 مستعمل SUV أوتوماتيك بنزين سعر 1700000 جنيه تكييف، زجاج كهربائي، قفل مركزي، ABS، مرايات كهربائية، حساسات ركن خلفية، جنوط ألومنيوم، تحكم في الثبات ESP، مقاعد كهربائية، إضاءة LED</v>
      </c>
    </row>
    <row r="266" customFormat="false" ht="46.25" hidden="false" customHeight="false" outlineLevel="0" collapsed="false">
      <c r="A266" s="6" t="s">
        <v>936</v>
      </c>
      <c r="B266" s="7" t="s">
        <v>930</v>
      </c>
      <c r="C266" s="6" t="str">
        <f aca="false">IF(B266="","",IFERROR(INDEX(Lists!$K$2:$K$60,MATCH(B266,Lists!$J$2:$J$60,0)),""))</f>
        <v>جيب</v>
      </c>
      <c r="D266" s="7" t="s">
        <v>937</v>
      </c>
      <c r="E266" s="7" t="s">
        <v>938</v>
      </c>
      <c r="F266" s="7" t="n">
        <v>2018</v>
      </c>
      <c r="G266" s="7" t="s">
        <v>249</v>
      </c>
      <c r="H266" s="8" t="n">
        <v>1500000</v>
      </c>
      <c r="I266" s="7" t="s">
        <v>105</v>
      </c>
      <c r="J266" s="9" t="n">
        <v>2400</v>
      </c>
      <c r="K266" s="7" t="n">
        <v>175</v>
      </c>
      <c r="L266" s="7" t="s">
        <v>78</v>
      </c>
      <c r="M266" s="7" t="s">
        <v>79</v>
      </c>
      <c r="N266" s="7" t="n">
        <v>9.5</v>
      </c>
      <c r="O266" s="7" t="n">
        <v>5</v>
      </c>
      <c r="P266" s="7" t="s">
        <v>81</v>
      </c>
      <c r="Q266" s="7" t="s">
        <v>81</v>
      </c>
      <c r="R266" s="7" t="s">
        <v>81</v>
      </c>
      <c r="S266" s="7" t="s">
        <v>81</v>
      </c>
      <c r="T266" s="7" t="s">
        <v>81</v>
      </c>
      <c r="U266" s="7" t="s">
        <v>148</v>
      </c>
      <c r="V266" s="7" t="s">
        <v>266</v>
      </c>
      <c r="W266" s="6" t="str">
        <f aca="false">IF(COUNTA(B266:V266)=0,"",IF(OR(B266="",C266="",D266="",F266="",G266="",H266="",I266="",L266="",M266=""),"ناقص",IF(AND(ISNUMBER(F266),ISNUMBER(H266)),"OK","السنة/السعر لازم أرقام")))</f>
        <v>OK</v>
      </c>
      <c r="X266" s="6" t="str">
        <f aca="false">IF(B266="","",B266&amp;" "&amp;C266&amp;" "&amp;D266&amp;" "&amp;E266&amp;" "&amp;F266&amp;" "&amp;G266&amp;" "&amp;I266&amp;" "&amp;L266&amp;" "&amp;M266&amp;" سعر "&amp;H266&amp;" جنيه "&amp;U266)</f>
        <v>Jeep جيب Compass MP جيب كومباس MP 2018 مستعمل كروس أوفر أوتوماتيك بنزين سعر 1500000 جنيه تكييف، زجاج كهربائي، قفل مركزي، ABS، مرايات كهربائية، حساسات ركن خلفية، جنوط ألومنيوم، تحكم في الثبات ESP</v>
      </c>
    </row>
    <row r="267" customFormat="false" ht="35.05" hidden="false" customHeight="false" outlineLevel="0" collapsed="false">
      <c r="A267" s="6" t="s">
        <v>939</v>
      </c>
      <c r="B267" s="7" t="s">
        <v>930</v>
      </c>
      <c r="C267" s="6" t="str">
        <f aca="false">IF(B267="","",IFERROR(INDEX(Lists!$K$2:$K$60,MATCH(B267,Lists!$J$2:$J$60,0)),""))</f>
        <v>جيب</v>
      </c>
      <c r="D267" s="7" t="s">
        <v>940</v>
      </c>
      <c r="E267" s="7" t="s">
        <v>941</v>
      </c>
      <c r="F267" s="7" t="n">
        <v>2017</v>
      </c>
      <c r="G267" s="7" t="s">
        <v>249</v>
      </c>
      <c r="H267" s="8" t="n">
        <v>1100000</v>
      </c>
      <c r="I267" s="7" t="s">
        <v>105</v>
      </c>
      <c r="J267" s="9" t="n">
        <v>1400</v>
      </c>
      <c r="K267" s="7" t="n">
        <v>140</v>
      </c>
      <c r="L267" s="7" t="s">
        <v>78</v>
      </c>
      <c r="M267" s="7" t="s">
        <v>79</v>
      </c>
      <c r="N267" s="7" t="n">
        <v>7.5</v>
      </c>
      <c r="O267" s="7" t="n">
        <v>5</v>
      </c>
      <c r="P267" s="7" t="s">
        <v>81</v>
      </c>
      <c r="Q267" s="7" t="s">
        <v>81</v>
      </c>
      <c r="R267" s="7" t="s">
        <v>81</v>
      </c>
      <c r="S267" s="7" t="s">
        <v>81</v>
      </c>
      <c r="T267" s="7" t="s">
        <v>81</v>
      </c>
      <c r="U267" s="7" t="s">
        <v>148</v>
      </c>
      <c r="V267" s="7" t="s">
        <v>266</v>
      </c>
      <c r="W267" s="6" t="str">
        <f aca="false">IF(COUNTA(B267:V267)=0,"",IF(OR(B267="",C267="",D267="",F267="",G267="",H267="",I267="",L267="",M267=""),"ناقص",IF(AND(ISNUMBER(F267),ISNUMBER(H267)),"OK","السنة/السعر لازم أرقام")))</f>
        <v>OK</v>
      </c>
      <c r="X267" s="6" t="str">
        <f aca="false">IF(B267="","",B267&amp;" "&amp;C267&amp;" "&amp;D267&amp;" "&amp;E267&amp;" "&amp;F267&amp;" "&amp;G267&amp;" "&amp;I267&amp;" "&amp;L267&amp;" "&amp;M267&amp;" سعر "&amp;H267&amp;" جنيه "&amp;U267)</f>
        <v>Jeep جيب Renegade جيب رينيجيد 2017 مستعمل كروس أوفر أوتوماتيك بنزين سعر 1100000 جنيه تكييف، زجاج كهربائي، قفل مركزي، ABS، مرايات كهربائية، حساسات ركن خلفية، جنوط ألومنيوم، تحكم في الثبات ESP</v>
      </c>
    </row>
    <row r="268" customFormat="false" ht="35.05" hidden="false" customHeight="false" outlineLevel="0" collapsed="false">
      <c r="A268" s="6" t="s">
        <v>942</v>
      </c>
      <c r="B268" s="7" t="s">
        <v>223</v>
      </c>
      <c r="C268" s="6" t="str">
        <f aca="false">IF(B268="","",IFERROR(INDEX(Lists!$K$2:$K$60,MATCH(B268,Lists!$J$2:$J$60,0)),""))</f>
        <v>شيري</v>
      </c>
      <c r="D268" s="7" t="s">
        <v>943</v>
      </c>
      <c r="E268" s="7" t="s">
        <v>944</v>
      </c>
      <c r="F268" s="7" t="n">
        <v>2018</v>
      </c>
      <c r="G268" s="7" t="s">
        <v>249</v>
      </c>
      <c r="H268" s="8" t="n">
        <v>560000</v>
      </c>
      <c r="I268" s="7" t="s">
        <v>105</v>
      </c>
      <c r="J268" s="9" t="n">
        <v>1600</v>
      </c>
      <c r="K268" s="7" t="n">
        <v>126</v>
      </c>
      <c r="L268" s="7" t="s">
        <v>230</v>
      </c>
      <c r="M268" s="7" t="s">
        <v>79</v>
      </c>
      <c r="N268" s="7" t="n">
        <v>7.5</v>
      </c>
      <c r="O268" s="7" t="n">
        <v>5</v>
      </c>
      <c r="P268" s="7" t="s">
        <v>80</v>
      </c>
      <c r="Q268" s="7" t="s">
        <v>80</v>
      </c>
      <c r="R268" s="7" t="s">
        <v>81</v>
      </c>
      <c r="S268" s="7" t="s">
        <v>80</v>
      </c>
      <c r="T268" s="7" t="s">
        <v>81</v>
      </c>
      <c r="U268" s="7" t="s">
        <v>144</v>
      </c>
      <c r="V268" s="7" t="s">
        <v>266</v>
      </c>
      <c r="W268" s="6" t="str">
        <f aca="false">IF(COUNTA(B268:V268)=0,"",IF(OR(B268="",C268="",D268="",F268="",G268="",H268="",I268="",L268="",M268=""),"ناقص",IF(AND(ISNUMBER(F268),ISNUMBER(H268)),"OK","السنة/السعر لازم أرقام")))</f>
        <v>OK</v>
      </c>
      <c r="X268" s="6" t="str">
        <f aca="false">IF(B268="","",B268&amp;" "&amp;C268&amp;" "&amp;D268&amp;" "&amp;E268&amp;" "&amp;F268&amp;" "&amp;G268&amp;" "&amp;I268&amp;" "&amp;L268&amp;" "&amp;M268&amp;" سعر "&amp;H268&amp;" جنيه "&amp;U268)</f>
        <v>Chery شيري Tiggo 3 شيري تيجو 3 2018 مستعمل كروس أوفر CVT بنزين سعر 560000 جنيه تكييف، زجاج كهربائي، قفل مركزي، ABS، مرايات كهربائية، حساسات ركن خلفية</v>
      </c>
    </row>
    <row r="269" customFormat="false" ht="35.05" hidden="false" customHeight="false" outlineLevel="0" collapsed="false">
      <c r="A269" s="6" t="s">
        <v>945</v>
      </c>
      <c r="B269" s="7" t="s">
        <v>223</v>
      </c>
      <c r="C269" s="6" t="str">
        <f aca="false">IF(B269="","",IFERROR(INDEX(Lists!$K$2:$K$60,MATCH(B269,Lists!$J$2:$J$60,0)),""))</f>
        <v>شيري</v>
      </c>
      <c r="D269" s="7" t="s">
        <v>946</v>
      </c>
      <c r="E269" s="7" t="s">
        <v>947</v>
      </c>
      <c r="F269" s="7" t="n">
        <v>2016</v>
      </c>
      <c r="G269" s="7" t="s">
        <v>249</v>
      </c>
      <c r="H269" s="8" t="n">
        <v>600000</v>
      </c>
      <c r="I269" s="7" t="s">
        <v>113</v>
      </c>
      <c r="J269" s="9" t="n">
        <v>2000</v>
      </c>
      <c r="K269" s="7" t="n">
        <v>136</v>
      </c>
      <c r="L269" s="7" t="s">
        <v>78</v>
      </c>
      <c r="M269" s="7" t="s">
        <v>79</v>
      </c>
      <c r="N269" s="7" t="n">
        <v>9</v>
      </c>
      <c r="O269" s="7" t="n">
        <v>5</v>
      </c>
      <c r="P269" s="7" t="s">
        <v>80</v>
      </c>
      <c r="Q269" s="7" t="s">
        <v>80</v>
      </c>
      <c r="R269" s="7" t="s">
        <v>81</v>
      </c>
      <c r="S269" s="7" t="s">
        <v>80</v>
      </c>
      <c r="T269" s="7" t="s">
        <v>81</v>
      </c>
      <c r="U269" s="7" t="s">
        <v>144</v>
      </c>
      <c r="V269" s="7" t="s">
        <v>266</v>
      </c>
      <c r="W269" s="6" t="str">
        <f aca="false">IF(COUNTA(B269:V269)=0,"",IF(OR(B269="",C269="",D269="",F269="",G269="",H269="",I269="",L269="",M269=""),"ناقص",IF(AND(ISNUMBER(F269),ISNUMBER(H269)),"OK","السنة/السعر لازم أرقام")))</f>
        <v>OK</v>
      </c>
      <c r="X269" s="6" t="str">
        <f aca="false">IF(B269="","",B269&amp;" "&amp;C269&amp;" "&amp;D269&amp;" "&amp;E269&amp;" "&amp;F269&amp;" "&amp;G269&amp;" "&amp;I269&amp;" "&amp;L269&amp;" "&amp;M269&amp;" سعر "&amp;H269&amp;" جنيه "&amp;U269)</f>
        <v>Chery شيري Tiggo 5 شيري تيجو 5 2016 مستعمل SUV أوتوماتيك بنزين سعر 600000 جنيه تكييف، زجاج كهربائي، قفل مركزي، ABS، مرايات كهربائية، حساسات ركن خلفية</v>
      </c>
    </row>
    <row r="270" customFormat="false" ht="35.05" hidden="false" customHeight="false" outlineLevel="0" collapsed="false">
      <c r="A270" s="6" t="s">
        <v>948</v>
      </c>
      <c r="B270" s="7" t="s">
        <v>223</v>
      </c>
      <c r="C270" s="6" t="str">
        <f aca="false">IF(B270="","",IFERROR(INDEX(Lists!$K$2:$K$60,MATCH(B270,Lists!$J$2:$J$60,0)),""))</f>
        <v>شيري</v>
      </c>
      <c r="D270" s="7" t="s">
        <v>949</v>
      </c>
      <c r="E270" s="7" t="s">
        <v>950</v>
      </c>
      <c r="F270" s="7" t="n">
        <v>2019</v>
      </c>
      <c r="G270" s="7" t="s">
        <v>249</v>
      </c>
      <c r="H270" s="8" t="n">
        <v>900000</v>
      </c>
      <c r="I270" s="7" t="s">
        <v>113</v>
      </c>
      <c r="J270" s="9" t="n">
        <v>1500</v>
      </c>
      <c r="K270" s="7" t="n">
        <v>147</v>
      </c>
      <c r="L270" s="7" t="s">
        <v>230</v>
      </c>
      <c r="M270" s="7" t="s">
        <v>79</v>
      </c>
      <c r="N270" s="7" t="n">
        <v>8</v>
      </c>
      <c r="O270" s="7" t="n">
        <v>5</v>
      </c>
      <c r="P270" s="7" t="s">
        <v>81</v>
      </c>
      <c r="Q270" s="7" t="s">
        <v>81</v>
      </c>
      <c r="R270" s="7" t="s">
        <v>81</v>
      </c>
      <c r="S270" s="7" t="s">
        <v>81</v>
      </c>
      <c r="T270" s="7" t="s">
        <v>81</v>
      </c>
      <c r="U270" s="7" t="s">
        <v>148</v>
      </c>
      <c r="V270" s="7" t="s">
        <v>266</v>
      </c>
      <c r="W270" s="6" t="str">
        <f aca="false">IF(COUNTA(B270:V270)=0,"",IF(OR(B270="",C270="",D270="",F270="",G270="",H270="",I270="",L270="",M270=""),"ناقص",IF(AND(ISNUMBER(F270),ISNUMBER(H270)),"OK","السنة/السعر لازم أرقام")))</f>
        <v>OK</v>
      </c>
      <c r="X270" s="6" t="str">
        <f aca="false">IF(B270="","",B270&amp;" "&amp;C270&amp;" "&amp;D270&amp;" "&amp;E270&amp;" "&amp;F270&amp;" "&amp;G270&amp;" "&amp;I270&amp;" "&amp;L270&amp;" "&amp;M270&amp;" سعر "&amp;H270&amp;" جنيه "&amp;U270)</f>
        <v>Chery شيري Tiggo 7 شيري تيجو 7 2019 مستعمل SUV CVT بنزين سعر 900000 جنيه تكييف، زجاج كهربائي، قفل مركزي، ABS، مرايات كهربائية، حساسات ركن خلفية، جنوط ألومنيوم، تحكم في الثبات ESP</v>
      </c>
    </row>
    <row r="271" customFormat="false" ht="35.05" hidden="false" customHeight="false" outlineLevel="0" collapsed="false">
      <c r="A271" s="6" t="s">
        <v>951</v>
      </c>
      <c r="B271" s="7" t="s">
        <v>223</v>
      </c>
      <c r="C271" s="6" t="str">
        <f aca="false">IF(B271="","",IFERROR(INDEX(Lists!$K$2:$K$60,MATCH(B271,Lists!$J$2:$J$60,0)),""))</f>
        <v>شيري</v>
      </c>
      <c r="D271" s="7" t="s">
        <v>952</v>
      </c>
      <c r="E271" s="7" t="s">
        <v>953</v>
      </c>
      <c r="F271" s="7" t="n">
        <v>2023</v>
      </c>
      <c r="G271" s="7" t="s">
        <v>249</v>
      </c>
      <c r="H271" s="8" t="n">
        <v>950000</v>
      </c>
      <c r="I271" s="7" t="s">
        <v>105</v>
      </c>
      <c r="J271" s="9" t="n">
        <v>1500</v>
      </c>
      <c r="K271" s="7" t="n">
        <v>113</v>
      </c>
      <c r="L271" s="7" t="s">
        <v>230</v>
      </c>
      <c r="M271" s="7" t="s">
        <v>79</v>
      </c>
      <c r="N271" s="7" t="n">
        <v>7</v>
      </c>
      <c r="O271" s="7" t="n">
        <v>5</v>
      </c>
      <c r="P271" s="7" t="s">
        <v>81</v>
      </c>
      <c r="Q271" s="7" t="s">
        <v>81</v>
      </c>
      <c r="R271" s="7" t="s">
        <v>81</v>
      </c>
      <c r="S271" s="7" t="s">
        <v>81</v>
      </c>
      <c r="T271" s="7" t="s">
        <v>81</v>
      </c>
      <c r="U271" s="7" t="s">
        <v>148</v>
      </c>
      <c r="V271" s="7" t="s">
        <v>266</v>
      </c>
      <c r="W271" s="6" t="str">
        <f aca="false">IF(COUNTA(B271:V271)=0,"",IF(OR(B271="",C271="",D271="",F271="",G271="",H271="",I271="",L271="",M271=""),"ناقص",IF(AND(ISNUMBER(F271),ISNUMBER(H271)),"OK","السنة/السعر لازم أرقام")))</f>
        <v>OK</v>
      </c>
      <c r="X271" s="6" t="str">
        <f aca="false">IF(B271="","",B271&amp;" "&amp;C271&amp;" "&amp;D271&amp;" "&amp;E271&amp;" "&amp;F271&amp;" "&amp;G271&amp;" "&amp;I271&amp;" "&amp;L271&amp;" "&amp;M271&amp;" سعر "&amp;H271&amp;" جنيه "&amp;U271)</f>
        <v>Chery شيري Tiggo 4 Pro شيري تيجو 4 برو 2023 مستعمل كروس أوفر CVT بنزين سعر 950000 جنيه تكييف، زجاج كهربائي، قفل مركزي، ABS، مرايات كهربائية، حساسات ركن خلفية، جنوط ألومنيوم، تحكم في الثبات ESP</v>
      </c>
    </row>
    <row r="272" customFormat="false" ht="35.05" hidden="false" customHeight="false" outlineLevel="0" collapsed="false">
      <c r="A272" s="6" t="s">
        <v>954</v>
      </c>
      <c r="B272" s="7" t="s">
        <v>223</v>
      </c>
      <c r="C272" s="6" t="str">
        <f aca="false">IF(B272="","",IFERROR(INDEX(Lists!$K$2:$K$60,MATCH(B272,Lists!$J$2:$J$60,0)),""))</f>
        <v>شيري</v>
      </c>
      <c r="D272" s="7" t="s">
        <v>955</v>
      </c>
      <c r="E272" s="7" t="s">
        <v>956</v>
      </c>
      <c r="F272" s="7" t="n">
        <v>2017</v>
      </c>
      <c r="G272" s="7" t="s">
        <v>249</v>
      </c>
      <c r="H272" s="8" t="n">
        <v>350000</v>
      </c>
      <c r="I272" s="7" t="s">
        <v>77</v>
      </c>
      <c r="J272" s="9" t="n">
        <v>1500</v>
      </c>
      <c r="K272" s="7" t="n">
        <v>105</v>
      </c>
      <c r="L272" s="7" t="s">
        <v>250</v>
      </c>
      <c r="M272" s="7" t="s">
        <v>79</v>
      </c>
      <c r="N272" s="7" t="n">
        <v>7</v>
      </c>
      <c r="O272" s="7" t="n">
        <v>5</v>
      </c>
      <c r="P272" s="7" t="s">
        <v>80</v>
      </c>
      <c r="Q272" s="7" t="s">
        <v>80</v>
      </c>
      <c r="R272" s="7" t="s">
        <v>80</v>
      </c>
      <c r="S272" s="7" t="s">
        <v>80</v>
      </c>
      <c r="T272" s="7" t="s">
        <v>81</v>
      </c>
      <c r="U272" s="7" t="s">
        <v>256</v>
      </c>
      <c r="V272" s="7" t="s">
        <v>266</v>
      </c>
      <c r="W272" s="6" t="str">
        <f aca="false">IF(COUNTA(B272:V272)=0,"",IF(OR(B272="",C272="",D272="",F272="",G272="",H272="",I272="",L272="",M272=""),"ناقص",IF(AND(ISNUMBER(F272),ISNUMBER(H272)),"OK","السنة/السعر لازم أرقام")))</f>
        <v>OK</v>
      </c>
      <c r="X272" s="6" t="str">
        <f aca="false">IF(B272="","",B272&amp;" "&amp;C272&amp;" "&amp;D272&amp;" "&amp;E272&amp;" "&amp;F272&amp;" "&amp;G272&amp;" "&amp;I272&amp;" "&amp;L272&amp;" "&amp;M272&amp;" سعر "&amp;H272&amp;" جنيه "&amp;U272)</f>
        <v>Chery شيري Arrizo 3 شيري أريزو 3 2017 مستعمل سيدان مانيوال بنزين سعر 350000 جنيه تكييف، زجاج كهربائي، قفل مركزي، ABS</v>
      </c>
    </row>
    <row r="273" customFormat="false" ht="35.05" hidden="false" customHeight="false" outlineLevel="0" collapsed="false">
      <c r="A273" s="6" t="s">
        <v>957</v>
      </c>
      <c r="B273" s="7" t="s">
        <v>223</v>
      </c>
      <c r="C273" s="6" t="str">
        <f aca="false">IF(B273="","",IFERROR(INDEX(Lists!$K$2:$K$60,MATCH(B273,Lists!$J$2:$J$60,0)),""))</f>
        <v>شيري</v>
      </c>
      <c r="D273" s="7" t="s">
        <v>958</v>
      </c>
      <c r="E273" s="7" t="s">
        <v>959</v>
      </c>
      <c r="F273" s="7" t="n">
        <v>2020</v>
      </c>
      <c r="G273" s="7" t="s">
        <v>249</v>
      </c>
      <c r="H273" s="8" t="n">
        <v>600000</v>
      </c>
      <c r="I273" s="7" t="s">
        <v>77</v>
      </c>
      <c r="J273" s="9" t="n">
        <v>1500</v>
      </c>
      <c r="K273" s="7" t="n">
        <v>113</v>
      </c>
      <c r="L273" s="7" t="s">
        <v>230</v>
      </c>
      <c r="M273" s="7" t="s">
        <v>79</v>
      </c>
      <c r="N273" s="7" t="n">
        <v>6.8</v>
      </c>
      <c r="O273" s="7" t="n">
        <v>5</v>
      </c>
      <c r="P273" s="7" t="s">
        <v>80</v>
      </c>
      <c r="Q273" s="7" t="s">
        <v>81</v>
      </c>
      <c r="R273" s="7" t="s">
        <v>81</v>
      </c>
      <c r="S273" s="7" t="s">
        <v>80</v>
      </c>
      <c r="T273" s="7" t="s">
        <v>81</v>
      </c>
      <c r="U273" s="7" t="s">
        <v>144</v>
      </c>
      <c r="V273" s="7" t="s">
        <v>266</v>
      </c>
      <c r="W273" s="6" t="str">
        <f aca="false">IF(COUNTA(B273:V273)=0,"",IF(OR(B273="",C273="",D273="",F273="",G273="",H273="",I273="",L273="",M273=""),"ناقص",IF(AND(ISNUMBER(F273),ISNUMBER(H273)),"OK","السنة/السعر لازم أرقام")))</f>
        <v>OK</v>
      </c>
      <c r="X273" s="6" t="str">
        <f aca="false">IF(B273="","",B273&amp;" "&amp;C273&amp;" "&amp;D273&amp;" "&amp;E273&amp;" "&amp;F273&amp;" "&amp;G273&amp;" "&amp;I273&amp;" "&amp;L273&amp;" "&amp;M273&amp;" سعر "&amp;H273&amp;" جنيه "&amp;U273)</f>
        <v>Chery شيري Arrizo 6 شيري أريزو 6 2020 مستعمل سيدان CVT بنزين سعر 600000 جنيه تكييف، زجاج كهربائي، قفل مركزي، ABS، مرايات كهربائية، حساسات ركن خلفية</v>
      </c>
    </row>
    <row r="274" customFormat="false" ht="35.05" hidden="false" customHeight="false" outlineLevel="0" collapsed="false">
      <c r="A274" s="6" t="s">
        <v>960</v>
      </c>
      <c r="B274" s="7" t="s">
        <v>223</v>
      </c>
      <c r="C274" s="6" t="str">
        <f aca="false">IF(B274="","",IFERROR(INDEX(Lists!$K$2:$K$60,MATCH(B274,Lists!$J$2:$J$60,0)),""))</f>
        <v>شيري</v>
      </c>
      <c r="D274" s="7" t="s">
        <v>961</v>
      </c>
      <c r="E274" s="7" t="s">
        <v>962</v>
      </c>
      <c r="F274" s="7" t="n">
        <v>2012</v>
      </c>
      <c r="G274" s="7" t="s">
        <v>249</v>
      </c>
      <c r="H274" s="8" t="n">
        <v>180000</v>
      </c>
      <c r="I274" s="7" t="s">
        <v>270</v>
      </c>
      <c r="J274" s="9" t="n">
        <v>1100</v>
      </c>
      <c r="K274" s="7" t="n">
        <v>68</v>
      </c>
      <c r="L274" s="7" t="s">
        <v>250</v>
      </c>
      <c r="M274" s="7" t="s">
        <v>79</v>
      </c>
      <c r="N274" s="7" t="n">
        <v>6</v>
      </c>
      <c r="O274" s="7" t="n">
        <v>4</v>
      </c>
      <c r="P274" s="7" t="s">
        <v>80</v>
      </c>
      <c r="Q274" s="7" t="s">
        <v>80</v>
      </c>
      <c r="R274" s="7" t="s">
        <v>80</v>
      </c>
      <c r="S274" s="7" t="s">
        <v>80</v>
      </c>
      <c r="T274" s="7" t="s">
        <v>80</v>
      </c>
      <c r="U274" s="7" t="s">
        <v>256</v>
      </c>
      <c r="V274" s="7" t="s">
        <v>266</v>
      </c>
      <c r="W274" s="6" t="str">
        <f aca="false">IF(COUNTA(B274:V274)=0,"",IF(OR(B274="",C274="",D274="",F274="",G274="",H274="",I274="",L274="",M274=""),"ناقص",IF(AND(ISNUMBER(F274),ISNUMBER(H274)),"OK","السنة/السعر لازم أرقام")))</f>
        <v>OK</v>
      </c>
      <c r="X274" s="6" t="str">
        <f aca="false">IF(B274="","",B274&amp;" "&amp;C274&amp;" "&amp;D274&amp;" "&amp;E274&amp;" "&amp;F274&amp;" "&amp;G274&amp;" "&amp;I274&amp;" "&amp;L274&amp;" "&amp;M274&amp;" سعر "&amp;H274&amp;" جنيه "&amp;U274)</f>
        <v>Chery شيري QQ شيري كيو كيو 2012 مستعمل هاتشباك مانيوال بنزين سعر 180000 جنيه تكييف، زجاج كهربائي، قفل مركزي، ABS</v>
      </c>
    </row>
    <row r="275" customFormat="false" ht="35.05" hidden="false" customHeight="false" outlineLevel="0" collapsed="false">
      <c r="A275" s="6" t="s">
        <v>963</v>
      </c>
      <c r="B275" s="7" t="s">
        <v>141</v>
      </c>
      <c r="C275" s="6" t="str">
        <f aca="false">IF(B275="","",IFERROR(INDEX(Lists!$K$2:$K$60,MATCH(B275,Lists!$J$2:$J$60,0)),""))</f>
        <v>إم جي</v>
      </c>
      <c r="D275" s="7" t="s">
        <v>964</v>
      </c>
      <c r="E275" s="7" t="s">
        <v>965</v>
      </c>
      <c r="F275" s="7" t="n">
        <v>2018</v>
      </c>
      <c r="G275" s="7" t="s">
        <v>249</v>
      </c>
      <c r="H275" s="8" t="n">
        <v>520000</v>
      </c>
      <c r="I275" s="7" t="s">
        <v>270</v>
      </c>
      <c r="J275" s="9" t="n">
        <v>1500</v>
      </c>
      <c r="K275" s="7" t="n">
        <v>106</v>
      </c>
      <c r="L275" s="7" t="s">
        <v>78</v>
      </c>
      <c r="M275" s="7" t="s">
        <v>79</v>
      </c>
      <c r="N275" s="7" t="n">
        <v>7</v>
      </c>
      <c r="O275" s="7" t="n">
        <v>5</v>
      </c>
      <c r="P275" s="7" t="s">
        <v>80</v>
      </c>
      <c r="Q275" s="7" t="s">
        <v>80</v>
      </c>
      <c r="R275" s="7" t="s">
        <v>81</v>
      </c>
      <c r="S275" s="7" t="s">
        <v>80</v>
      </c>
      <c r="T275" s="7" t="s">
        <v>81</v>
      </c>
      <c r="U275" s="7" t="s">
        <v>144</v>
      </c>
      <c r="V275" s="7" t="s">
        <v>266</v>
      </c>
      <c r="W275" s="6" t="str">
        <f aca="false">IF(COUNTA(B275:V275)=0,"",IF(OR(B275="",C275="",D275="",F275="",G275="",H275="",I275="",L275="",M275=""),"ناقص",IF(AND(ISNUMBER(F275),ISNUMBER(H275)),"OK","السنة/السعر لازم أرقام")))</f>
        <v>OK</v>
      </c>
      <c r="X275" s="6" t="str">
        <f aca="false">IF(B275="","",B275&amp;" "&amp;C275&amp;" "&amp;D275&amp;" "&amp;E275&amp;" "&amp;F275&amp;" "&amp;G275&amp;" "&amp;I275&amp;" "&amp;L275&amp;" "&amp;M275&amp;" سعر "&amp;H275&amp;" جنيه "&amp;U275)</f>
        <v>MG إم جي MG3 إم جي 3 2018 مستعمل هاتشباك أوتوماتيك بنزين سعر 520000 جنيه تكييف، زجاج كهربائي، قفل مركزي، ABS، مرايات كهربائية، حساسات ركن خلفية</v>
      </c>
    </row>
    <row r="276" customFormat="false" ht="35.05" hidden="false" customHeight="false" outlineLevel="0" collapsed="false">
      <c r="A276" s="6" t="s">
        <v>966</v>
      </c>
      <c r="B276" s="7" t="s">
        <v>141</v>
      </c>
      <c r="C276" s="6" t="str">
        <f aca="false">IF(B276="","",IFERROR(INDEX(Lists!$K$2:$K$60,MATCH(B276,Lists!$J$2:$J$60,0)),""))</f>
        <v>إم جي</v>
      </c>
      <c r="D276" s="7" t="s">
        <v>967</v>
      </c>
      <c r="E276" s="7" t="s">
        <v>968</v>
      </c>
      <c r="F276" s="7" t="n">
        <v>2019</v>
      </c>
      <c r="G276" s="7" t="s">
        <v>249</v>
      </c>
      <c r="H276" s="8" t="n">
        <v>620000</v>
      </c>
      <c r="I276" s="7" t="s">
        <v>77</v>
      </c>
      <c r="J276" s="9" t="n">
        <v>1500</v>
      </c>
      <c r="K276" s="7" t="n">
        <v>114</v>
      </c>
      <c r="L276" s="7" t="s">
        <v>78</v>
      </c>
      <c r="M276" s="7" t="s">
        <v>79</v>
      </c>
      <c r="N276" s="7" t="n">
        <v>7</v>
      </c>
      <c r="O276" s="7" t="n">
        <v>5</v>
      </c>
      <c r="P276" s="7" t="s">
        <v>80</v>
      </c>
      <c r="Q276" s="7" t="s">
        <v>81</v>
      </c>
      <c r="R276" s="7" t="s">
        <v>81</v>
      </c>
      <c r="S276" s="7" t="s">
        <v>80</v>
      </c>
      <c r="T276" s="7" t="s">
        <v>81</v>
      </c>
      <c r="U276" s="7" t="s">
        <v>144</v>
      </c>
      <c r="V276" s="7" t="s">
        <v>266</v>
      </c>
      <c r="W276" s="6" t="str">
        <f aca="false">IF(COUNTA(B276:V276)=0,"",IF(OR(B276="",C276="",D276="",F276="",G276="",H276="",I276="",L276="",M276=""),"ناقص",IF(AND(ISNUMBER(F276),ISNUMBER(H276)),"OK","السنة/السعر لازم أرقام")))</f>
        <v>OK</v>
      </c>
      <c r="X276" s="6" t="str">
        <f aca="false">IF(B276="","",B276&amp;" "&amp;C276&amp;" "&amp;D276&amp;" "&amp;E276&amp;" "&amp;F276&amp;" "&amp;G276&amp;" "&amp;I276&amp;" "&amp;L276&amp;" "&amp;M276&amp;" سعر "&amp;H276&amp;" جنيه "&amp;U276)</f>
        <v>MG إم جي 5 Gen1 إم جي 5 (الجيل الأول) 2019 مستعمل سيدان أوتوماتيك بنزين سعر 620000 جنيه تكييف، زجاج كهربائي، قفل مركزي، ABS، مرايات كهربائية، حساسات ركن خلفية</v>
      </c>
    </row>
    <row r="277" customFormat="false" ht="35.05" hidden="false" customHeight="false" outlineLevel="0" collapsed="false">
      <c r="A277" s="6" t="s">
        <v>969</v>
      </c>
      <c r="B277" s="7" t="s">
        <v>141</v>
      </c>
      <c r="C277" s="6" t="str">
        <f aca="false">IF(B277="","",IFERROR(INDEX(Lists!$K$2:$K$60,MATCH(B277,Lists!$J$2:$J$60,0)),""))</f>
        <v>إم جي</v>
      </c>
      <c r="D277" s="7" t="s">
        <v>970</v>
      </c>
      <c r="E277" s="7" t="s">
        <v>971</v>
      </c>
      <c r="F277" s="7" t="n">
        <v>2019</v>
      </c>
      <c r="G277" s="7" t="s">
        <v>249</v>
      </c>
      <c r="H277" s="8" t="n">
        <v>750000</v>
      </c>
      <c r="I277" s="7" t="s">
        <v>77</v>
      </c>
      <c r="J277" s="9" t="n">
        <v>1500</v>
      </c>
      <c r="K277" s="7" t="n">
        <v>166</v>
      </c>
      <c r="L277" s="7" t="s">
        <v>135</v>
      </c>
      <c r="M277" s="7" t="s">
        <v>79</v>
      </c>
      <c r="N277" s="7" t="n">
        <v>7.5</v>
      </c>
      <c r="O277" s="7" t="n">
        <v>5</v>
      </c>
      <c r="P277" s="7" t="s">
        <v>81</v>
      </c>
      <c r="Q277" s="7" t="s">
        <v>81</v>
      </c>
      <c r="R277" s="7" t="s">
        <v>81</v>
      </c>
      <c r="S277" s="7" t="s">
        <v>81</v>
      </c>
      <c r="T277" s="7" t="s">
        <v>81</v>
      </c>
      <c r="U277" s="7" t="s">
        <v>148</v>
      </c>
      <c r="V277" s="7" t="s">
        <v>266</v>
      </c>
      <c r="W277" s="6" t="str">
        <f aca="false">IF(COUNTA(B277:V277)=0,"",IF(OR(B277="",C277="",D277="",F277="",G277="",H277="",I277="",L277="",M277=""),"ناقص",IF(AND(ISNUMBER(F277),ISNUMBER(H277)),"OK","السنة/السعر لازم أرقام")))</f>
        <v>OK</v>
      </c>
      <c r="X277" s="6" t="str">
        <f aca="false">IF(B277="","",B277&amp;" "&amp;C277&amp;" "&amp;D277&amp;" "&amp;E277&amp;" "&amp;F277&amp;" "&amp;G277&amp;" "&amp;I277&amp;" "&amp;L277&amp;" "&amp;M277&amp;" سعر "&amp;H277&amp;" جنيه "&amp;U277)</f>
        <v>MG إم جي MG6 إم جي 6 2019 مستعمل سيدان DCT بنزين سعر 750000 جنيه تكييف، زجاج كهربائي، قفل مركزي، ABS، مرايات كهربائية، حساسات ركن خلفية، جنوط ألومنيوم، تحكم في الثبات ESP</v>
      </c>
    </row>
    <row r="278" customFormat="false" ht="35.05" hidden="false" customHeight="false" outlineLevel="0" collapsed="false">
      <c r="A278" s="6" t="s">
        <v>972</v>
      </c>
      <c r="B278" s="7" t="s">
        <v>141</v>
      </c>
      <c r="C278" s="6" t="str">
        <f aca="false">IF(B278="","",IFERROR(INDEX(Lists!$K$2:$K$60,MATCH(B278,Lists!$J$2:$J$60,0)),""))</f>
        <v>إم جي</v>
      </c>
      <c r="D278" s="7" t="s">
        <v>973</v>
      </c>
      <c r="E278" s="7" t="s">
        <v>974</v>
      </c>
      <c r="F278" s="7" t="n">
        <v>2020</v>
      </c>
      <c r="G278" s="7" t="s">
        <v>249</v>
      </c>
      <c r="H278" s="8" t="n">
        <v>780000</v>
      </c>
      <c r="I278" s="7" t="s">
        <v>105</v>
      </c>
      <c r="J278" s="9" t="n">
        <v>1500</v>
      </c>
      <c r="K278" s="7" t="n">
        <v>114</v>
      </c>
      <c r="L278" s="7" t="s">
        <v>78</v>
      </c>
      <c r="M278" s="7" t="s">
        <v>79</v>
      </c>
      <c r="N278" s="7" t="n">
        <v>7.5</v>
      </c>
      <c r="O278" s="7" t="n">
        <v>5</v>
      </c>
      <c r="P278" s="7" t="s">
        <v>80</v>
      </c>
      <c r="Q278" s="7" t="s">
        <v>81</v>
      </c>
      <c r="R278" s="7" t="s">
        <v>81</v>
      </c>
      <c r="S278" s="7" t="s">
        <v>80</v>
      </c>
      <c r="T278" s="7" t="s">
        <v>81</v>
      </c>
      <c r="U278" s="7" t="s">
        <v>144</v>
      </c>
      <c r="V278" s="7" t="s">
        <v>266</v>
      </c>
      <c r="W278" s="6" t="str">
        <f aca="false">IF(COUNTA(B278:V278)=0,"",IF(OR(B278="",C278="",D278="",F278="",G278="",H278="",I278="",L278="",M278=""),"ناقص",IF(AND(ISNUMBER(F278),ISNUMBER(H278)),"OK","السنة/السعر لازم أرقام")))</f>
        <v>OK</v>
      </c>
      <c r="X278" s="6" t="str">
        <f aca="false">IF(B278="","",B278&amp;" "&amp;C278&amp;" "&amp;D278&amp;" "&amp;E278&amp;" "&amp;F278&amp;" "&amp;G278&amp;" "&amp;I278&amp;" "&amp;L278&amp;" "&amp;M278&amp;" سعر "&amp;H278&amp;" جنيه "&amp;U278)</f>
        <v>MG إم جي ZS إم جي زد إس 2020 مستعمل كروس أوفر أوتوماتيك بنزين سعر 780000 جنيه تكييف، زجاج كهربائي، قفل مركزي، ABS، مرايات كهربائية، حساسات ركن خلفية</v>
      </c>
    </row>
    <row r="279" customFormat="false" ht="35.05" hidden="false" customHeight="false" outlineLevel="0" collapsed="false">
      <c r="A279" s="6" t="s">
        <v>975</v>
      </c>
      <c r="B279" s="7" t="s">
        <v>141</v>
      </c>
      <c r="C279" s="6" t="str">
        <f aca="false">IF(B279="","",IFERROR(INDEX(Lists!$K$2:$K$60,MATCH(B279,Lists!$J$2:$J$60,0)),""))</f>
        <v>إم جي</v>
      </c>
      <c r="D279" s="7" t="s">
        <v>976</v>
      </c>
      <c r="E279" s="7" t="s">
        <v>977</v>
      </c>
      <c r="F279" s="7" t="n">
        <v>2020</v>
      </c>
      <c r="G279" s="7" t="s">
        <v>249</v>
      </c>
      <c r="H279" s="8" t="n">
        <v>1100000</v>
      </c>
      <c r="I279" s="7" t="s">
        <v>113</v>
      </c>
      <c r="J279" s="9" t="n">
        <v>1500</v>
      </c>
      <c r="K279" s="7" t="n">
        <v>162</v>
      </c>
      <c r="L279" s="7" t="s">
        <v>135</v>
      </c>
      <c r="M279" s="7" t="s">
        <v>79</v>
      </c>
      <c r="N279" s="7" t="n">
        <v>8</v>
      </c>
      <c r="O279" s="7" t="n">
        <v>5</v>
      </c>
      <c r="P279" s="7" t="s">
        <v>81</v>
      </c>
      <c r="Q279" s="7" t="s">
        <v>81</v>
      </c>
      <c r="R279" s="7" t="s">
        <v>81</v>
      </c>
      <c r="S279" s="7" t="s">
        <v>81</v>
      </c>
      <c r="T279" s="7" t="s">
        <v>81</v>
      </c>
      <c r="U279" s="7" t="s">
        <v>148</v>
      </c>
      <c r="V279" s="7" t="s">
        <v>266</v>
      </c>
      <c r="W279" s="6" t="str">
        <f aca="false">IF(COUNTA(B279:V279)=0,"",IF(OR(B279="",C279="",D279="",F279="",G279="",H279="",I279="",L279="",M279=""),"ناقص",IF(AND(ISNUMBER(F279),ISNUMBER(H279)),"OK","السنة/السعر لازم أرقام")))</f>
        <v>OK</v>
      </c>
      <c r="X279" s="6" t="str">
        <f aca="false">IF(B279="","",B279&amp;" "&amp;C279&amp;" "&amp;D279&amp;" "&amp;E279&amp;" "&amp;F279&amp;" "&amp;G279&amp;" "&amp;I279&amp;" "&amp;L279&amp;" "&amp;M279&amp;" سعر "&amp;H279&amp;" جنيه "&amp;U279)</f>
        <v>MG إم جي HS 2020 إم جي HS 2020 2020 مستعمل SUV DCT بنزين سعر 1100000 جنيه تكييف، زجاج كهربائي، قفل مركزي، ABS، مرايات كهربائية، حساسات ركن خلفية، جنوط ألومنيوم، تحكم في الثبات ESP</v>
      </c>
    </row>
    <row r="280" customFormat="false" ht="35.05" hidden="false" customHeight="false" outlineLevel="0" collapsed="false">
      <c r="A280" s="6" t="s">
        <v>978</v>
      </c>
      <c r="B280" s="7" t="s">
        <v>141</v>
      </c>
      <c r="C280" s="6" t="str">
        <f aca="false">IF(B280="","",IFERROR(INDEX(Lists!$K$2:$K$60,MATCH(B280,Lists!$J$2:$J$60,0)),""))</f>
        <v>إم جي</v>
      </c>
      <c r="D280" s="7" t="s">
        <v>979</v>
      </c>
      <c r="E280" s="7" t="s">
        <v>980</v>
      </c>
      <c r="F280" s="7" t="n">
        <v>2019</v>
      </c>
      <c r="G280" s="7" t="s">
        <v>249</v>
      </c>
      <c r="H280" s="8" t="n">
        <v>950000</v>
      </c>
      <c r="I280" s="7" t="s">
        <v>113</v>
      </c>
      <c r="J280" s="9" t="n">
        <v>1500</v>
      </c>
      <c r="K280" s="7" t="n">
        <v>169</v>
      </c>
      <c r="L280" s="7" t="s">
        <v>135</v>
      </c>
      <c r="M280" s="7" t="s">
        <v>79</v>
      </c>
      <c r="N280" s="7" t="n">
        <v>8.5</v>
      </c>
      <c r="O280" s="7" t="n">
        <v>5</v>
      </c>
      <c r="P280" s="7" t="s">
        <v>81</v>
      </c>
      <c r="Q280" s="7" t="s">
        <v>81</v>
      </c>
      <c r="R280" s="7" t="s">
        <v>81</v>
      </c>
      <c r="S280" s="7" t="s">
        <v>81</v>
      </c>
      <c r="T280" s="7" t="s">
        <v>81</v>
      </c>
      <c r="U280" s="7" t="s">
        <v>148</v>
      </c>
      <c r="V280" s="7" t="s">
        <v>266</v>
      </c>
      <c r="W280" s="6" t="str">
        <f aca="false">IF(COUNTA(B280:V280)=0,"",IF(OR(B280="",C280="",D280="",F280="",G280="",H280="",I280="",L280="",M280=""),"ناقص",IF(AND(ISNUMBER(F280),ISNUMBER(H280)),"OK","السنة/السعر لازم أرقام")))</f>
        <v>OK</v>
      </c>
      <c r="X280" s="6" t="str">
        <f aca="false">IF(B280="","",B280&amp;" "&amp;C280&amp;" "&amp;D280&amp;" "&amp;E280&amp;" "&amp;F280&amp;" "&amp;G280&amp;" "&amp;I280&amp;" "&amp;L280&amp;" "&amp;M280&amp;" سعر "&amp;H280&amp;" جنيه "&amp;U280)</f>
        <v>MG إم جي RX5 2019 إم جي RX5 2019 2019 مستعمل SUV DCT بنزين سعر 950000 جنيه تكييف، زجاج كهربائي، قفل مركزي، ABS، مرايات كهربائية، حساسات ركن خلفية، جنوط ألومنيوم، تحكم في الثبات ESP</v>
      </c>
    </row>
    <row r="281" customFormat="false" ht="35.05" hidden="false" customHeight="false" outlineLevel="0" collapsed="false">
      <c r="A281" s="6" t="s">
        <v>981</v>
      </c>
      <c r="B281" s="7" t="s">
        <v>141</v>
      </c>
      <c r="C281" s="6" t="str">
        <f aca="false">IF(B281="","",IFERROR(INDEX(Lists!$K$2:$K$60,MATCH(B281,Lists!$J$2:$J$60,0)),""))</f>
        <v>إم جي</v>
      </c>
      <c r="D281" s="7" t="s">
        <v>982</v>
      </c>
      <c r="E281" s="7" t="s">
        <v>983</v>
      </c>
      <c r="F281" s="7" t="n">
        <v>2013</v>
      </c>
      <c r="G281" s="7" t="s">
        <v>249</v>
      </c>
      <c r="H281" s="8" t="n">
        <v>330000</v>
      </c>
      <c r="I281" s="7" t="s">
        <v>77</v>
      </c>
      <c r="J281" s="9" t="n">
        <v>1500</v>
      </c>
      <c r="K281" s="7" t="n">
        <v>109</v>
      </c>
      <c r="L281" s="7" t="s">
        <v>78</v>
      </c>
      <c r="M281" s="7" t="s">
        <v>79</v>
      </c>
      <c r="N281" s="7" t="n">
        <v>7.5</v>
      </c>
      <c r="O281" s="7" t="n">
        <v>5</v>
      </c>
      <c r="P281" s="7" t="s">
        <v>80</v>
      </c>
      <c r="Q281" s="7" t="s">
        <v>80</v>
      </c>
      <c r="R281" s="7" t="s">
        <v>80</v>
      </c>
      <c r="S281" s="7" t="s">
        <v>80</v>
      </c>
      <c r="T281" s="7" t="s">
        <v>80</v>
      </c>
      <c r="U281" s="7" t="s">
        <v>256</v>
      </c>
      <c r="V281" s="7" t="s">
        <v>266</v>
      </c>
      <c r="W281" s="6" t="str">
        <f aca="false">IF(COUNTA(B281:V281)=0,"",IF(OR(B281="",C281="",D281="",F281="",G281="",H281="",I281="",L281="",M281=""),"ناقص",IF(AND(ISNUMBER(F281),ISNUMBER(H281)),"OK","السنة/السعر لازم أرقام")))</f>
        <v>OK</v>
      </c>
      <c r="X281" s="6" t="str">
        <f aca="false">IF(B281="","",B281&amp;" "&amp;C281&amp;" "&amp;D281&amp;" "&amp;E281&amp;" "&amp;F281&amp;" "&amp;G281&amp;" "&amp;I281&amp;" "&amp;L281&amp;" "&amp;M281&amp;" سعر "&amp;H281&amp;" جنيه "&amp;U281)</f>
        <v>MG إم جي MG350 إم جي 350 2013 مستعمل سيدان أوتوماتيك بنزين سعر 330000 جنيه تكييف، زجاج كهربائي، قفل مركزي، ABS</v>
      </c>
    </row>
    <row r="282" customFormat="false" ht="35.05" hidden="false" customHeight="false" outlineLevel="0" collapsed="false">
      <c r="A282" s="6" t="s">
        <v>984</v>
      </c>
      <c r="B282" s="7" t="s">
        <v>141</v>
      </c>
      <c r="C282" s="6" t="str">
        <f aca="false">IF(B282="","",IFERROR(INDEX(Lists!$K$2:$K$60,MATCH(B282,Lists!$J$2:$J$60,0)),""))</f>
        <v>إم جي</v>
      </c>
      <c r="D282" s="7" t="s">
        <v>985</v>
      </c>
      <c r="E282" s="7" t="s">
        <v>986</v>
      </c>
      <c r="F282" s="7" t="n">
        <v>2023</v>
      </c>
      <c r="G282" s="7" t="s">
        <v>249</v>
      </c>
      <c r="H282" s="8" t="n">
        <v>1100000</v>
      </c>
      <c r="I282" s="7" t="s">
        <v>270</v>
      </c>
      <c r="J282" s="9" t="n">
        <v>0</v>
      </c>
      <c r="K282" s="7" t="n">
        <v>170</v>
      </c>
      <c r="L282" s="7" t="s">
        <v>78</v>
      </c>
      <c r="M282" s="7" t="s">
        <v>186</v>
      </c>
      <c r="N282" s="7" t="n">
        <v>0</v>
      </c>
      <c r="O282" s="7" t="n">
        <v>5</v>
      </c>
      <c r="P282" s="7" t="s">
        <v>81</v>
      </c>
      <c r="Q282" s="7" t="s">
        <v>81</v>
      </c>
      <c r="R282" s="7" t="s">
        <v>81</v>
      </c>
      <c r="S282" s="7" t="s">
        <v>81</v>
      </c>
      <c r="T282" s="7" t="s">
        <v>81</v>
      </c>
      <c r="U282" s="7" t="s">
        <v>148</v>
      </c>
      <c r="V282" s="7" t="s">
        <v>266</v>
      </c>
      <c r="W282" s="6" t="str">
        <f aca="false">IF(COUNTA(B282:V282)=0,"",IF(OR(B282="",C282="",D282="",F282="",G282="",H282="",I282="",L282="",M282=""),"ناقص",IF(AND(ISNUMBER(F282),ISNUMBER(H282)),"OK","السنة/السعر لازم أرقام")))</f>
        <v>OK</v>
      </c>
      <c r="X282" s="6" t="str">
        <f aca="false">IF(B282="","",B282&amp;" "&amp;C282&amp;" "&amp;D282&amp;" "&amp;E282&amp;" "&amp;F282&amp;" "&amp;G282&amp;" "&amp;I282&amp;" "&amp;L282&amp;" "&amp;M282&amp;" سعر "&amp;H282&amp;" جنيه "&amp;U282)</f>
        <v>MG إم جي MG4 EV إم جي 4 كهرباء 2023 مستعمل هاتشباك أوتوماتيك كهرباء سعر 1100000 جنيه تكييف، زجاج كهربائي، قفل مركزي، ABS، مرايات كهربائية، حساسات ركن خلفية، جنوط ألومنيوم، تحكم في الثبات ESP</v>
      </c>
    </row>
    <row r="283" customFormat="false" ht="35.05" hidden="false" customHeight="false" outlineLevel="0" collapsed="false">
      <c r="A283" s="6" t="s">
        <v>987</v>
      </c>
      <c r="B283" s="7" t="s">
        <v>988</v>
      </c>
      <c r="C283" s="6" t="str">
        <f aca="false">IF(B283="","",IFERROR(INDEX(Lists!$K$2:$K$60,MATCH(B283,Lists!$J$2:$J$60,0)),""))</f>
        <v>جيلي</v>
      </c>
      <c r="D283" s="7" t="s">
        <v>989</v>
      </c>
      <c r="E283" s="7" t="s">
        <v>990</v>
      </c>
      <c r="F283" s="7" t="n">
        <v>2018</v>
      </c>
      <c r="G283" s="7" t="s">
        <v>249</v>
      </c>
      <c r="H283" s="8" t="n">
        <v>480000</v>
      </c>
      <c r="I283" s="7" t="s">
        <v>77</v>
      </c>
      <c r="J283" s="9" t="n">
        <v>1800</v>
      </c>
      <c r="K283" s="7" t="n">
        <v>127</v>
      </c>
      <c r="L283" s="7" t="s">
        <v>230</v>
      </c>
      <c r="M283" s="7" t="s">
        <v>79</v>
      </c>
      <c r="N283" s="7" t="n">
        <v>7.5</v>
      </c>
      <c r="O283" s="7" t="n">
        <v>5</v>
      </c>
      <c r="P283" s="7" t="s">
        <v>80</v>
      </c>
      <c r="Q283" s="7" t="s">
        <v>80</v>
      </c>
      <c r="R283" s="7" t="s">
        <v>81</v>
      </c>
      <c r="S283" s="7" t="s">
        <v>80</v>
      </c>
      <c r="T283" s="7" t="s">
        <v>81</v>
      </c>
      <c r="U283" s="7" t="s">
        <v>144</v>
      </c>
      <c r="V283" s="7" t="s">
        <v>266</v>
      </c>
      <c r="W283" s="6" t="str">
        <f aca="false">IF(COUNTA(B283:V283)=0,"",IF(OR(B283="",C283="",D283="",F283="",G283="",H283="",I283="",L283="",M283=""),"ناقص",IF(AND(ISNUMBER(F283),ISNUMBER(H283)),"OK","السنة/السعر لازم أرقام")))</f>
        <v>OK</v>
      </c>
      <c r="X283" s="6" t="str">
        <f aca="false">IF(B283="","",B283&amp;" "&amp;C283&amp;" "&amp;D283&amp;" "&amp;E283&amp;" "&amp;F283&amp;" "&amp;G283&amp;" "&amp;I283&amp;" "&amp;L283&amp;" "&amp;M283&amp;" سعر "&amp;H283&amp;" جنيه "&amp;U283)</f>
        <v>Geely جيلي Emgrand 7 جيلي إمجراند 7 2018 مستعمل سيدان CVT بنزين سعر 480000 جنيه تكييف، زجاج كهربائي، قفل مركزي، ABS، مرايات كهربائية، حساسات ركن خلفية</v>
      </c>
    </row>
    <row r="284" customFormat="false" ht="35.05" hidden="false" customHeight="false" outlineLevel="0" collapsed="false">
      <c r="A284" s="6" t="s">
        <v>991</v>
      </c>
      <c r="B284" s="7" t="s">
        <v>988</v>
      </c>
      <c r="C284" s="6" t="str">
        <f aca="false">IF(B284="","",IFERROR(INDEX(Lists!$K$2:$K$60,MATCH(B284,Lists!$J$2:$J$60,0)),""))</f>
        <v>جيلي</v>
      </c>
      <c r="D284" s="7" t="s">
        <v>992</v>
      </c>
      <c r="E284" s="7" t="s">
        <v>993</v>
      </c>
      <c r="F284" s="7" t="n">
        <v>2017</v>
      </c>
      <c r="G284" s="7" t="s">
        <v>249</v>
      </c>
      <c r="H284" s="8" t="n">
        <v>520000</v>
      </c>
      <c r="I284" s="7" t="s">
        <v>113</v>
      </c>
      <c r="J284" s="9" t="n">
        <v>1800</v>
      </c>
      <c r="K284" s="7" t="n">
        <v>127</v>
      </c>
      <c r="L284" s="7" t="s">
        <v>78</v>
      </c>
      <c r="M284" s="7" t="s">
        <v>79</v>
      </c>
      <c r="N284" s="7" t="n">
        <v>9</v>
      </c>
      <c r="O284" s="7" t="n">
        <v>5</v>
      </c>
      <c r="P284" s="7" t="s">
        <v>80</v>
      </c>
      <c r="Q284" s="7" t="s">
        <v>80</v>
      </c>
      <c r="R284" s="7" t="s">
        <v>81</v>
      </c>
      <c r="S284" s="7" t="s">
        <v>80</v>
      </c>
      <c r="T284" s="7" t="s">
        <v>81</v>
      </c>
      <c r="U284" s="7" t="s">
        <v>144</v>
      </c>
      <c r="V284" s="7" t="s">
        <v>266</v>
      </c>
      <c r="W284" s="6" t="str">
        <f aca="false">IF(COUNTA(B284:V284)=0,"",IF(OR(B284="",C284="",D284="",F284="",G284="",H284="",I284="",L284="",M284=""),"ناقص",IF(AND(ISNUMBER(F284),ISNUMBER(H284)),"OK","السنة/السعر لازم أرقام")))</f>
        <v>OK</v>
      </c>
      <c r="X284" s="6" t="str">
        <f aca="false">IF(B284="","",B284&amp;" "&amp;C284&amp;" "&amp;D284&amp;" "&amp;E284&amp;" "&amp;F284&amp;" "&amp;G284&amp;" "&amp;I284&amp;" "&amp;L284&amp;" "&amp;M284&amp;" سعر "&amp;H284&amp;" جنيه "&amp;U284)</f>
        <v>Geely جيلي Emgrand X7 جيلي إمجراند X7 2017 مستعمل SUV أوتوماتيك بنزين سعر 520000 جنيه تكييف، زجاج كهربائي، قفل مركزي، ABS، مرايات كهربائية، حساسات ركن خلفية</v>
      </c>
    </row>
    <row r="285" customFormat="false" ht="35.05" hidden="false" customHeight="false" outlineLevel="0" collapsed="false">
      <c r="A285" s="6" t="s">
        <v>994</v>
      </c>
      <c r="B285" s="7" t="s">
        <v>988</v>
      </c>
      <c r="C285" s="6" t="str">
        <f aca="false">IF(B285="","",IFERROR(INDEX(Lists!$K$2:$K$60,MATCH(B285,Lists!$J$2:$J$60,0)),""))</f>
        <v>جيلي</v>
      </c>
      <c r="D285" s="7" t="s">
        <v>995</v>
      </c>
      <c r="E285" s="7" t="s">
        <v>996</v>
      </c>
      <c r="F285" s="7" t="n">
        <v>2019</v>
      </c>
      <c r="G285" s="7" t="s">
        <v>249</v>
      </c>
      <c r="H285" s="8" t="n">
        <v>520000</v>
      </c>
      <c r="I285" s="7" t="s">
        <v>105</v>
      </c>
      <c r="J285" s="9" t="n">
        <v>1800</v>
      </c>
      <c r="K285" s="7" t="n">
        <v>127</v>
      </c>
      <c r="L285" s="7" t="s">
        <v>250</v>
      </c>
      <c r="M285" s="7" t="s">
        <v>79</v>
      </c>
      <c r="N285" s="7" t="n">
        <v>8</v>
      </c>
      <c r="O285" s="7" t="n">
        <v>5</v>
      </c>
      <c r="P285" s="7" t="s">
        <v>80</v>
      </c>
      <c r="Q285" s="7" t="s">
        <v>81</v>
      </c>
      <c r="R285" s="7" t="s">
        <v>81</v>
      </c>
      <c r="S285" s="7" t="s">
        <v>80</v>
      </c>
      <c r="T285" s="7" t="s">
        <v>81</v>
      </c>
      <c r="U285" s="7" t="s">
        <v>144</v>
      </c>
      <c r="V285" s="7" t="s">
        <v>266</v>
      </c>
      <c r="W285" s="6" t="str">
        <f aca="false">IF(COUNTA(B285:V285)=0,"",IF(OR(B285="",C285="",D285="",F285="",G285="",H285="",I285="",L285="",M285=""),"ناقص",IF(AND(ISNUMBER(F285),ISNUMBER(H285)),"OK","السنة/السعر لازم أرقام")))</f>
        <v>OK</v>
      </c>
      <c r="X285" s="6" t="str">
        <f aca="false">IF(B285="","",B285&amp;" "&amp;C285&amp;" "&amp;D285&amp;" "&amp;E285&amp;" "&amp;F285&amp;" "&amp;G285&amp;" "&amp;I285&amp;" "&amp;L285&amp;" "&amp;M285&amp;" سعر "&amp;H285&amp;" جنيه "&amp;U285)</f>
        <v>Geely جيلي Emgrand GS جيلي إمجراند GS 2019 مستعمل كروس أوفر مانيوال بنزين سعر 520000 جنيه تكييف، زجاج كهربائي، قفل مركزي، ABS، مرايات كهربائية، حساسات ركن خلفية</v>
      </c>
    </row>
    <row r="286" customFormat="false" ht="35.05" hidden="false" customHeight="false" outlineLevel="0" collapsed="false">
      <c r="A286" s="6" t="s">
        <v>997</v>
      </c>
      <c r="B286" s="7" t="s">
        <v>988</v>
      </c>
      <c r="C286" s="6" t="str">
        <f aca="false">IF(B286="","",IFERROR(INDEX(Lists!$K$2:$K$60,MATCH(B286,Lists!$J$2:$J$60,0)),""))</f>
        <v>جيلي</v>
      </c>
      <c r="D286" s="7" t="s">
        <v>998</v>
      </c>
      <c r="E286" s="7" t="s">
        <v>999</v>
      </c>
      <c r="F286" s="7" t="n">
        <v>2021</v>
      </c>
      <c r="G286" s="7" t="s">
        <v>249</v>
      </c>
      <c r="H286" s="8" t="n">
        <v>1000000</v>
      </c>
      <c r="I286" s="7" t="s">
        <v>105</v>
      </c>
      <c r="J286" s="9" t="n">
        <v>1500</v>
      </c>
      <c r="K286" s="7" t="n">
        <v>177</v>
      </c>
      <c r="L286" s="7" t="s">
        <v>135</v>
      </c>
      <c r="M286" s="7" t="s">
        <v>79</v>
      </c>
      <c r="N286" s="7" t="n">
        <v>7</v>
      </c>
      <c r="O286" s="7" t="n">
        <v>5</v>
      </c>
      <c r="P286" s="7" t="s">
        <v>81</v>
      </c>
      <c r="Q286" s="7" t="s">
        <v>81</v>
      </c>
      <c r="R286" s="7" t="s">
        <v>81</v>
      </c>
      <c r="S286" s="7" t="s">
        <v>81</v>
      </c>
      <c r="T286" s="7" t="s">
        <v>81</v>
      </c>
      <c r="U286" s="7" t="s">
        <v>148</v>
      </c>
      <c r="V286" s="7" t="s">
        <v>266</v>
      </c>
      <c r="W286" s="6" t="str">
        <f aca="false">IF(COUNTA(B286:V286)=0,"",IF(OR(B286="",C286="",D286="",F286="",G286="",H286="",I286="",L286="",M286=""),"ناقص",IF(AND(ISNUMBER(F286),ISNUMBER(H286)),"OK","السنة/السعر لازم أرقام")))</f>
        <v>OK</v>
      </c>
      <c r="X286" s="6" t="str">
        <f aca="false">IF(B286="","",B286&amp;" "&amp;C286&amp;" "&amp;D286&amp;" "&amp;E286&amp;" "&amp;F286&amp;" "&amp;G286&amp;" "&amp;I286&amp;" "&amp;L286&amp;" "&amp;M286&amp;" سعر "&amp;H286&amp;" جنيه "&amp;U286)</f>
        <v>Geely جيلي Coolray جيلي كولراي 2021 مستعمل كروس أوفر DCT بنزين سعر 1000000 جنيه تكييف، زجاج كهربائي، قفل مركزي، ABS، مرايات كهربائية، حساسات ركن خلفية، جنوط ألومنيوم، تحكم في الثبات ESP</v>
      </c>
    </row>
    <row r="287" customFormat="false" ht="35.05" hidden="false" customHeight="false" outlineLevel="0" collapsed="false">
      <c r="A287" s="6" t="s">
        <v>1000</v>
      </c>
      <c r="B287" s="7" t="s">
        <v>988</v>
      </c>
      <c r="C287" s="6" t="str">
        <f aca="false">IF(B287="","",IFERROR(INDEX(Lists!$K$2:$K$60,MATCH(B287,Lists!$J$2:$J$60,0)),""))</f>
        <v>جيلي</v>
      </c>
      <c r="D287" s="7" t="s">
        <v>1001</v>
      </c>
      <c r="E287" s="7" t="s">
        <v>1002</v>
      </c>
      <c r="F287" s="7" t="n">
        <v>2022</v>
      </c>
      <c r="G287" s="7" t="s">
        <v>249</v>
      </c>
      <c r="H287" s="8" t="n">
        <v>1500000</v>
      </c>
      <c r="I287" s="7" t="s">
        <v>113</v>
      </c>
      <c r="J287" s="9" t="n">
        <v>1500</v>
      </c>
      <c r="K287" s="7" t="n">
        <v>177</v>
      </c>
      <c r="L287" s="7" t="s">
        <v>135</v>
      </c>
      <c r="M287" s="7" t="s">
        <v>79</v>
      </c>
      <c r="N287" s="7" t="n">
        <v>7.5</v>
      </c>
      <c r="O287" s="7" t="n">
        <v>5</v>
      </c>
      <c r="P287" s="7" t="s">
        <v>81</v>
      </c>
      <c r="Q287" s="7" t="s">
        <v>81</v>
      </c>
      <c r="R287" s="7" t="s">
        <v>81</v>
      </c>
      <c r="S287" s="7" t="s">
        <v>81</v>
      </c>
      <c r="T287" s="7" t="s">
        <v>81</v>
      </c>
      <c r="U287" s="7" t="s">
        <v>148</v>
      </c>
      <c r="V287" s="7" t="s">
        <v>266</v>
      </c>
      <c r="W287" s="6" t="str">
        <f aca="false">IF(COUNTA(B287:V287)=0,"",IF(OR(B287="",C287="",D287="",F287="",G287="",H287="",I287="",L287="",M287=""),"ناقص",IF(AND(ISNUMBER(F287),ISNUMBER(H287)),"OK","السنة/السعر لازم أرقام")))</f>
        <v>OK</v>
      </c>
      <c r="X287" s="6" t="str">
        <f aca="false">IF(B287="","",B287&amp;" "&amp;C287&amp;" "&amp;D287&amp;" "&amp;E287&amp;" "&amp;F287&amp;" "&amp;G287&amp;" "&amp;I287&amp;" "&amp;L287&amp;" "&amp;M287&amp;" سعر "&amp;H287&amp;" جنيه "&amp;U287)</f>
        <v>Geely جيلي Azkarra جيلي أزكارا 2022 مستعمل SUV DCT بنزين سعر 1500000 جنيه تكييف، زجاج كهربائي، قفل مركزي، ABS، مرايات كهربائية، حساسات ركن خلفية، جنوط ألومنيوم، تحكم في الثبات ESP</v>
      </c>
    </row>
    <row r="288" customFormat="false" ht="35.05" hidden="false" customHeight="false" outlineLevel="0" collapsed="false">
      <c r="A288" s="6" t="s">
        <v>1003</v>
      </c>
      <c r="B288" s="7" t="s">
        <v>988</v>
      </c>
      <c r="C288" s="6" t="str">
        <f aca="false">IF(B288="","",IFERROR(INDEX(Lists!$K$2:$K$60,MATCH(B288,Lists!$J$2:$J$60,0)),""))</f>
        <v>جيلي</v>
      </c>
      <c r="D288" s="7" t="s">
        <v>1004</v>
      </c>
      <c r="E288" s="7" t="s">
        <v>1005</v>
      </c>
      <c r="F288" s="7" t="n">
        <v>2012</v>
      </c>
      <c r="G288" s="7" t="s">
        <v>249</v>
      </c>
      <c r="H288" s="8" t="n">
        <v>150000</v>
      </c>
      <c r="I288" s="7" t="s">
        <v>77</v>
      </c>
      <c r="J288" s="9" t="n">
        <v>1500</v>
      </c>
      <c r="K288" s="7" t="n">
        <v>94</v>
      </c>
      <c r="L288" s="7" t="s">
        <v>250</v>
      </c>
      <c r="M288" s="7" t="s">
        <v>79</v>
      </c>
      <c r="N288" s="7" t="n">
        <v>8</v>
      </c>
      <c r="O288" s="7" t="n">
        <v>5</v>
      </c>
      <c r="P288" s="7" t="s">
        <v>80</v>
      </c>
      <c r="Q288" s="7" t="s">
        <v>80</v>
      </c>
      <c r="R288" s="7" t="s">
        <v>80</v>
      </c>
      <c r="S288" s="7" t="s">
        <v>80</v>
      </c>
      <c r="T288" s="7" t="s">
        <v>80</v>
      </c>
      <c r="U288" s="7" t="s">
        <v>256</v>
      </c>
      <c r="V288" s="7" t="s">
        <v>266</v>
      </c>
      <c r="W288" s="6" t="str">
        <f aca="false">IF(COUNTA(B288:V288)=0,"",IF(OR(B288="",C288="",D288="",F288="",G288="",H288="",I288="",L288="",M288=""),"ناقص",IF(AND(ISNUMBER(F288),ISNUMBER(H288)),"OK","السنة/السعر لازم أرقام")))</f>
        <v>OK</v>
      </c>
      <c r="X288" s="6" t="str">
        <f aca="false">IF(B288="","",B288&amp;" "&amp;C288&amp;" "&amp;D288&amp;" "&amp;E288&amp;" "&amp;F288&amp;" "&amp;G288&amp;" "&amp;I288&amp;" "&amp;L288&amp;" "&amp;M288&amp;" سعر "&amp;H288&amp;" جنيه "&amp;U288)</f>
        <v>Geely جيلي CK جيلي سي كي 2012 مستعمل سيدان مانيوال بنزين سعر 150000 جنيه تكييف، زجاج كهربائي، قفل مركزي، ABS</v>
      </c>
    </row>
    <row r="289" customFormat="false" ht="35.05" hidden="false" customHeight="false" outlineLevel="0" collapsed="false">
      <c r="A289" s="6" t="s">
        <v>1006</v>
      </c>
      <c r="B289" s="7" t="s">
        <v>1007</v>
      </c>
      <c r="C289" s="6" t="str">
        <f aca="false">IF(B289="","",IFERROR(INDEX(Lists!$K$2:$K$60,MATCH(B289,Lists!$J$2:$J$60,0)),""))</f>
        <v>بي واي دي</v>
      </c>
      <c r="D289" s="7" t="s">
        <v>1008</v>
      </c>
      <c r="E289" s="7" t="s">
        <v>1009</v>
      </c>
      <c r="F289" s="7" t="n">
        <v>2012</v>
      </c>
      <c r="G289" s="7" t="s">
        <v>249</v>
      </c>
      <c r="H289" s="8" t="n">
        <v>240000</v>
      </c>
      <c r="I289" s="7" t="s">
        <v>77</v>
      </c>
      <c r="J289" s="9" t="n">
        <v>1500</v>
      </c>
      <c r="K289" s="7" t="n">
        <v>107</v>
      </c>
      <c r="L289" s="7" t="s">
        <v>250</v>
      </c>
      <c r="M289" s="7" t="s">
        <v>79</v>
      </c>
      <c r="N289" s="7" t="n">
        <v>8</v>
      </c>
      <c r="O289" s="7" t="n">
        <v>5</v>
      </c>
      <c r="P289" s="7" t="s">
        <v>80</v>
      </c>
      <c r="Q289" s="7" t="s">
        <v>80</v>
      </c>
      <c r="R289" s="7" t="s">
        <v>80</v>
      </c>
      <c r="S289" s="7" t="s">
        <v>80</v>
      </c>
      <c r="T289" s="7" t="s">
        <v>80</v>
      </c>
      <c r="U289" s="7" t="s">
        <v>256</v>
      </c>
      <c r="V289" s="7" t="s">
        <v>266</v>
      </c>
      <c r="W289" s="6" t="str">
        <f aca="false">IF(COUNTA(B289:V289)=0,"",IF(OR(B289="",C289="",D289="",F289="",G289="",H289="",I289="",L289="",M289=""),"ناقص",IF(AND(ISNUMBER(F289),ISNUMBER(H289)),"OK","السنة/السعر لازم أرقام")))</f>
        <v>OK</v>
      </c>
      <c r="X289" s="6" t="str">
        <f aca="false">IF(B289="","",B289&amp;" "&amp;C289&amp;" "&amp;D289&amp;" "&amp;E289&amp;" "&amp;F289&amp;" "&amp;G289&amp;" "&amp;I289&amp;" "&amp;L289&amp;" "&amp;M289&amp;" سعر "&amp;H289&amp;" جنيه "&amp;U289)</f>
        <v>BYD بي واي دي F3 بي واي دي F3 2012 مستعمل سيدان مانيوال بنزين سعر 240000 جنيه تكييف، زجاج كهربائي، قفل مركزي، ABS</v>
      </c>
    </row>
    <row r="290" customFormat="false" ht="35.05" hidden="false" customHeight="false" outlineLevel="0" collapsed="false">
      <c r="A290" s="6" t="s">
        <v>1010</v>
      </c>
      <c r="B290" s="7" t="s">
        <v>1007</v>
      </c>
      <c r="C290" s="6" t="str">
        <f aca="false">IF(B290="","",IFERROR(INDEX(Lists!$K$2:$K$60,MATCH(B290,Lists!$J$2:$J$60,0)),""))</f>
        <v>بي واي دي</v>
      </c>
      <c r="D290" s="7" t="s">
        <v>1011</v>
      </c>
      <c r="E290" s="7" t="s">
        <v>1012</v>
      </c>
      <c r="F290" s="7" t="n">
        <v>2013</v>
      </c>
      <c r="G290" s="7" t="s">
        <v>249</v>
      </c>
      <c r="H290" s="8" t="n">
        <v>420000</v>
      </c>
      <c r="I290" s="7" t="s">
        <v>113</v>
      </c>
      <c r="J290" s="9" t="n">
        <v>2000</v>
      </c>
      <c r="K290" s="7" t="n">
        <v>161</v>
      </c>
      <c r="L290" s="7" t="s">
        <v>78</v>
      </c>
      <c r="M290" s="7" t="s">
        <v>79</v>
      </c>
      <c r="N290" s="7" t="n">
        <v>10</v>
      </c>
      <c r="O290" s="7" t="n">
        <v>5</v>
      </c>
      <c r="P290" s="7" t="s">
        <v>80</v>
      </c>
      <c r="Q290" s="7" t="s">
        <v>80</v>
      </c>
      <c r="R290" s="7" t="s">
        <v>80</v>
      </c>
      <c r="S290" s="7" t="s">
        <v>80</v>
      </c>
      <c r="T290" s="7" t="s">
        <v>80</v>
      </c>
      <c r="U290" s="7" t="s">
        <v>144</v>
      </c>
      <c r="V290" s="7" t="s">
        <v>266</v>
      </c>
      <c r="W290" s="6" t="str">
        <f aca="false">IF(COUNTA(B290:V290)=0,"",IF(OR(B290="",C290="",D290="",F290="",G290="",H290="",I290="",L290="",M290=""),"ناقص",IF(AND(ISNUMBER(F290),ISNUMBER(H290)),"OK","السنة/السعر لازم أرقام")))</f>
        <v>OK</v>
      </c>
      <c r="X290" s="6" t="str">
        <f aca="false">IF(B290="","",B290&amp;" "&amp;C290&amp;" "&amp;D290&amp;" "&amp;E290&amp;" "&amp;F290&amp;" "&amp;G290&amp;" "&amp;I290&amp;" "&amp;L290&amp;" "&amp;M290&amp;" سعر "&amp;H290&amp;" جنيه "&amp;U290)</f>
        <v>BYD بي واي دي S6 بي واي دي S6 2013 مستعمل SUV أوتوماتيك بنزين سعر 420000 جنيه تكييف، زجاج كهربائي، قفل مركزي، ABS، مرايات كهربائية، حساسات ركن خلفية</v>
      </c>
    </row>
    <row r="291" customFormat="false" ht="46.25" hidden="false" customHeight="false" outlineLevel="0" collapsed="false">
      <c r="A291" s="6" t="s">
        <v>1013</v>
      </c>
      <c r="B291" s="7" t="s">
        <v>1007</v>
      </c>
      <c r="C291" s="6" t="str">
        <f aca="false">IF(B291="","",IFERROR(INDEX(Lists!$K$2:$K$60,MATCH(B291,Lists!$J$2:$J$60,0)),""))</f>
        <v>بي واي دي</v>
      </c>
      <c r="D291" s="7" t="s">
        <v>1014</v>
      </c>
      <c r="E291" s="7" t="s">
        <v>1015</v>
      </c>
      <c r="F291" s="7" t="n">
        <v>2023</v>
      </c>
      <c r="G291" s="7" t="s">
        <v>249</v>
      </c>
      <c r="H291" s="8" t="n">
        <v>1700000</v>
      </c>
      <c r="I291" s="7" t="s">
        <v>113</v>
      </c>
      <c r="J291" s="9" t="n">
        <v>0</v>
      </c>
      <c r="K291" s="7" t="n">
        <v>184</v>
      </c>
      <c r="L291" s="7" t="s">
        <v>78</v>
      </c>
      <c r="M291" s="7" t="s">
        <v>186</v>
      </c>
      <c r="N291" s="7" t="n">
        <v>0</v>
      </c>
      <c r="O291" s="7" t="n">
        <v>5</v>
      </c>
      <c r="P291" s="7" t="s">
        <v>81</v>
      </c>
      <c r="Q291" s="7" t="s">
        <v>81</v>
      </c>
      <c r="R291" s="7" t="s">
        <v>81</v>
      </c>
      <c r="S291" s="7" t="s">
        <v>81</v>
      </c>
      <c r="T291" s="7" t="s">
        <v>81</v>
      </c>
      <c r="U291" s="7" t="s">
        <v>299</v>
      </c>
      <c r="V291" s="7" t="s">
        <v>266</v>
      </c>
      <c r="W291" s="6" t="str">
        <f aca="false">IF(COUNTA(B291:V291)=0,"",IF(OR(B291="",C291="",D291="",F291="",G291="",H291="",I291="",L291="",M291=""),"ناقص",IF(AND(ISNUMBER(F291),ISNUMBER(H291)),"OK","السنة/السعر لازم أرقام")))</f>
        <v>OK</v>
      </c>
      <c r="X291" s="6" t="str">
        <f aca="false">IF(B291="","",B291&amp;" "&amp;C291&amp;" "&amp;D291&amp;" "&amp;E291&amp;" "&amp;F291&amp;" "&amp;G291&amp;" "&amp;I291&amp;" "&amp;L291&amp;" "&amp;M291&amp;" سعر "&amp;H291&amp;" جنيه "&amp;U291)</f>
        <v>BYD بي واي دي Song Plus Champion بي واي دي سونج بلس 2023 مستعمل SUV أوتوماتيك كهرباء سعر 1700000 جنيه تكييف، زجاج كهربائي، قفل مركزي، ABS، مرايات كهربائية، حساسات ركن خلفية، جنوط ألومنيوم، تحكم في الثبات ESP، مقاعد كهربائية، إضاءة LED</v>
      </c>
    </row>
    <row r="292" customFormat="false" ht="46.25" hidden="false" customHeight="false" outlineLevel="0" collapsed="false">
      <c r="A292" s="6" t="s">
        <v>1016</v>
      </c>
      <c r="B292" s="7" t="s">
        <v>1007</v>
      </c>
      <c r="C292" s="6" t="str">
        <f aca="false">IF(B292="","",IFERROR(INDEX(Lists!$K$2:$K$60,MATCH(B292,Lists!$J$2:$J$60,0)),""))</f>
        <v>بي واي دي</v>
      </c>
      <c r="D292" s="7" t="s">
        <v>1017</v>
      </c>
      <c r="E292" s="7" t="s">
        <v>1018</v>
      </c>
      <c r="F292" s="7" t="n">
        <v>2023</v>
      </c>
      <c r="G292" s="7" t="s">
        <v>249</v>
      </c>
      <c r="H292" s="8" t="n">
        <v>1500000</v>
      </c>
      <c r="I292" s="7" t="s">
        <v>105</v>
      </c>
      <c r="J292" s="9" t="n">
        <v>0</v>
      </c>
      <c r="K292" s="7" t="n">
        <v>204</v>
      </c>
      <c r="L292" s="7" t="s">
        <v>78</v>
      </c>
      <c r="M292" s="7" t="s">
        <v>186</v>
      </c>
      <c r="N292" s="7" t="n">
        <v>0</v>
      </c>
      <c r="O292" s="7" t="n">
        <v>5</v>
      </c>
      <c r="P292" s="7" t="s">
        <v>81</v>
      </c>
      <c r="Q292" s="7" t="s">
        <v>81</v>
      </c>
      <c r="R292" s="7" t="s">
        <v>81</v>
      </c>
      <c r="S292" s="7" t="s">
        <v>81</v>
      </c>
      <c r="T292" s="7" t="s">
        <v>81</v>
      </c>
      <c r="U292" s="7" t="s">
        <v>299</v>
      </c>
      <c r="V292" s="7" t="s">
        <v>266</v>
      </c>
      <c r="W292" s="6" t="str">
        <f aca="false">IF(COUNTA(B292:V292)=0,"",IF(OR(B292="",C292="",D292="",F292="",G292="",H292="",I292="",L292="",M292=""),"ناقص",IF(AND(ISNUMBER(F292),ISNUMBER(H292)),"OK","السنة/السعر لازم أرقام")))</f>
        <v>OK</v>
      </c>
      <c r="X292" s="6" t="str">
        <f aca="false">IF(B292="","",B292&amp;" "&amp;C292&amp;" "&amp;D292&amp;" "&amp;E292&amp;" "&amp;F292&amp;" "&amp;G292&amp;" "&amp;I292&amp;" "&amp;L292&amp;" "&amp;M292&amp;" سعر "&amp;H292&amp;" جنيه "&amp;U292)</f>
        <v>BYD بي واي دي Yuan Plus بي واي دي يوان بلس 2023 مستعمل كروس أوفر أوتوماتيك كهرباء سعر 1500000 جنيه تكييف، زجاج كهربائي، قفل مركزي، ABS، مرايات كهربائية، حساسات ركن خلفية، جنوط ألومنيوم، تحكم في الثبات ESP، مقاعد كهربائية، إضاءة LED</v>
      </c>
    </row>
    <row r="293" customFormat="false" ht="35.05" hidden="false" customHeight="false" outlineLevel="0" collapsed="false">
      <c r="A293" s="6" t="s">
        <v>1019</v>
      </c>
      <c r="B293" s="7" t="s">
        <v>206</v>
      </c>
      <c r="C293" s="6" t="str">
        <f aca="false">IF(B293="","",IFERROR(INDEX(Lists!$K$2:$K$60,MATCH(B293,Lists!$J$2:$J$60,0)),""))</f>
        <v>هافال</v>
      </c>
      <c r="D293" s="7" t="s">
        <v>1020</v>
      </c>
      <c r="E293" s="7" t="s">
        <v>1021</v>
      </c>
      <c r="F293" s="7" t="n">
        <v>2019</v>
      </c>
      <c r="G293" s="7" t="s">
        <v>249</v>
      </c>
      <c r="H293" s="8" t="n">
        <v>750000</v>
      </c>
      <c r="I293" s="7" t="s">
        <v>105</v>
      </c>
      <c r="J293" s="9" t="n">
        <v>1500</v>
      </c>
      <c r="K293" s="7" t="n">
        <v>143</v>
      </c>
      <c r="L293" s="7" t="s">
        <v>250</v>
      </c>
      <c r="M293" s="7" t="s">
        <v>79</v>
      </c>
      <c r="N293" s="7" t="n">
        <v>8.5</v>
      </c>
      <c r="O293" s="7" t="n">
        <v>5</v>
      </c>
      <c r="P293" s="7" t="s">
        <v>80</v>
      </c>
      <c r="Q293" s="7" t="s">
        <v>81</v>
      </c>
      <c r="R293" s="7" t="s">
        <v>81</v>
      </c>
      <c r="S293" s="7" t="s">
        <v>80</v>
      </c>
      <c r="T293" s="7" t="s">
        <v>81</v>
      </c>
      <c r="U293" s="7" t="s">
        <v>144</v>
      </c>
      <c r="V293" s="7" t="s">
        <v>266</v>
      </c>
      <c r="W293" s="6" t="str">
        <f aca="false">IF(COUNTA(B293:V293)=0,"",IF(OR(B293="",C293="",D293="",F293="",G293="",H293="",I293="",L293="",M293=""),"ناقص",IF(AND(ISNUMBER(F293),ISNUMBER(H293)),"OK","السنة/السعر لازم أرقام")))</f>
        <v>OK</v>
      </c>
      <c r="X293" s="6" t="str">
        <f aca="false">IF(B293="","",B293&amp;" "&amp;C293&amp;" "&amp;D293&amp;" "&amp;E293&amp;" "&amp;F293&amp;" "&amp;G293&amp;" "&amp;I293&amp;" "&amp;L293&amp;" "&amp;M293&amp;" سعر "&amp;H293&amp;" جنيه "&amp;U293)</f>
        <v>Haval هافال H2 هافال H2 2019 مستعمل كروس أوفر مانيوال بنزين سعر 750000 جنيه تكييف، زجاج كهربائي، قفل مركزي، ABS، مرايات كهربائية، حساسات ركن خلفية</v>
      </c>
    </row>
    <row r="294" customFormat="false" ht="35.05" hidden="false" customHeight="false" outlineLevel="0" collapsed="false">
      <c r="A294" s="6" t="s">
        <v>1022</v>
      </c>
      <c r="B294" s="7" t="s">
        <v>206</v>
      </c>
      <c r="C294" s="6" t="str">
        <f aca="false">IF(B294="","",IFERROR(INDEX(Lists!$K$2:$K$60,MATCH(B294,Lists!$J$2:$J$60,0)),""))</f>
        <v>هافال</v>
      </c>
      <c r="D294" s="7" t="s">
        <v>1023</v>
      </c>
      <c r="E294" s="7" t="s">
        <v>1024</v>
      </c>
      <c r="F294" s="7" t="n">
        <v>2019</v>
      </c>
      <c r="G294" s="7" t="s">
        <v>249</v>
      </c>
      <c r="H294" s="8" t="n">
        <v>950000</v>
      </c>
      <c r="I294" s="7" t="s">
        <v>113</v>
      </c>
      <c r="J294" s="9" t="n">
        <v>1500</v>
      </c>
      <c r="K294" s="7" t="n">
        <v>150</v>
      </c>
      <c r="L294" s="7" t="s">
        <v>78</v>
      </c>
      <c r="M294" s="7" t="s">
        <v>79</v>
      </c>
      <c r="N294" s="7" t="n">
        <v>9</v>
      </c>
      <c r="O294" s="7" t="n">
        <v>5</v>
      </c>
      <c r="P294" s="7" t="s">
        <v>81</v>
      </c>
      <c r="Q294" s="7" t="s">
        <v>81</v>
      </c>
      <c r="R294" s="7" t="s">
        <v>81</v>
      </c>
      <c r="S294" s="7" t="s">
        <v>81</v>
      </c>
      <c r="T294" s="7" t="s">
        <v>81</v>
      </c>
      <c r="U294" s="7" t="s">
        <v>148</v>
      </c>
      <c r="V294" s="7" t="s">
        <v>266</v>
      </c>
      <c r="W294" s="6" t="str">
        <f aca="false">IF(COUNTA(B294:V294)=0,"",IF(OR(B294="",C294="",D294="",F294="",G294="",H294="",I294="",L294="",M294=""),"ناقص",IF(AND(ISNUMBER(F294),ISNUMBER(H294)),"OK","السنة/السعر لازم أرقام")))</f>
        <v>OK</v>
      </c>
      <c r="X294" s="6" t="str">
        <f aca="false">IF(B294="","",B294&amp;" "&amp;C294&amp;" "&amp;D294&amp;" "&amp;E294&amp;" "&amp;F294&amp;" "&amp;G294&amp;" "&amp;I294&amp;" "&amp;L294&amp;" "&amp;M294&amp;" سعر "&amp;H294&amp;" جنيه "&amp;U294)</f>
        <v>Haval هافال H6 2019 هافال H6 2019 2019 مستعمل SUV أوتوماتيك بنزين سعر 950000 جنيه تكييف، زجاج كهربائي، قفل مركزي، ABS، مرايات كهربائية، حساسات ركن خلفية، جنوط ألومنيوم، تحكم في الثبات ESP</v>
      </c>
    </row>
    <row r="295" customFormat="false" ht="46.25" hidden="false" customHeight="false" outlineLevel="0" collapsed="false">
      <c r="A295" s="6" t="s">
        <v>1025</v>
      </c>
      <c r="B295" s="7" t="s">
        <v>1026</v>
      </c>
      <c r="C295" s="6" t="str">
        <f aca="false">IF(B295="","",IFERROR(INDEX(Lists!$K$2:$K$60,MATCH(B295,Lists!$J$2:$J$60,0)),""))</f>
        <v>لكزس</v>
      </c>
      <c r="D295" s="7" t="s">
        <v>1027</v>
      </c>
      <c r="E295" s="7" t="s">
        <v>1028</v>
      </c>
      <c r="F295" s="7" t="n">
        <v>2014</v>
      </c>
      <c r="G295" s="7" t="s">
        <v>249</v>
      </c>
      <c r="H295" s="8" t="n">
        <v>1500000</v>
      </c>
      <c r="I295" s="7" t="s">
        <v>77</v>
      </c>
      <c r="J295" s="9" t="n">
        <v>3500</v>
      </c>
      <c r="K295" s="7" t="n">
        <v>268</v>
      </c>
      <c r="L295" s="7" t="s">
        <v>78</v>
      </c>
      <c r="M295" s="7" t="s">
        <v>79</v>
      </c>
      <c r="N295" s="7" t="n">
        <v>11</v>
      </c>
      <c r="O295" s="7" t="n">
        <v>5</v>
      </c>
      <c r="P295" s="7" t="s">
        <v>81</v>
      </c>
      <c r="Q295" s="7" t="s">
        <v>80</v>
      </c>
      <c r="R295" s="7" t="s">
        <v>81</v>
      </c>
      <c r="S295" s="7" t="s">
        <v>81</v>
      </c>
      <c r="T295" s="7" t="s">
        <v>81</v>
      </c>
      <c r="U295" s="7" t="s">
        <v>299</v>
      </c>
      <c r="V295" s="7" t="s">
        <v>266</v>
      </c>
      <c r="W295" s="6" t="str">
        <f aca="false">IF(COUNTA(B295:V295)=0,"",IF(OR(B295="",C295="",D295="",F295="",G295="",H295="",I295="",L295="",M295=""),"ناقص",IF(AND(ISNUMBER(F295),ISNUMBER(H295)),"OK","السنة/السعر لازم أرقام")))</f>
        <v>OK</v>
      </c>
      <c r="X295" s="6" t="str">
        <f aca="false">IF(B295="","",B295&amp;" "&amp;C295&amp;" "&amp;D295&amp;" "&amp;E295&amp;" "&amp;F295&amp;" "&amp;G295&amp;" "&amp;I295&amp;" "&amp;L295&amp;" "&amp;M295&amp;" سعر "&amp;H295&amp;" جنيه "&amp;U295)</f>
        <v>Lexus لكزس ES 350 لكزس ES 350 2014 مستعمل سيدان أوتوماتيك بنزين سعر 1500000 جنيه تكييف، زجاج كهربائي، قفل مركزي، ABS، مرايات كهربائية، حساسات ركن خلفية، جنوط ألومنيوم، تحكم في الثبات ESP، مقاعد كهربائية، إضاءة LED</v>
      </c>
    </row>
    <row r="296" customFormat="false" ht="35.05" hidden="false" customHeight="false" outlineLevel="0" collapsed="false">
      <c r="A296" s="6" t="s">
        <v>1029</v>
      </c>
      <c r="B296" s="7" t="s">
        <v>1026</v>
      </c>
      <c r="C296" s="6" t="str">
        <f aca="false">IF(B296="","",IFERROR(INDEX(Lists!$K$2:$K$60,MATCH(B296,Lists!$J$2:$J$60,0)),""))</f>
        <v>لكزس</v>
      </c>
      <c r="D296" s="7" t="s">
        <v>1030</v>
      </c>
      <c r="E296" s="7" t="s">
        <v>1031</v>
      </c>
      <c r="F296" s="7" t="n">
        <v>2012</v>
      </c>
      <c r="G296" s="7" t="s">
        <v>249</v>
      </c>
      <c r="H296" s="8" t="n">
        <v>1700000</v>
      </c>
      <c r="I296" s="7" t="s">
        <v>113</v>
      </c>
      <c r="J296" s="9" t="n">
        <v>3500</v>
      </c>
      <c r="K296" s="7" t="n">
        <v>275</v>
      </c>
      <c r="L296" s="7" t="s">
        <v>78</v>
      </c>
      <c r="M296" s="7" t="s">
        <v>79</v>
      </c>
      <c r="N296" s="7" t="n">
        <v>12</v>
      </c>
      <c r="O296" s="7" t="n">
        <v>5</v>
      </c>
      <c r="P296" s="7" t="s">
        <v>81</v>
      </c>
      <c r="Q296" s="7" t="s">
        <v>80</v>
      </c>
      <c r="R296" s="7" t="s">
        <v>81</v>
      </c>
      <c r="S296" s="7" t="s">
        <v>81</v>
      </c>
      <c r="T296" s="7" t="s">
        <v>81</v>
      </c>
      <c r="U296" s="7" t="s">
        <v>840</v>
      </c>
      <c r="V296" s="7" t="s">
        <v>266</v>
      </c>
      <c r="W296" s="6" t="str">
        <f aca="false">IF(COUNTA(B296:V296)=0,"",IF(OR(B296="",C296="",D296="",F296="",G296="",H296="",I296="",L296="",M296=""),"ناقص",IF(AND(ISNUMBER(F296),ISNUMBER(H296)),"OK","السنة/السعر لازم أرقام")))</f>
        <v>OK</v>
      </c>
      <c r="X296" s="6" t="str">
        <f aca="false">IF(B296="","",B296&amp;" "&amp;C296&amp;" "&amp;D296&amp;" "&amp;E296&amp;" "&amp;F296&amp;" "&amp;G296&amp;" "&amp;I296&amp;" "&amp;L296&amp;" "&amp;M296&amp;" سعر "&amp;H296&amp;" جنيه "&amp;U296)</f>
        <v>Lexus لكزس RX 350 لكزس RX 350 2012 مستعمل SUV أوتوماتيك بنزين سعر 1700000 جنيه تكييف، زجاج كهربائي، قفل مركزي، ABS، مرايات كهربائية، حساسات ركن خلفية، مقاعد كهربائية، إضاءة LED</v>
      </c>
    </row>
    <row r="297" customFormat="false" ht="35.05" hidden="false" customHeight="false" outlineLevel="0" collapsed="false">
      <c r="A297" s="6" t="s">
        <v>1032</v>
      </c>
      <c r="B297" s="7" t="s">
        <v>1033</v>
      </c>
      <c r="C297" s="6" t="str">
        <f aca="false">IF(B297="","",IFERROR(INDEX(Lists!$K$2:$K$60,MATCH(B297,Lists!$J$2:$J$60,0)),""))</f>
        <v>فولفو</v>
      </c>
      <c r="D297" s="7" t="s">
        <v>1034</v>
      </c>
      <c r="E297" s="7" t="s">
        <v>1035</v>
      </c>
      <c r="F297" s="7" t="n">
        <v>2013</v>
      </c>
      <c r="G297" s="7" t="s">
        <v>249</v>
      </c>
      <c r="H297" s="8" t="n">
        <v>800000</v>
      </c>
      <c r="I297" s="7" t="s">
        <v>77</v>
      </c>
      <c r="J297" s="9" t="n">
        <v>1600</v>
      </c>
      <c r="K297" s="7" t="n">
        <v>180</v>
      </c>
      <c r="L297" s="7" t="s">
        <v>78</v>
      </c>
      <c r="M297" s="7" t="s">
        <v>79</v>
      </c>
      <c r="N297" s="7" t="n">
        <v>8.5</v>
      </c>
      <c r="O297" s="7" t="n">
        <v>5</v>
      </c>
      <c r="P297" s="7" t="s">
        <v>81</v>
      </c>
      <c r="Q297" s="7" t="s">
        <v>80</v>
      </c>
      <c r="R297" s="7" t="s">
        <v>81</v>
      </c>
      <c r="S297" s="7" t="s">
        <v>81</v>
      </c>
      <c r="T297" s="7" t="s">
        <v>81</v>
      </c>
      <c r="U297" s="7" t="s">
        <v>144</v>
      </c>
      <c r="V297" s="7" t="s">
        <v>266</v>
      </c>
      <c r="W297" s="6" t="str">
        <f aca="false">IF(COUNTA(B297:V297)=0,"",IF(OR(B297="",C297="",D297="",F297="",G297="",H297="",I297="",L297="",M297=""),"ناقص",IF(AND(ISNUMBER(F297),ISNUMBER(H297)),"OK","السنة/السعر لازم أرقام")))</f>
        <v>OK</v>
      </c>
      <c r="X297" s="6" t="str">
        <f aca="false">IF(B297="","",B297&amp;" "&amp;C297&amp;" "&amp;D297&amp;" "&amp;E297&amp;" "&amp;F297&amp;" "&amp;G297&amp;" "&amp;I297&amp;" "&amp;L297&amp;" "&amp;M297&amp;" سعر "&amp;H297&amp;" جنيه "&amp;U297)</f>
        <v>Volvo فولفو S60 فولفو S60 2013 مستعمل سيدان أوتوماتيك بنزين سعر 800000 جنيه تكييف، زجاج كهربائي، قفل مركزي، ABS، مرايات كهربائية، حساسات ركن خلفية</v>
      </c>
    </row>
    <row r="298" customFormat="false" ht="46.25" hidden="false" customHeight="false" outlineLevel="0" collapsed="false">
      <c r="A298" s="6" t="s">
        <v>1036</v>
      </c>
      <c r="B298" s="7" t="s">
        <v>1033</v>
      </c>
      <c r="C298" s="6" t="str">
        <f aca="false">IF(B298="","",IFERROR(INDEX(Lists!$K$2:$K$60,MATCH(B298,Lists!$J$2:$J$60,0)),""))</f>
        <v>فولفو</v>
      </c>
      <c r="D298" s="7" t="s">
        <v>1037</v>
      </c>
      <c r="E298" s="7" t="s">
        <v>1038</v>
      </c>
      <c r="F298" s="7" t="n">
        <v>2015</v>
      </c>
      <c r="G298" s="7" t="s">
        <v>249</v>
      </c>
      <c r="H298" s="8" t="n">
        <v>1500000</v>
      </c>
      <c r="I298" s="7" t="s">
        <v>113</v>
      </c>
      <c r="J298" s="9" t="n">
        <v>2000</v>
      </c>
      <c r="K298" s="7" t="n">
        <v>245</v>
      </c>
      <c r="L298" s="7" t="s">
        <v>78</v>
      </c>
      <c r="M298" s="7" t="s">
        <v>79</v>
      </c>
      <c r="N298" s="7" t="n">
        <v>9.5</v>
      </c>
      <c r="O298" s="7" t="n">
        <v>5</v>
      </c>
      <c r="P298" s="7" t="s">
        <v>81</v>
      </c>
      <c r="Q298" s="7" t="s">
        <v>81</v>
      </c>
      <c r="R298" s="7" t="s">
        <v>81</v>
      </c>
      <c r="S298" s="7" t="s">
        <v>81</v>
      </c>
      <c r="T298" s="7" t="s">
        <v>81</v>
      </c>
      <c r="U298" s="7" t="s">
        <v>299</v>
      </c>
      <c r="V298" s="7" t="s">
        <v>266</v>
      </c>
      <c r="W298" s="6" t="str">
        <f aca="false">IF(COUNTA(B298:V298)=0,"",IF(OR(B298="",C298="",D298="",F298="",G298="",H298="",I298="",L298="",M298=""),"ناقص",IF(AND(ISNUMBER(F298),ISNUMBER(H298)),"OK","السنة/السعر لازم أرقام")))</f>
        <v>OK</v>
      </c>
      <c r="X298" s="6" t="str">
        <f aca="false">IF(B298="","",B298&amp;" "&amp;C298&amp;" "&amp;D298&amp;" "&amp;E298&amp;" "&amp;F298&amp;" "&amp;G298&amp;" "&amp;I298&amp;" "&amp;L298&amp;" "&amp;M298&amp;" سعر "&amp;H298&amp;" جنيه "&amp;U298)</f>
        <v>Volvo فولفو XC60 فولفو XC60 2015 مستعمل SUV أوتوماتيك بنزين سعر 1500000 جنيه تكييف، زجاج كهربائي، قفل مركزي، ABS، مرايات كهربائية، حساسات ركن خلفية، جنوط ألومنيوم، تحكم في الثبات ESP، مقاعد كهربائية، إضاءة LED</v>
      </c>
    </row>
    <row r="299" customFormat="false" ht="46.25" hidden="false" customHeight="false" outlineLevel="0" collapsed="false">
      <c r="A299" s="6" t="s">
        <v>1039</v>
      </c>
      <c r="B299" s="7" t="s">
        <v>1040</v>
      </c>
      <c r="C299" s="6" t="str">
        <f aca="false">IF(B299="","",IFERROR(INDEX(Lists!$K$2:$K$60,MATCH(B299,Lists!$J$2:$J$60,0)),""))</f>
        <v>لاند روفر</v>
      </c>
      <c r="D299" s="7" t="s">
        <v>1041</v>
      </c>
      <c r="E299" s="7" t="s">
        <v>1042</v>
      </c>
      <c r="F299" s="7" t="n">
        <v>2013</v>
      </c>
      <c r="G299" s="7" t="s">
        <v>249</v>
      </c>
      <c r="H299" s="8" t="n">
        <v>1500000</v>
      </c>
      <c r="I299" s="7" t="s">
        <v>105</v>
      </c>
      <c r="J299" s="9" t="n">
        <v>2000</v>
      </c>
      <c r="K299" s="7" t="n">
        <v>240</v>
      </c>
      <c r="L299" s="7" t="s">
        <v>78</v>
      </c>
      <c r="M299" s="7" t="s">
        <v>79</v>
      </c>
      <c r="N299" s="7" t="n">
        <v>9.5</v>
      </c>
      <c r="O299" s="7" t="n">
        <v>5</v>
      </c>
      <c r="P299" s="7" t="s">
        <v>81</v>
      </c>
      <c r="Q299" s="7" t="s">
        <v>80</v>
      </c>
      <c r="R299" s="7" t="s">
        <v>81</v>
      </c>
      <c r="S299" s="7" t="s">
        <v>81</v>
      </c>
      <c r="T299" s="7" t="s">
        <v>81</v>
      </c>
      <c r="U299" s="7" t="s">
        <v>840</v>
      </c>
      <c r="V299" s="7" t="s">
        <v>266</v>
      </c>
      <c r="W299" s="6" t="str">
        <f aca="false">IF(COUNTA(B299:V299)=0,"",IF(OR(B299="",C299="",D299="",F299="",G299="",H299="",I299="",L299="",M299=""),"ناقص",IF(AND(ISNUMBER(F299),ISNUMBER(H299)),"OK","السنة/السعر لازم أرقام")))</f>
        <v>OK</v>
      </c>
      <c r="X299" s="6" t="str">
        <f aca="false">IF(B299="","",B299&amp;" "&amp;C299&amp;" "&amp;D299&amp;" "&amp;E299&amp;" "&amp;F299&amp;" "&amp;G299&amp;" "&amp;I299&amp;" "&amp;L299&amp;" "&amp;M299&amp;" سعر "&amp;H299&amp;" جنيه "&amp;U299)</f>
        <v>Land Rover لاند روفر Range Rover Evoque لاند روفر رنج روفر إيفوك 2013 مستعمل كروس أوفر أوتوماتيك بنزين سعر 1500000 جنيه تكييف، زجاج كهربائي، قفل مركزي، ABS، مرايات كهربائية، حساسات ركن خلفية، مقاعد كهربائية، إضاءة LED</v>
      </c>
    </row>
    <row r="300" customFormat="false" ht="46.25" hidden="false" customHeight="false" outlineLevel="0" collapsed="false">
      <c r="A300" s="6" t="s">
        <v>1043</v>
      </c>
      <c r="B300" s="7" t="s">
        <v>1040</v>
      </c>
      <c r="C300" s="6" t="str">
        <f aca="false">IF(B300="","",IFERROR(INDEX(Lists!$K$2:$K$60,MATCH(B300,Lists!$J$2:$J$60,0)),""))</f>
        <v>لاند روفر</v>
      </c>
      <c r="D300" s="7" t="s">
        <v>1044</v>
      </c>
      <c r="E300" s="7" t="s">
        <v>1045</v>
      </c>
      <c r="F300" s="7" t="n">
        <v>2016</v>
      </c>
      <c r="G300" s="7" t="s">
        <v>249</v>
      </c>
      <c r="H300" s="8" t="n">
        <v>2000000</v>
      </c>
      <c r="I300" s="7" t="s">
        <v>113</v>
      </c>
      <c r="J300" s="9" t="n">
        <v>2000</v>
      </c>
      <c r="K300" s="7" t="n">
        <v>240</v>
      </c>
      <c r="L300" s="7" t="s">
        <v>78</v>
      </c>
      <c r="M300" s="7" t="s">
        <v>79</v>
      </c>
      <c r="N300" s="7" t="n">
        <v>10</v>
      </c>
      <c r="O300" s="7" t="n">
        <v>7</v>
      </c>
      <c r="P300" s="7" t="s">
        <v>81</v>
      </c>
      <c r="Q300" s="7" t="s">
        <v>81</v>
      </c>
      <c r="R300" s="7" t="s">
        <v>81</v>
      </c>
      <c r="S300" s="7" t="s">
        <v>81</v>
      </c>
      <c r="T300" s="7" t="s">
        <v>81</v>
      </c>
      <c r="U300" s="7" t="s">
        <v>299</v>
      </c>
      <c r="V300" s="7" t="s">
        <v>266</v>
      </c>
      <c r="W300" s="6" t="str">
        <f aca="false">IF(COUNTA(B300:V300)=0,"",IF(OR(B300="",C300="",D300="",F300="",G300="",H300="",I300="",L300="",M300=""),"ناقص",IF(AND(ISNUMBER(F300),ISNUMBER(H300)),"OK","السنة/السعر لازم أرقام")))</f>
        <v>OK</v>
      </c>
      <c r="X300" s="6" t="str">
        <f aca="false">IF(B300="","",B300&amp;" "&amp;C300&amp;" "&amp;D300&amp;" "&amp;E300&amp;" "&amp;F300&amp;" "&amp;G300&amp;" "&amp;I300&amp;" "&amp;L300&amp;" "&amp;M300&amp;" سعر "&amp;H300&amp;" جنيه "&amp;U300)</f>
        <v>Land Rover لاند روفر Discovery Sport لاند روفر ديسكفري سبورت 2016 مستعمل SUV أوتوماتيك بنزين سعر 2000000 جنيه تكييف، زجاج كهربائي، قفل مركزي، ABS، مرايات كهربائية، حساسات ركن خلفية، جنوط ألومنيوم، تحكم في الثبات ESP، مقاعد كهربائية، إضاءة LED</v>
      </c>
    </row>
    <row r="301" customFormat="false" ht="35.05" hidden="false" customHeight="false" outlineLevel="0" collapsed="false">
      <c r="A301" s="6" t="s">
        <v>1046</v>
      </c>
      <c r="B301" s="7" t="s">
        <v>1047</v>
      </c>
      <c r="C301" s="6" t="str">
        <f aca="false">IF(B301="","",IFERROR(INDEX(Lists!$K$2:$K$60,MATCH(B301,Lists!$J$2:$J$60,0)),""))</f>
        <v>سوبارو</v>
      </c>
      <c r="D301" s="7" t="s">
        <v>1048</v>
      </c>
      <c r="E301" s="7" t="s">
        <v>1049</v>
      </c>
      <c r="F301" s="7" t="n">
        <v>2014</v>
      </c>
      <c r="G301" s="7" t="s">
        <v>249</v>
      </c>
      <c r="H301" s="8" t="n">
        <v>900000</v>
      </c>
      <c r="I301" s="7" t="s">
        <v>113</v>
      </c>
      <c r="J301" s="9" t="n">
        <v>2000</v>
      </c>
      <c r="K301" s="7" t="n">
        <v>150</v>
      </c>
      <c r="L301" s="7" t="s">
        <v>230</v>
      </c>
      <c r="M301" s="7" t="s">
        <v>79</v>
      </c>
      <c r="N301" s="7" t="n">
        <v>8.5</v>
      </c>
      <c r="O301" s="7" t="n">
        <v>5</v>
      </c>
      <c r="P301" s="7" t="s">
        <v>81</v>
      </c>
      <c r="Q301" s="7" t="s">
        <v>80</v>
      </c>
      <c r="R301" s="7" t="s">
        <v>81</v>
      </c>
      <c r="S301" s="7" t="s">
        <v>81</v>
      </c>
      <c r="T301" s="7" t="s">
        <v>81</v>
      </c>
      <c r="U301" s="7" t="s">
        <v>148</v>
      </c>
      <c r="V301" s="7" t="s">
        <v>266</v>
      </c>
      <c r="W301" s="6" t="str">
        <f aca="false">IF(COUNTA(B301:V301)=0,"",IF(OR(B301="",C301="",D301="",F301="",G301="",H301="",I301="",L301="",M301=""),"ناقص",IF(AND(ISNUMBER(F301),ISNUMBER(H301)),"OK","السنة/السعر لازم أرقام")))</f>
        <v>OK</v>
      </c>
      <c r="X301" s="6" t="str">
        <f aca="false">IF(B301="","",B301&amp;" "&amp;C301&amp;" "&amp;D301&amp;" "&amp;E301&amp;" "&amp;F301&amp;" "&amp;G301&amp;" "&amp;I301&amp;" "&amp;L301&amp;" "&amp;M301&amp;" سعر "&amp;H301&amp;" جنيه "&amp;U301)</f>
        <v>Subaru سوبارو Forester سوبارو فورستر 2014 مستعمل SUV CVT بنزين سعر 900000 جنيه تكييف، زجاج كهربائي، قفل مركزي، ABS، مرايات كهربائية، حساسات ركن خلفية، جنوط ألومنيوم، تحكم في الثبات ESP</v>
      </c>
    </row>
  </sheetData>
  <autoFilter ref="A1:X301"/>
  <conditionalFormatting sqref="W2:W301">
    <cfRule type="expression" priority="2" aboveAverage="0" equalAverage="0" bottom="0" percent="0" rank="0" text="" dxfId="5">
      <formula>W2="OK"</formula>
    </cfRule>
    <cfRule type="expression" priority="3" aboveAverage="0" equalAverage="0" bottom="0" percent="0" rank="0" text="" dxfId="6">
      <formula>AND(W2&lt;&gt;"",W2&lt;&gt;"OK")</formula>
    </cfRule>
  </conditionalFormatting>
  <dataValidations count="16">
    <dataValidation allowBlank="true" error="اختار من القائمة المنسدلة." errorStyle="stop" errorTitle="قيمة غير مسموحة" operator="between" showDropDown="false" showErrorMessage="true" showInputMessage="false" sqref="B2:B301" type="list">
      <formula1>Lists!$J$2:$J$60</formula1>
      <formula2>0</formula2>
    </dataValidation>
    <dataValidation allowBlank="true" error="اختار من القائمة المنسدلة." errorStyle="stop" errorTitle="قيمة غير مسموحة" operator="between" showDropDown="false" showErrorMessage="true" showInputMessage="false" sqref="G2:G301" type="list">
      <formula1>Lists!$A$2:$A$3</formula1>
      <formula2>0</formula2>
    </dataValidation>
    <dataValidation allowBlank="true" error="اختار من القائمة المنسدلة." errorStyle="stop" errorTitle="قيمة غير مسموحة" operator="between" showDropDown="false" showErrorMessage="true" showInputMessage="false" sqref="I2:I301" type="list">
      <formula1>Lists!$B$2:$B$9</formula1>
      <formula2>0</formula2>
    </dataValidation>
    <dataValidation allowBlank="true" error="اختار من القائمة المنسدلة." errorStyle="stop" errorTitle="قيمة غير مسموحة" operator="between" showDropDown="false" showErrorMessage="true" showInputMessage="false" sqref="L2:L301" type="list">
      <formula1>Lists!$C$2:$C$5</formula1>
      <formula2>0</formula2>
    </dataValidation>
    <dataValidation allowBlank="true" error="اختار من القائمة المنسدلة." errorStyle="stop" errorTitle="قيمة غير مسموحة" operator="between" showDropDown="false" showErrorMessage="true" showInputMessage="false" sqref="M2:M301" type="list">
      <formula1>Lists!$D$2:$D$6</formula1>
      <formula2>0</formula2>
    </dataValidation>
    <dataValidation allowBlank="true" error="اختار من القائمة المنسدلة." errorStyle="stop" errorTitle="قيمة غير مسموحة" operator="between" showDropDown="false" showErrorMessage="true" showInputMessage="false" sqref="P2:P301" type="list">
      <formula1>Lists!$E$2:$E$3</formula1>
      <formula2>0</formula2>
    </dataValidation>
    <dataValidation allowBlank="true" error="اختار من القائمة المنسدلة." errorStyle="stop" errorTitle="قيمة غير مسموحة" operator="between" showDropDown="false" showErrorMessage="true" showInputMessage="false" sqref="Q2:Q301" type="list">
      <formula1>Lists!$E$2:$E$3</formula1>
      <formula2>0</formula2>
    </dataValidation>
    <dataValidation allowBlank="true" error="اختار من القائمة المنسدلة." errorStyle="stop" errorTitle="قيمة غير مسموحة" operator="between" showDropDown="false" showErrorMessage="true" showInputMessage="false" sqref="R2:R301" type="list">
      <formula1>Lists!$E$2:$E$3</formula1>
      <formula2>0</formula2>
    </dataValidation>
    <dataValidation allowBlank="true" error="اختار من القائمة المنسدلة." errorStyle="stop" errorTitle="قيمة غير مسموحة" operator="between" showDropDown="false" showErrorMessage="true" showInputMessage="false" sqref="S2:S301" type="list">
      <formula1>Lists!$E$2:$E$3</formula1>
      <formula2>0</formula2>
    </dataValidation>
    <dataValidation allowBlank="true" error="اختار من القائمة المنسدلة." errorStyle="stop" errorTitle="قيمة غير مسموحة" operator="between" showDropDown="false" showErrorMessage="true" showInputMessage="false" sqref="T2:T301" type="list">
      <formula1>Lists!$E$2:$E$3</formula1>
      <formula2>0</formula2>
    </dataValidation>
    <dataValidation allowBlank="true" error="السنة رقم بين 1990 و 2035" errorStyle="stop" operator="between" showDropDown="false" showErrorMessage="true" showInputMessage="false" sqref="F2:F301" type="whole">
      <formula1>1990</formula1>
      <formula2>2035</formula2>
    </dataValidation>
    <dataValidation allowBlank="true" error="سعة المحرك بالسي سي: رقم فقط (مثال 1600). للكهرباء اكتب 0" errorStyle="stop" operator="between" showDropDown="false" showErrorMessage="true" showInputMessage="false" sqref="J2:J301" type="whole">
      <formula1>0</formula1>
      <formula2>8000</formula2>
    </dataValidation>
    <dataValidation allowBlank="true" error="القوة بالحصان: رقم فقط" errorStyle="stop" operator="between" showDropDown="false" showErrorMessage="true" showInputMessage="false" sqref="K2:K301" type="whole">
      <formula1>30</formula1>
      <formula2>1500</formula2>
    </dataValidation>
    <dataValidation allowBlank="true" error="عدد المقاعد رقم 2-9" errorStyle="stop" operator="between" showDropDown="false" showErrorMessage="true" showInputMessage="false" sqref="O2:O301" type="whole">
      <formula1>2</formula1>
      <formula2>9</formula2>
    </dataValidation>
    <dataValidation allowBlank="true" error="السعر رقم فقط بالجنيه بدون فواصل أو كلمة جنيه" errorStyle="stop" operator="greaterThanOrEqual" showDropDown="false" showErrorMessage="true" showInputMessage="false" sqref="H2:H301" type="decimal">
      <formula1>0</formula1>
      <formula2>0</formula2>
    </dataValidation>
    <dataValidation allowBlank="true" error="الاستهلاك رقم (لتر/100كم). للكهرباء اكتب 0" errorStyle="stop" operator="greaterThanOrEqual" showDropDown="false" showErrorMessage="true" showInputMessage="false" sqref="N2:N30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18"/>
    <col collapsed="false" customWidth="true" hidden="false" outlineLevel="0" max="5" min="4" style="0" width="36"/>
    <col collapsed="false" customWidth="true" hidden="false" outlineLevel="0" max="6" min="6" style="0" width="18"/>
    <col collapsed="false" customWidth="true" hidden="false" outlineLevel="0" max="7" min="7" style="0" width="36"/>
    <col collapsed="false" customWidth="true" hidden="false" outlineLevel="0" max="8" min="8" style="0" width="40"/>
    <col collapsed="false" customWidth="true" hidden="false" outlineLevel="0" max="9" min="9" style="0" width="10"/>
    <col collapsed="false" customWidth="true" hidden="false" outlineLevel="0" max="10" min="10" style="0" width="12"/>
    <col collapsed="false" customWidth="true" hidden="false" outlineLevel="0" max="12" min="11" style="0" width="13"/>
    <col collapsed="false" customWidth="true" hidden="false" outlineLevel="0" max="13" min="13" style="0" width="14"/>
    <col collapsed="false" customWidth="true" hidden="false" outlineLevel="0" max="14" min="14" style="0" width="24"/>
    <col collapsed="false" customWidth="true" hidden="false" outlineLevel="0" max="15" min="15" style="0" width="16"/>
    <col collapsed="false" customWidth="true" hidden="false" outlineLevel="0" max="16" min="16" style="0" width="50"/>
  </cols>
  <sheetData>
    <row r="1" customFormat="false" ht="31.5" hidden="false" customHeight="true" outlineLevel="0" collapsed="false">
      <c r="A1" s="5" t="s">
        <v>1050</v>
      </c>
      <c r="B1" s="5" t="s">
        <v>1051</v>
      </c>
      <c r="C1" s="5" t="s">
        <v>1052</v>
      </c>
      <c r="D1" s="5" t="s">
        <v>38</v>
      </c>
      <c r="E1" s="5" t="s">
        <v>40</v>
      </c>
      <c r="F1" s="5" t="s">
        <v>42</v>
      </c>
      <c r="G1" s="5" t="s">
        <v>1053</v>
      </c>
      <c r="H1" s="5" t="s">
        <v>1054</v>
      </c>
      <c r="I1" s="5" t="s">
        <v>1055</v>
      </c>
      <c r="J1" s="5" t="s">
        <v>1056</v>
      </c>
      <c r="K1" s="5" t="s">
        <v>1057</v>
      </c>
      <c r="L1" s="5" t="s">
        <v>1058</v>
      </c>
      <c r="M1" s="5" t="s">
        <v>50</v>
      </c>
      <c r="N1" s="5" t="s">
        <v>69</v>
      </c>
      <c r="O1" s="5" t="s">
        <v>70</v>
      </c>
      <c r="P1" s="5" t="s">
        <v>71</v>
      </c>
    </row>
    <row r="2" customFormat="false" ht="35.05" hidden="false" customHeight="false" outlineLevel="0" collapsed="false">
      <c r="A2" s="10" t="s">
        <v>1059</v>
      </c>
      <c r="B2" s="11" t="s">
        <v>1060</v>
      </c>
      <c r="C2" s="11" t="s">
        <v>1061</v>
      </c>
      <c r="D2" s="11" t="s">
        <v>1062</v>
      </c>
      <c r="E2" s="11" t="s">
        <v>1063</v>
      </c>
      <c r="F2" s="11" t="s">
        <v>1064</v>
      </c>
      <c r="G2" s="11" t="s">
        <v>1065</v>
      </c>
      <c r="H2" s="11" t="s">
        <v>1066</v>
      </c>
      <c r="I2" s="11" t="s">
        <v>1067</v>
      </c>
      <c r="J2" s="11" t="s">
        <v>1068</v>
      </c>
      <c r="K2" s="12" t="n">
        <v>600</v>
      </c>
      <c r="L2" s="12" t="n">
        <v>3500</v>
      </c>
      <c r="M2" s="11" t="s">
        <v>1069</v>
      </c>
      <c r="N2" s="11" t="s">
        <v>1070</v>
      </c>
      <c r="O2" s="10" t="str">
        <f aca="false">IF(COUNTA(B2:N2)=0,"",IF(OR(B2="",C2="",D2="",E2="",G2="",H2="",I2="",J2=""),"ناقص","OK"))</f>
        <v>OK</v>
      </c>
      <c r="P2" s="10" t="str">
        <f aca="false">IF(D2="","",B2&amp;" "&amp;C2&amp;" "&amp;D2&amp;" "&amp;E2&amp;" "&amp;F2&amp;" "&amp;G2)</f>
        <v>محرك البوجيهات / الكويلات المحرك بيرتعش وهو واقف رعشة، هزة، المحرك بيهز، بيرتعش، عدم انتظام، ملل لمبة المحرك بوجيهات أو كويلات تالفة أو تسريب هواء أو حساس</v>
      </c>
    </row>
    <row r="3" customFormat="false" ht="35.05" hidden="false" customHeight="false" outlineLevel="0" collapsed="false">
      <c r="A3" s="10" t="s">
        <v>1071</v>
      </c>
      <c r="B3" s="11" t="s">
        <v>1060</v>
      </c>
      <c r="C3" s="11" t="s">
        <v>1072</v>
      </c>
      <c r="D3" s="11" t="s">
        <v>1073</v>
      </c>
      <c r="E3" s="11" t="s">
        <v>1074</v>
      </c>
      <c r="F3" s="11" t="s">
        <v>1075</v>
      </c>
      <c r="G3" s="11" t="s">
        <v>1076</v>
      </c>
      <c r="H3" s="11" t="s">
        <v>1077</v>
      </c>
      <c r="I3" s="11" t="s">
        <v>1067</v>
      </c>
      <c r="J3" s="11" t="s">
        <v>1068</v>
      </c>
      <c r="K3" s="12" t="n">
        <v>2000</v>
      </c>
      <c r="L3" s="12" t="n">
        <v>30000</v>
      </c>
      <c r="M3" s="11" t="s">
        <v>1069</v>
      </c>
      <c r="N3" s="11" t="s">
        <v>1070</v>
      </c>
      <c r="O3" s="10" t="str">
        <f aca="false">IF(COUNTA(B3:N3)=0,"",IF(OR(B3="",C3="",D3="",E3="",G3="",H3="",I3="",J3=""),"ناقص","OK"))</f>
        <v>OK</v>
      </c>
      <c r="P3" s="10" t="str">
        <f aca="false">IF(D3="","",B3&amp;" "&amp;C3&amp;" "&amp;D3&amp;" "&amp;E3&amp;" "&amp;F3&amp;" "&amp;G3)</f>
        <v>محرك الشنابر / جوانات الصمامات العربية بتاكل زيت ودخان أزرق من الشكمان دخان أزرق، بتاكل زيت، زيت بيقل، شنابر، استهلاك زيت لا توجد لمبة تآكل شنابر أو جوانات صمامات أو تسريب</v>
      </c>
    </row>
    <row r="4" customFormat="false" ht="35.05" hidden="false" customHeight="false" outlineLevel="0" collapsed="false">
      <c r="A4" s="10" t="s">
        <v>1078</v>
      </c>
      <c r="B4" s="11" t="s">
        <v>1060</v>
      </c>
      <c r="C4" s="11" t="s">
        <v>1079</v>
      </c>
      <c r="D4" s="11" t="s">
        <v>1080</v>
      </c>
      <c r="E4" s="11" t="s">
        <v>1081</v>
      </c>
      <c r="F4" s="11" t="s">
        <v>1075</v>
      </c>
      <c r="G4" s="11" t="s">
        <v>1082</v>
      </c>
      <c r="H4" s="11" t="s">
        <v>1083</v>
      </c>
      <c r="I4" s="11" t="s">
        <v>1067</v>
      </c>
      <c r="J4" s="11" t="s">
        <v>1068</v>
      </c>
      <c r="K4" s="12" t="n">
        <v>300</v>
      </c>
      <c r="L4" s="12" t="n">
        <v>6000</v>
      </c>
      <c r="M4" s="11" t="s">
        <v>1069</v>
      </c>
      <c r="N4" s="11" t="s">
        <v>1070</v>
      </c>
      <c r="O4" s="10" t="str">
        <f aca="false">IF(COUNTA(B4:N4)=0,"",IF(OR(B4="",C4="",D4="",E4="",G4="",H4="",I4="",J4=""),"ناقص","OK"))</f>
        <v>OK</v>
      </c>
      <c r="P4" s="10" t="str">
        <f aca="false">IF(D4="","",B4&amp;" "&amp;C4&amp;" "&amp;D4&amp;" "&amp;E4&amp;" "&amp;F4&amp;" "&amp;G4)</f>
        <v>محرك الرافعات / الزيت صوت طقطقة (تكتكة) من المحرك تكتكة، طقطقة، تاكتك، رافعات، صوت المحرك لا توجد لمبة زيت قليل أو لزج أو رافعات صمامات متآكلة</v>
      </c>
    </row>
    <row r="5" customFormat="false" ht="35.05" hidden="false" customHeight="false" outlineLevel="0" collapsed="false">
      <c r="A5" s="10" t="s">
        <v>1084</v>
      </c>
      <c r="B5" s="11" t="s">
        <v>1060</v>
      </c>
      <c r="C5" s="11" t="s">
        <v>1085</v>
      </c>
      <c r="D5" s="11" t="s">
        <v>1086</v>
      </c>
      <c r="E5" s="11" t="s">
        <v>1087</v>
      </c>
      <c r="F5" s="11" t="s">
        <v>1075</v>
      </c>
      <c r="G5" s="11" t="s">
        <v>1088</v>
      </c>
      <c r="H5" s="11" t="s">
        <v>1089</v>
      </c>
      <c r="I5" s="11" t="s">
        <v>1067</v>
      </c>
      <c r="J5" s="11" t="s">
        <v>1068</v>
      </c>
      <c r="K5" s="12" t="n">
        <v>300</v>
      </c>
      <c r="L5" s="12" t="n">
        <v>6000</v>
      </c>
      <c r="M5" s="11" t="s">
        <v>1069</v>
      </c>
      <c r="N5" s="11" t="s">
        <v>1070</v>
      </c>
      <c r="O5" s="10" t="str">
        <f aca="false">IF(COUNTA(B5:N5)=0,"",IF(OR(B5="",C5="",D5="",E5="",G5="",H5="",I5="",J5=""),"ناقص","OK"))</f>
        <v>OK</v>
      </c>
      <c r="P5" s="10" t="str">
        <f aca="false">IF(D5="","",B5&amp;" "&amp;C5&amp;" "&amp;D5&amp;" "&amp;E5&amp;" "&amp;F5&amp;" "&amp;G5)</f>
        <v>محرك فلتر الهواء / الحساسات العربية تقيلة ومفيهاش سحب تقيلة، ضعف سحب، مفيش سحب، مبتجيبش سرعة، بطيئة لا توجد لمبة فلتر بنزين أو هواء مسدود أو كتالايزر مسدود أو حساس تالف</v>
      </c>
    </row>
    <row r="6" customFormat="false" ht="35.05" hidden="false" customHeight="false" outlineLevel="0" collapsed="false">
      <c r="A6" s="10" t="s">
        <v>1090</v>
      </c>
      <c r="B6" s="11" t="s">
        <v>1060</v>
      </c>
      <c r="C6" s="11" t="s">
        <v>1091</v>
      </c>
      <c r="D6" s="11" t="s">
        <v>1092</v>
      </c>
      <c r="E6" s="11" t="s">
        <v>1093</v>
      </c>
      <c r="F6" s="11" t="s">
        <v>1075</v>
      </c>
      <c r="G6" s="11" t="s">
        <v>1094</v>
      </c>
      <c r="H6" s="11" t="s">
        <v>1095</v>
      </c>
      <c r="I6" s="11" t="s">
        <v>1096</v>
      </c>
      <c r="J6" s="11" t="s">
        <v>81</v>
      </c>
      <c r="K6" s="12" t="n">
        <v>300</v>
      </c>
      <c r="L6" s="12" t="n">
        <v>3500</v>
      </c>
      <c r="M6" s="11" t="s">
        <v>1069</v>
      </c>
      <c r="N6" s="11" t="s">
        <v>1097</v>
      </c>
      <c r="O6" s="10" t="str">
        <f aca="false">IF(COUNTA(B6:N6)=0,"",IF(OR(B6="",C6="",D6="",E6="",G6="",H6="",I6="",J6=""),"ناقص","OK"))</f>
        <v>OK</v>
      </c>
      <c r="P6" s="10" t="str">
        <f aca="false">IF(D6="","",B6&amp;" "&amp;C6&amp;" "&amp;D6&amp;" "&amp;E6&amp;" "&amp;F6&amp;" "&amp;G6)</f>
        <v>محرك البوجيهات / البطارية صعوبة في التشغيل الصبح صعب تدور الصبح، لازم أحاول كذا مرة، تشغيل على البارد لا توجد لمبة بوجيهات ضعيفة أو بطارية ضعيفة أو حساس حرارة</v>
      </c>
    </row>
    <row r="7" customFormat="false" ht="35.05" hidden="false" customHeight="false" outlineLevel="0" collapsed="false">
      <c r="A7" s="10" t="s">
        <v>1098</v>
      </c>
      <c r="B7" s="11" t="s">
        <v>1060</v>
      </c>
      <c r="C7" s="11" t="s">
        <v>1099</v>
      </c>
      <c r="D7" s="11" t="s">
        <v>1100</v>
      </c>
      <c r="E7" s="11" t="s">
        <v>1101</v>
      </c>
      <c r="F7" s="11" t="s">
        <v>1102</v>
      </c>
      <c r="G7" s="11" t="s">
        <v>1103</v>
      </c>
      <c r="H7" s="11" t="s">
        <v>1104</v>
      </c>
      <c r="I7" s="11" t="s">
        <v>1067</v>
      </c>
      <c r="J7" s="11" t="s">
        <v>1068</v>
      </c>
      <c r="K7" s="12" t="n">
        <v>300</v>
      </c>
      <c r="L7" s="12" t="n">
        <v>4000</v>
      </c>
      <c r="M7" s="11" t="s">
        <v>1069</v>
      </c>
      <c r="N7" s="11" t="s">
        <v>1070</v>
      </c>
      <c r="O7" s="10" t="str">
        <f aca="false">IF(COUNTA(B7:N7)=0,"",IF(OR(B7="",C7="",D7="",E7="",G7="",H7="",I7="",J7=""),"ناقص","OK"))</f>
        <v>OK</v>
      </c>
      <c r="P7" s="10" t="str">
        <f aca="false">IF(D7="","",B7&amp;" "&amp;C7&amp;" "&amp;D7&amp;" "&amp;E7&amp;" "&amp;F7&amp;" "&amp;G7)</f>
        <v>محرك جوان غطاء الصمامات / الكارتير بقع زيت تحت العربية بقع زيت، بتنقط زيت، تسريب زيت لمبة الزيت تلف جوان غطاء الصمامات أو الكارتير</v>
      </c>
    </row>
    <row r="8" customFormat="false" ht="46.25" hidden="false" customHeight="false" outlineLevel="0" collapsed="false">
      <c r="A8" s="10" t="s">
        <v>1105</v>
      </c>
      <c r="B8" s="11" t="s">
        <v>1060</v>
      </c>
      <c r="C8" s="11" t="s">
        <v>1106</v>
      </c>
      <c r="D8" s="11" t="s">
        <v>1107</v>
      </c>
      <c r="E8" s="11" t="s">
        <v>1108</v>
      </c>
      <c r="F8" s="11" t="s">
        <v>1075</v>
      </c>
      <c r="G8" s="11" t="s">
        <v>1109</v>
      </c>
      <c r="H8" s="11" t="s">
        <v>1110</v>
      </c>
      <c r="I8" s="11" t="s">
        <v>1067</v>
      </c>
      <c r="J8" s="11" t="s">
        <v>1068</v>
      </c>
      <c r="K8" s="12" t="n">
        <v>1500</v>
      </c>
      <c r="L8" s="12" t="n">
        <v>6000</v>
      </c>
      <c r="M8" s="11" t="s">
        <v>1069</v>
      </c>
      <c r="N8" s="11" t="s">
        <v>1070</v>
      </c>
      <c r="O8" s="10" t="str">
        <f aca="false">IF(COUNTA(B8:N8)=0,"",IF(OR(B8="",C8="",D8="",E8="",G8="",H8="",I8="",J8=""),"ناقص","OK"))</f>
        <v>OK</v>
      </c>
      <c r="P8" s="10" t="str">
        <f aca="false">IF(D8="","",B8&amp;" "&amp;C8&amp;" "&amp;D8&amp;" "&amp;E8&amp;" "&amp;F8&amp;" "&amp;G8)</f>
        <v>محرك سير التايمنج صوت احتكاك أو تكتكة من جنب المحرك وعداد العربية عدى 100 ألف من غير تغيير التايمنج تايمنج، سير التايمنج، صوت من الجنب، عدى 100 ألف، تكتكة لا توجد لمبة سير التايمنج متهالك أو الشداد ضعيف</v>
      </c>
    </row>
    <row r="9" customFormat="false" ht="35.05" hidden="false" customHeight="false" outlineLevel="0" collapsed="false">
      <c r="A9" s="10" t="s">
        <v>1111</v>
      </c>
      <c r="B9" s="11" t="s">
        <v>1060</v>
      </c>
      <c r="C9" s="11" t="s">
        <v>1112</v>
      </c>
      <c r="D9" s="11" t="s">
        <v>1113</v>
      </c>
      <c r="E9" s="11" t="s">
        <v>1114</v>
      </c>
      <c r="F9" s="11" t="s">
        <v>1075</v>
      </c>
      <c r="G9" s="11" t="s">
        <v>1115</v>
      </c>
      <c r="H9" s="11" t="s">
        <v>1116</v>
      </c>
      <c r="I9" s="11" t="s">
        <v>1117</v>
      </c>
      <c r="J9" s="11" t="s">
        <v>80</v>
      </c>
      <c r="K9" s="12" t="n">
        <v>3000</v>
      </c>
      <c r="L9" s="12" t="n">
        <v>30000</v>
      </c>
      <c r="M9" s="11" t="s">
        <v>1069</v>
      </c>
      <c r="N9" s="11" t="s">
        <v>1118</v>
      </c>
      <c r="O9" s="10" t="str">
        <f aca="false">IF(COUNTA(B9:N9)=0,"",IF(OR(B9="",C9="",D9="",E9="",G9="",H9="",I9="",J9=""),"ناقص","OK"))</f>
        <v>OK</v>
      </c>
      <c r="P9" s="10" t="str">
        <f aca="false">IF(D9="","",B9&amp;" "&amp;C9&amp;" "&amp;D9&amp;" "&amp;E9&amp;" "&amp;F9&amp;" "&amp;G9)</f>
        <v>محرك سير التايمنج المقطوع المحرك وقف فجأة وبعدها مش بيدور وقف فجأة، مش بيدور، السير اتقطع، فرقعة لا توجد لمبة قطع سير التايمنج وقد يتلف الصمامات</v>
      </c>
    </row>
    <row r="10" customFormat="false" ht="35.05" hidden="false" customHeight="false" outlineLevel="0" collapsed="false">
      <c r="A10" s="10" t="s">
        <v>1119</v>
      </c>
      <c r="B10" s="11" t="s">
        <v>1060</v>
      </c>
      <c r="C10" s="11" t="s">
        <v>1120</v>
      </c>
      <c r="D10" s="11" t="s">
        <v>1121</v>
      </c>
      <c r="E10" s="11" t="s">
        <v>1122</v>
      </c>
      <c r="F10" s="11" t="s">
        <v>1064</v>
      </c>
      <c r="G10" s="11" t="s">
        <v>1123</v>
      </c>
      <c r="H10" s="11" t="s">
        <v>1124</v>
      </c>
      <c r="I10" s="11" t="s">
        <v>1067</v>
      </c>
      <c r="J10" s="11" t="s">
        <v>1068</v>
      </c>
      <c r="K10" s="12" t="n">
        <v>4000</v>
      </c>
      <c r="L10" s="12" t="n">
        <v>15000</v>
      </c>
      <c r="M10" s="11" t="s">
        <v>1069</v>
      </c>
      <c r="N10" s="11" t="s">
        <v>1070</v>
      </c>
      <c r="O10" s="10" t="str">
        <f aca="false">IF(COUNTA(B10:N10)=0,"",IF(OR(B10="",C10="",D10="",E10="",G10="",H10="",I10="",J10=""),"ناقص","OK"))</f>
        <v>OK</v>
      </c>
      <c r="P10" s="10" t="str">
        <f aca="false">IF(D10="","",B10&amp;" "&amp;C10&amp;" "&amp;D10&amp;" "&amp;E10&amp;" "&amp;F10&amp;" "&amp;G10)</f>
        <v>محرك جنزير التايمنج خشخشة معدنية عند تشغيل المحرك الصبح خشخشة، جنزير، صوت معدني، الصبح، تشغيل بارد لمبة المحرك تمدد جنزير التايمنج أو ضعف الشداد</v>
      </c>
    </row>
    <row r="11" customFormat="false" ht="35.05" hidden="false" customHeight="false" outlineLevel="0" collapsed="false">
      <c r="A11" s="10" t="s">
        <v>1125</v>
      </c>
      <c r="B11" s="11" t="s">
        <v>1060</v>
      </c>
      <c r="C11" s="11" t="s">
        <v>1126</v>
      </c>
      <c r="D11" s="11" t="s">
        <v>1127</v>
      </c>
      <c r="E11" s="11" t="s">
        <v>1128</v>
      </c>
      <c r="F11" s="11" t="s">
        <v>1075</v>
      </c>
      <c r="G11" s="11" t="s">
        <v>1129</v>
      </c>
      <c r="H11" s="11" t="s">
        <v>1130</v>
      </c>
      <c r="I11" s="11" t="s">
        <v>1067</v>
      </c>
      <c r="J11" s="11" t="s">
        <v>1068</v>
      </c>
      <c r="K11" s="12" t="n">
        <v>500</v>
      </c>
      <c r="L11" s="12" t="n">
        <v>2500</v>
      </c>
      <c r="M11" s="11" t="s">
        <v>1069</v>
      </c>
      <c r="N11" s="11" t="s">
        <v>1070</v>
      </c>
      <c r="O11" s="10" t="str">
        <f aca="false">IF(COUNTA(B11:N11)=0,"",IF(OR(B11="",C11="",D11="",E11="",G11="",H11="",I11="",J11=""),"ناقص","OK"))</f>
        <v>OK</v>
      </c>
      <c r="P11" s="10" t="str">
        <f aca="false">IF(D11="","",B11&amp;" "&amp;C11&amp;" "&amp;D11&amp;" "&amp;E11&amp;" "&amp;F11&amp;" "&amp;G11)</f>
        <v>محرك سيل الكرنك الأمامي بقعة زيت أمام المحرك مع ريحة زيت محروق زيت قدام، سيل الكرنك، بقعة زيت، ريحة زيت لا توجد لمبة تلف سيل الكرنك الأمامي</v>
      </c>
    </row>
    <row r="12" customFormat="false" ht="35.05" hidden="false" customHeight="false" outlineLevel="0" collapsed="false">
      <c r="A12" s="10" t="s">
        <v>1131</v>
      </c>
      <c r="B12" s="11" t="s">
        <v>1060</v>
      </c>
      <c r="C12" s="11" t="s">
        <v>1132</v>
      </c>
      <c r="D12" s="11" t="s">
        <v>1133</v>
      </c>
      <c r="E12" s="11" t="s">
        <v>1134</v>
      </c>
      <c r="F12" s="11" t="s">
        <v>1075</v>
      </c>
      <c r="G12" s="11" t="s">
        <v>1135</v>
      </c>
      <c r="H12" s="11" t="s">
        <v>1136</v>
      </c>
      <c r="I12" s="11" t="s">
        <v>1067</v>
      </c>
      <c r="J12" s="11" t="s">
        <v>1068</v>
      </c>
      <c r="K12" s="12" t="n">
        <v>2000</v>
      </c>
      <c r="L12" s="12" t="n">
        <v>7000</v>
      </c>
      <c r="M12" s="11" t="s">
        <v>1069</v>
      </c>
      <c r="N12" s="11" t="s">
        <v>1137</v>
      </c>
      <c r="O12" s="10" t="str">
        <f aca="false">IF(COUNTA(B12:N12)=0,"",IF(OR(B12="",C12="",D12="",E12="",G12="",H12="",I12="",J12=""),"ناقص","OK"))</f>
        <v>OK</v>
      </c>
      <c r="P12" s="10" t="str">
        <f aca="false">IF(D12="","",B12&amp;" "&amp;C12&amp;" "&amp;D12&amp;" "&amp;E12&amp;" "&amp;F12&amp;" "&amp;G12)</f>
        <v>محرك سيل الكرنك الخلفي زيت بيتسرب بين المحرك والجير زيت بين المحرك والجير، تسريب خلفي، دبرياج متزيت لا توجد لمبة تلف سيل الكرنك الخلفي</v>
      </c>
    </row>
    <row r="13" customFormat="false" ht="35.05" hidden="false" customHeight="false" outlineLevel="0" collapsed="false">
      <c r="A13" s="10" t="s">
        <v>1138</v>
      </c>
      <c r="B13" s="11" t="s">
        <v>1060</v>
      </c>
      <c r="C13" s="11" t="s">
        <v>1139</v>
      </c>
      <c r="D13" s="11" t="s">
        <v>1140</v>
      </c>
      <c r="E13" s="11" t="s">
        <v>1141</v>
      </c>
      <c r="F13" s="11" t="s">
        <v>1142</v>
      </c>
      <c r="G13" s="11" t="s">
        <v>1143</v>
      </c>
      <c r="H13" s="11" t="s">
        <v>1144</v>
      </c>
      <c r="I13" s="11" t="s">
        <v>1117</v>
      </c>
      <c r="J13" s="11" t="s">
        <v>80</v>
      </c>
      <c r="K13" s="12" t="n">
        <v>500</v>
      </c>
      <c r="L13" s="12" t="n">
        <v>15000</v>
      </c>
      <c r="M13" s="11" t="s">
        <v>1069</v>
      </c>
      <c r="N13" s="11" t="s">
        <v>1118</v>
      </c>
      <c r="O13" s="10" t="str">
        <f aca="false">IF(COUNTA(B13:N13)=0,"",IF(OR(B13="",C13="",D13="",E13="",G13="",H13="",I13="",J13=""),"ناقص","OK"))</f>
        <v>OK</v>
      </c>
      <c r="P13" s="10" t="str">
        <f aca="false">IF(D13="","",B13&amp;" "&amp;C13&amp;" "&amp;D13&amp;" "&amp;E13&amp;" "&amp;F13&amp;" "&amp;G13)</f>
        <v>محرك ضغط الزيت لمبة الزيت تنور على الرمرمة وتنطفي مع السرعة لمبة الزيت بتنور وتنطفي، ضغط زيت، الرمرمة لمبة ضغط الزيت تآكل بيل المحرك أو زيت خفيف جدًا أو طلمبة ضعيفة</v>
      </c>
    </row>
    <row r="14" customFormat="false" ht="35.05" hidden="false" customHeight="false" outlineLevel="0" collapsed="false">
      <c r="A14" s="10" t="s">
        <v>1145</v>
      </c>
      <c r="B14" s="11" t="s">
        <v>1060</v>
      </c>
      <c r="C14" s="11" t="s">
        <v>1146</v>
      </c>
      <c r="D14" s="11" t="s">
        <v>1147</v>
      </c>
      <c r="E14" s="11" t="s">
        <v>1148</v>
      </c>
      <c r="F14" s="11" t="s">
        <v>1075</v>
      </c>
      <c r="G14" s="11" t="s">
        <v>1149</v>
      </c>
      <c r="H14" s="11" t="s">
        <v>1150</v>
      </c>
      <c r="I14" s="11" t="s">
        <v>1067</v>
      </c>
      <c r="J14" s="11" t="s">
        <v>1068</v>
      </c>
      <c r="K14" s="12" t="n">
        <v>600</v>
      </c>
      <c r="L14" s="12" t="n">
        <v>2500</v>
      </c>
      <c r="M14" s="11" t="s">
        <v>1069</v>
      </c>
      <c r="N14" s="11" t="s">
        <v>1070</v>
      </c>
      <c r="O14" s="10" t="str">
        <f aca="false">IF(COUNTA(B14:N14)=0,"",IF(OR(B14="",C14="",D14="",E14="",G14="",H14="",I14="",J14=""),"ناقص","OK"))</f>
        <v>OK</v>
      </c>
      <c r="P14" s="10" t="str">
        <f aca="false">IF(D14="","",B14&amp;" "&amp;C14&amp;" "&amp;D14&amp;" "&amp;E14&amp;" "&amp;F14&amp;" "&amp;G14)</f>
        <v>محرك الزيت اللزج الزيت أسود وكثيف ولزج بسرعة زيت أسود، زيت تخين، سلاج، لزوجة لا توجد لمبة تأخر تغيير الزيت أو جودة سيئة أو احتراق غير سليم</v>
      </c>
    </row>
    <row r="15" customFormat="false" ht="35.05" hidden="false" customHeight="false" outlineLevel="0" collapsed="false">
      <c r="A15" s="10" t="s">
        <v>1151</v>
      </c>
      <c r="B15" s="11" t="s">
        <v>1060</v>
      </c>
      <c r="C15" s="11" t="s">
        <v>1152</v>
      </c>
      <c r="D15" s="11" t="s">
        <v>1153</v>
      </c>
      <c r="E15" s="11" t="s">
        <v>1154</v>
      </c>
      <c r="F15" s="11" t="s">
        <v>1142</v>
      </c>
      <c r="G15" s="11" t="s">
        <v>1155</v>
      </c>
      <c r="H15" s="11" t="s">
        <v>1156</v>
      </c>
      <c r="I15" s="11" t="s">
        <v>1117</v>
      </c>
      <c r="J15" s="11" t="s">
        <v>80</v>
      </c>
      <c r="K15" s="12" t="n">
        <v>8000</v>
      </c>
      <c r="L15" s="12" t="n">
        <v>40000</v>
      </c>
      <c r="M15" s="11" t="s">
        <v>1069</v>
      </c>
      <c r="N15" s="11" t="s">
        <v>1118</v>
      </c>
      <c r="O15" s="10" t="str">
        <f aca="false">IF(COUNTA(B15:N15)=0,"",IF(OR(B15="",C15="",D15="",E15="",G15="",H15="",I15="",J15=""),"ناقص","OK"))</f>
        <v>OK</v>
      </c>
      <c r="P15" s="10" t="str">
        <f aca="false">IF(D15="","",B15&amp;" "&amp;C15&amp;" "&amp;D15&amp;" "&amp;E15&amp;" "&amp;F15&amp;" "&amp;G15)</f>
        <v>محرك الأذرع والكرنك صوت خبط ثقيل من أسفل المحرك يزيد مع السرعة خبط تقيل، طرق، من تحت المحرك، بيل، خبطة لمبة ضغط الزيت تآكل بيل الأذرع أو الكرنك</v>
      </c>
    </row>
    <row r="16" customFormat="false" ht="35.05" hidden="false" customHeight="false" outlineLevel="0" collapsed="false">
      <c r="A16" s="10" t="s">
        <v>1157</v>
      </c>
      <c r="B16" s="11" t="s">
        <v>1060</v>
      </c>
      <c r="C16" s="11" t="s">
        <v>1158</v>
      </c>
      <c r="D16" s="11" t="s">
        <v>1159</v>
      </c>
      <c r="E16" s="11" t="s">
        <v>1160</v>
      </c>
      <c r="F16" s="11" t="s">
        <v>1075</v>
      </c>
      <c r="G16" s="11" t="s">
        <v>1161</v>
      </c>
      <c r="H16" s="11" t="s">
        <v>1162</v>
      </c>
      <c r="I16" s="11" t="s">
        <v>1067</v>
      </c>
      <c r="J16" s="11" t="s">
        <v>1068</v>
      </c>
      <c r="K16" s="12" t="n">
        <v>800</v>
      </c>
      <c r="L16" s="12" t="n">
        <v>3500</v>
      </c>
      <c r="M16" s="11" t="s">
        <v>1069</v>
      </c>
      <c r="N16" s="11" t="s">
        <v>1070</v>
      </c>
      <c r="O16" s="10" t="str">
        <f aca="false">IF(COUNTA(B16:N16)=0,"",IF(OR(B16="",C16="",D16="",E16="",G16="",H16="",I16="",J16=""),"ناقص","OK"))</f>
        <v>OK</v>
      </c>
      <c r="P16" s="10" t="str">
        <f aca="false">IF(D16="","",B16&amp;" "&amp;C16&amp;" "&amp;D16&amp;" "&amp;E16&amp;" "&amp;F16&amp;" "&amp;G16)</f>
        <v>محرك قاعدة المحرك اهتزاز شديد في الكرسي والدركسيون عند التسارع أو التعشيق قاعدة المحرك، رعشة، خبطة عند التعشيق، قواعد لا توجد لمبة تلف قواعد المحرك المطاطية</v>
      </c>
    </row>
    <row r="17" customFormat="false" ht="35.05" hidden="false" customHeight="false" outlineLevel="0" collapsed="false">
      <c r="A17" s="10" t="s">
        <v>1163</v>
      </c>
      <c r="B17" s="11" t="s">
        <v>1060</v>
      </c>
      <c r="C17" s="11" t="s">
        <v>1164</v>
      </c>
      <c r="D17" s="11" t="s">
        <v>1165</v>
      </c>
      <c r="E17" s="11" t="s">
        <v>1166</v>
      </c>
      <c r="F17" s="11" t="s">
        <v>1064</v>
      </c>
      <c r="G17" s="11" t="s">
        <v>1167</v>
      </c>
      <c r="H17" s="11" t="s">
        <v>1168</v>
      </c>
      <c r="I17" s="11" t="s">
        <v>1067</v>
      </c>
      <c r="J17" s="11" t="s">
        <v>1068</v>
      </c>
      <c r="K17" s="12" t="n">
        <v>3000</v>
      </c>
      <c r="L17" s="12" t="n">
        <v>30000</v>
      </c>
      <c r="M17" s="11" t="s">
        <v>1069</v>
      </c>
      <c r="N17" s="11" t="s">
        <v>1070</v>
      </c>
      <c r="O17" s="10" t="str">
        <f aca="false">IF(COUNTA(B17:N17)=0,"",IF(OR(B17="",C17="",D17="",E17="",G17="",H17="",I17="",J17=""),"ناقص","OK"))</f>
        <v>OK</v>
      </c>
      <c r="P17" s="10" t="str">
        <f aca="false">IF(D17="","",B17&amp;" "&amp;C17&amp;" "&amp;D17&amp;" "&amp;E17&amp;" "&amp;F17&amp;" "&amp;G17)</f>
        <v>محرك الكمبريشن المحرك ضعيف وبيتقطع حتى بعد البوجيهات الجديدة ضعف الكمبريشن، ضغط السلندر، تقطيع، ضعف مستمر لمبة المحرك تآكل الشنابر أو الصمامات أو جوان الراس</v>
      </c>
    </row>
    <row r="18" customFormat="false" ht="41.75" hidden="false" customHeight="false" outlineLevel="0" collapsed="false">
      <c r="A18" s="10" t="s">
        <v>1169</v>
      </c>
      <c r="B18" s="11" t="s">
        <v>1060</v>
      </c>
      <c r="C18" s="11" t="s">
        <v>1170</v>
      </c>
      <c r="D18" s="11" t="s">
        <v>1171</v>
      </c>
      <c r="E18" s="11" t="s">
        <v>1172</v>
      </c>
      <c r="F18" s="11" t="s">
        <v>1064</v>
      </c>
      <c r="G18" s="11" t="s">
        <v>1173</v>
      </c>
      <c r="H18" s="11" t="s">
        <v>1174</v>
      </c>
      <c r="I18" s="11" t="s">
        <v>1096</v>
      </c>
      <c r="J18" s="11" t="s">
        <v>81</v>
      </c>
      <c r="K18" s="12" t="n">
        <v>500</v>
      </c>
      <c r="L18" s="12" t="n">
        <v>4000</v>
      </c>
      <c r="M18" s="11" t="s">
        <v>1069</v>
      </c>
      <c r="N18" s="11" t="s">
        <v>1097</v>
      </c>
      <c r="O18" s="10" t="str">
        <f aca="false">IF(COUNTA(B18:N18)=0,"",IF(OR(B18="",C18="",D18="",E18="",G18="",H18="",I18="",J18=""),"ناقص","OK"))</f>
        <v>OK</v>
      </c>
      <c r="P18" s="10" t="str">
        <f aca="false">IF(D18="","",B18&amp;" "&amp;C18&amp;" "&amp;D18&amp;" "&amp;E18&amp;" "&amp;F18&amp;" "&amp;G18)</f>
        <v>محرك صمام EGR رعشة خفيفة وتقطيع عند السرعات المنخفضة EGR، تقطيع، رعشة خفيفة، سرعات بطيئة لمبة المحرك انسداد صمام EGR بالكربون</v>
      </c>
    </row>
    <row r="19" customFormat="false" ht="41.75" hidden="false" customHeight="false" outlineLevel="0" collapsed="false">
      <c r="A19" s="10" t="s">
        <v>1175</v>
      </c>
      <c r="B19" s="11" t="s">
        <v>1060</v>
      </c>
      <c r="C19" s="11" t="s">
        <v>1176</v>
      </c>
      <c r="D19" s="11" t="s">
        <v>1177</v>
      </c>
      <c r="E19" s="11" t="s">
        <v>1178</v>
      </c>
      <c r="F19" s="11" t="s">
        <v>1064</v>
      </c>
      <c r="G19" s="11" t="s">
        <v>1179</v>
      </c>
      <c r="H19" s="11" t="s">
        <v>1180</v>
      </c>
      <c r="I19" s="11" t="s">
        <v>1096</v>
      </c>
      <c r="J19" s="11" t="s">
        <v>1068</v>
      </c>
      <c r="K19" s="12" t="n">
        <v>300</v>
      </c>
      <c r="L19" s="12" t="n">
        <v>3500</v>
      </c>
      <c r="M19" s="11" t="s">
        <v>1069</v>
      </c>
      <c r="N19" s="11" t="s">
        <v>1097</v>
      </c>
      <c r="O19" s="10" t="str">
        <f aca="false">IF(COUNTA(B19:N19)=0,"",IF(OR(B19="",C19="",D19="",E19="",G19="",H19="",I19="",J19=""),"ناقص","OK"))</f>
        <v>OK</v>
      </c>
      <c r="P19" s="10" t="str">
        <f aca="false">IF(D19="","",B19&amp;" "&amp;C19&amp;" "&amp;D19&amp;" "&amp;E19&amp;" "&amp;F19&amp;" "&amp;G19)</f>
        <v>محرك حساس تدفق الهواء MAF استهلاك بنزين عالي وسحب ضعيف ورمرمة غير ثابتة MAF، حساس الهواء، رمرمة، سحب، بنزين لمبة المحرك اتساخ أو عطل حساس MAF</v>
      </c>
    </row>
    <row r="20" customFormat="false" ht="41.75" hidden="false" customHeight="false" outlineLevel="0" collapsed="false">
      <c r="A20" s="10" t="s">
        <v>1181</v>
      </c>
      <c r="B20" s="11" t="s">
        <v>1060</v>
      </c>
      <c r="C20" s="11" t="s">
        <v>1182</v>
      </c>
      <c r="D20" s="11" t="s">
        <v>1183</v>
      </c>
      <c r="E20" s="11" t="s">
        <v>1184</v>
      </c>
      <c r="F20" s="11" t="s">
        <v>1064</v>
      </c>
      <c r="G20" s="11" t="s">
        <v>1185</v>
      </c>
      <c r="H20" s="11" t="s">
        <v>1186</v>
      </c>
      <c r="I20" s="11" t="s">
        <v>1096</v>
      </c>
      <c r="J20" s="11" t="s">
        <v>1068</v>
      </c>
      <c r="K20" s="12" t="n">
        <v>300</v>
      </c>
      <c r="L20" s="12" t="n">
        <v>2500</v>
      </c>
      <c r="M20" s="11" t="s">
        <v>1069</v>
      </c>
      <c r="N20" s="11" t="s">
        <v>1097</v>
      </c>
      <c r="O20" s="10" t="str">
        <f aca="false">IF(COUNTA(B20:N20)=0,"",IF(OR(B20="",C20="",D20="",E20="",G20="",H20="",I20="",J20=""),"ناقص","OK"))</f>
        <v>OK</v>
      </c>
      <c r="P20" s="10" t="str">
        <f aca="false">IF(D20="","",B20&amp;" "&amp;C20&amp;" "&amp;D20&amp;" "&amp;E20&amp;" "&amp;F20&amp;" "&amp;G20)</f>
        <v>محرك حساس MAP المحرك بيتقطع عند الصعود ولمبة المحرك منورة MAP، حساس الضغط، تقطيع، طلوع لمبة المحرك عطل حساس MAP أو خرطومه</v>
      </c>
    </row>
    <row r="21" customFormat="false" ht="35.05" hidden="false" customHeight="false" outlineLevel="0" collapsed="false">
      <c r="A21" s="10" t="s">
        <v>1187</v>
      </c>
      <c r="B21" s="11" t="s">
        <v>1060</v>
      </c>
      <c r="C21" s="11" t="s">
        <v>1188</v>
      </c>
      <c r="D21" s="11" t="s">
        <v>1189</v>
      </c>
      <c r="E21" s="11" t="s">
        <v>1190</v>
      </c>
      <c r="F21" s="11" t="s">
        <v>1064</v>
      </c>
      <c r="G21" s="11" t="s">
        <v>1191</v>
      </c>
      <c r="H21" s="11" t="s">
        <v>1192</v>
      </c>
      <c r="I21" s="11" t="s">
        <v>1096</v>
      </c>
      <c r="J21" s="11" t="s">
        <v>1068</v>
      </c>
      <c r="K21" s="12" t="n">
        <v>300</v>
      </c>
      <c r="L21" s="12" t="n">
        <v>5000</v>
      </c>
      <c r="M21" s="11" t="s">
        <v>1069</v>
      </c>
      <c r="N21" s="11" t="s">
        <v>1097</v>
      </c>
      <c r="O21" s="10" t="str">
        <f aca="false">IF(COUNTA(B21:N21)=0,"",IF(OR(B21="",C21="",D21="",E21="",G21="",H21="",I21="",J21=""),"ناقص","OK"))</f>
        <v>OK</v>
      </c>
      <c r="P21" s="10" t="str">
        <f aca="false">IF(D21="","",B21&amp;" "&amp;C21&amp;" "&amp;D21&amp;" "&amp;E21&amp;" "&amp;F21&amp;" "&amp;G21)</f>
        <v>محرك الثروتل الرمرمة بتتأرجح والعربية بتموت عند التوقف المفاجئ ترجرج الرمرمة، تروتل، بتموت عند التوقف، رمرمة غير ثابتة لمبة المحرك تراكم كربون على الثروتل أو عطل المحرك الكهربائي له</v>
      </c>
    </row>
    <row r="22" customFormat="false" ht="35.05" hidden="false" customHeight="false" outlineLevel="0" collapsed="false">
      <c r="A22" s="10" t="s">
        <v>1193</v>
      </c>
      <c r="B22" s="11" t="s">
        <v>1060</v>
      </c>
      <c r="C22" s="11" t="s">
        <v>1194</v>
      </c>
      <c r="D22" s="11" t="s">
        <v>1195</v>
      </c>
      <c r="E22" s="11" t="s">
        <v>1196</v>
      </c>
      <c r="F22" s="11" t="s">
        <v>1064</v>
      </c>
      <c r="G22" s="11" t="s">
        <v>1197</v>
      </c>
      <c r="H22" s="11" t="s">
        <v>1198</v>
      </c>
      <c r="I22" s="11" t="s">
        <v>1096</v>
      </c>
      <c r="J22" s="11" t="s">
        <v>1068</v>
      </c>
      <c r="K22" s="12" t="n">
        <v>200</v>
      </c>
      <c r="L22" s="12" t="n">
        <v>1200</v>
      </c>
      <c r="M22" s="11" t="s">
        <v>1069</v>
      </c>
      <c r="N22" s="11" t="s">
        <v>1097</v>
      </c>
      <c r="O22" s="10" t="str">
        <f aca="false">IF(COUNTA(B22:N22)=0,"",IF(OR(B22="",C22="",D22="",E22="",G22="",H22="",I22="",J22=""),"ناقص","OK"))</f>
        <v>OK</v>
      </c>
      <c r="P22" s="10" t="str">
        <f aca="false">IF(D22="","",B22&amp;" "&amp;C22&amp;" "&amp;D22&amp;" "&amp;E22&amp;" "&amp;F22&amp;" "&amp;G22)</f>
        <v>محرك حساس حرارة المحرك المروحة تشتغل طول الوقت والتشغيل على البارد صعب مروحة شغالة طول الوقت، حساس الحرارة، تشغيل بارد، إبرة الحرارة لمبة المحرك عطل حساس حرارة المياه</v>
      </c>
    </row>
    <row r="23" customFormat="false" ht="35.05" hidden="false" customHeight="false" outlineLevel="0" collapsed="false">
      <c r="A23" s="10" t="s">
        <v>1199</v>
      </c>
      <c r="B23" s="11" t="s">
        <v>1060</v>
      </c>
      <c r="C23" s="11" t="s">
        <v>1200</v>
      </c>
      <c r="D23" s="11" t="s">
        <v>1201</v>
      </c>
      <c r="E23" s="11" t="s">
        <v>1202</v>
      </c>
      <c r="F23" s="11" t="s">
        <v>1064</v>
      </c>
      <c r="G23" s="11" t="s">
        <v>1203</v>
      </c>
      <c r="H23" s="11" t="s">
        <v>1204</v>
      </c>
      <c r="I23" s="11" t="s">
        <v>1067</v>
      </c>
      <c r="J23" s="11" t="s">
        <v>1068</v>
      </c>
      <c r="K23" s="12" t="n">
        <v>300</v>
      </c>
      <c r="L23" s="12" t="n">
        <v>2500</v>
      </c>
      <c r="M23" s="11" t="s">
        <v>1069</v>
      </c>
      <c r="N23" s="11" t="s">
        <v>1070</v>
      </c>
      <c r="O23" s="10" t="str">
        <f aca="false">IF(COUNTA(B23:N23)=0,"",IF(OR(B23="",C23="",D23="",E23="",G23="",H23="",I23="",J23=""),"ناقص","OK"))</f>
        <v>OK</v>
      </c>
      <c r="P23" s="10" t="str">
        <f aca="false">IF(D23="","",B23&amp;" "&amp;C23&amp;" "&amp;D23&amp;" "&amp;E23&amp;" "&amp;F23&amp;" "&amp;G23)</f>
        <v>محرك حساس الكامة المحرك بيشتغل بصعوبة وبيفقد قوته ولمبة المحرك منورة حساس الكامة، تشغيل صعب، ضعف لمبة المحرك عطل حساس عمود الكامة</v>
      </c>
    </row>
    <row r="24" customFormat="false" ht="35.05" hidden="false" customHeight="false" outlineLevel="0" collapsed="false">
      <c r="A24" s="10" t="s">
        <v>1205</v>
      </c>
      <c r="B24" s="11" t="s">
        <v>1060</v>
      </c>
      <c r="C24" s="11" t="s">
        <v>1206</v>
      </c>
      <c r="D24" s="11" t="s">
        <v>1207</v>
      </c>
      <c r="E24" s="11" t="s">
        <v>1208</v>
      </c>
      <c r="F24" s="11" t="s">
        <v>1064</v>
      </c>
      <c r="G24" s="11" t="s">
        <v>1209</v>
      </c>
      <c r="H24" s="11" t="s">
        <v>1210</v>
      </c>
      <c r="I24" s="11" t="s">
        <v>1067</v>
      </c>
      <c r="J24" s="11" t="s">
        <v>1068</v>
      </c>
      <c r="K24" s="12" t="n">
        <v>400</v>
      </c>
      <c r="L24" s="12" t="n">
        <v>2500</v>
      </c>
      <c r="M24" s="11" t="s">
        <v>1069</v>
      </c>
      <c r="N24" s="11" t="s">
        <v>1070</v>
      </c>
      <c r="O24" s="10" t="str">
        <f aca="false">IF(COUNTA(B24:N24)=0,"",IF(OR(B24="",C24="",D24="",E24="",G24="",H24="",I24="",J24=""),"ناقص","OK"))</f>
        <v>OK</v>
      </c>
      <c r="P24" s="10" t="str">
        <f aca="false">IF(D24="","",B24&amp;" "&amp;C24&amp;" "&amp;D24&amp;" "&amp;E24&amp;" "&amp;F24&amp;" "&amp;G24)</f>
        <v>محرك كويل الإشعال المحرك بيرتعش مع ريحة بنزين خام وسلندر واحد ميت كويل، سلندر واحد ميت، بنزين خام، رعشة لمبة المحرك كويل إشعال تالف</v>
      </c>
    </row>
    <row r="25" customFormat="false" ht="35.05" hidden="false" customHeight="false" outlineLevel="0" collapsed="false">
      <c r="A25" s="10" t="s">
        <v>1211</v>
      </c>
      <c r="B25" s="11" t="s">
        <v>1060</v>
      </c>
      <c r="C25" s="11" t="s">
        <v>1212</v>
      </c>
      <c r="D25" s="11" t="s">
        <v>1213</v>
      </c>
      <c r="E25" s="11" t="s">
        <v>1214</v>
      </c>
      <c r="F25" s="11" t="s">
        <v>1064</v>
      </c>
      <c r="G25" s="11" t="s">
        <v>1215</v>
      </c>
      <c r="H25" s="11" t="s">
        <v>1216</v>
      </c>
      <c r="I25" s="11" t="s">
        <v>1067</v>
      </c>
      <c r="J25" s="11" t="s">
        <v>1068</v>
      </c>
      <c r="K25" s="12" t="n">
        <v>500</v>
      </c>
      <c r="L25" s="12" t="n">
        <v>3000</v>
      </c>
      <c r="M25" s="11" t="s">
        <v>1069</v>
      </c>
      <c r="N25" s="11" t="s">
        <v>1070</v>
      </c>
      <c r="O25" s="10" t="str">
        <f aca="false">IF(COUNTA(B25:N25)=0,"",IF(OR(B25="",C25="",D25="",E25="",G25="",H25="",I25="",J25=""),"ناقص","OK"))</f>
        <v>OK</v>
      </c>
      <c r="P25" s="10" t="str">
        <f aca="false">IF(D25="","",B25&amp;" "&amp;C25&amp;" "&amp;D25&amp;" "&amp;E25&amp;" "&amp;F25&amp;" "&amp;G25)</f>
        <v>محرك البخاخ المسدود تقطيع عند التسارع وسحب ضعيف في سلندر واحد بخاخ مسدود، تقطيع عند التسارع، تنضيف بخاخات لمبة المحرك انسداد أحد البخاخات</v>
      </c>
    </row>
    <row r="26" customFormat="false" ht="35.05" hidden="false" customHeight="false" outlineLevel="0" collapsed="false">
      <c r="A26" s="10" t="s">
        <v>1217</v>
      </c>
      <c r="B26" s="11" t="s">
        <v>1060</v>
      </c>
      <c r="C26" s="11" t="s">
        <v>1218</v>
      </c>
      <c r="D26" s="11" t="s">
        <v>1219</v>
      </c>
      <c r="E26" s="11" t="s">
        <v>1220</v>
      </c>
      <c r="F26" s="11" t="s">
        <v>1064</v>
      </c>
      <c r="G26" s="11" t="s">
        <v>1221</v>
      </c>
      <c r="H26" s="11" t="s">
        <v>1222</v>
      </c>
      <c r="I26" s="11" t="s">
        <v>1117</v>
      </c>
      <c r="J26" s="11" t="s">
        <v>1068</v>
      </c>
      <c r="K26" s="12" t="n">
        <v>700</v>
      </c>
      <c r="L26" s="12" t="n">
        <v>4500</v>
      </c>
      <c r="M26" s="11" t="s">
        <v>1069</v>
      </c>
      <c r="N26" s="11" t="s">
        <v>1118</v>
      </c>
      <c r="O26" s="10" t="str">
        <f aca="false">IF(COUNTA(B26:N26)=0,"",IF(OR(B26="",C26="",D26="",E26="",G26="",H26="",I26="",J26=""),"ناقص","OK"))</f>
        <v>OK</v>
      </c>
      <c r="P26" s="10" t="str">
        <f aca="false">IF(D26="","",B26&amp;" "&amp;C26&amp;" "&amp;D26&amp;" "&amp;E26&amp;" "&amp;F26&amp;" "&amp;G26)</f>
        <v>محرك البخاخ المسرب ريحة بنزين واستهلاك زيادة وصعوبة تشغيل على الساخن بخاخ بيسرب، ريحة بنزين، صعوبة تشغيل ساخن لمبة المحرك تسريب أحد البخاخات</v>
      </c>
    </row>
    <row r="27" customFormat="false" ht="35.05" hidden="false" customHeight="false" outlineLevel="0" collapsed="false">
      <c r="A27" s="10" t="s">
        <v>1223</v>
      </c>
      <c r="B27" s="11" t="s">
        <v>1060</v>
      </c>
      <c r="C27" s="11" t="s">
        <v>1224</v>
      </c>
      <c r="D27" s="11" t="s">
        <v>1225</v>
      </c>
      <c r="E27" s="11" t="s">
        <v>1226</v>
      </c>
      <c r="F27" s="11" t="s">
        <v>1064</v>
      </c>
      <c r="G27" s="11" t="s">
        <v>1227</v>
      </c>
      <c r="H27" s="11" t="s">
        <v>1228</v>
      </c>
      <c r="I27" s="11" t="s">
        <v>1067</v>
      </c>
      <c r="J27" s="11" t="s">
        <v>1068</v>
      </c>
      <c r="K27" s="12" t="n">
        <v>600</v>
      </c>
      <c r="L27" s="12" t="n">
        <v>3500</v>
      </c>
      <c r="M27" s="11" t="s">
        <v>1069</v>
      </c>
      <c r="N27" s="11" t="s">
        <v>1070</v>
      </c>
      <c r="O27" s="10" t="str">
        <f aca="false">IF(COUNTA(B27:N27)=0,"",IF(OR(B27="",C27="",D27="",E27="",G27="",H27="",I27="",J27=""),"ناقص","OK"))</f>
        <v>OK</v>
      </c>
      <c r="P27" s="10" t="str">
        <f aca="false">IF(D27="","",B27&amp;" "&amp;C27&amp;" "&amp;D27&amp;" "&amp;E27&amp;" "&amp;F27&amp;" "&amp;G27)</f>
        <v>محرك جوان غطاء الصمامات زيت في بئر البوجيهات مع تقطيع زيت في البوجي، جوان غطاء الصمامات، بوجي مبلول لمبة المحرك تسريب جوان غطاء الصمامات</v>
      </c>
    </row>
    <row r="28" customFormat="false" ht="35.05" hidden="false" customHeight="false" outlineLevel="0" collapsed="false">
      <c r="A28" s="10" t="s">
        <v>1229</v>
      </c>
      <c r="B28" s="11" t="s">
        <v>1060</v>
      </c>
      <c r="C28" s="11" t="s">
        <v>1230</v>
      </c>
      <c r="D28" s="11" t="s">
        <v>1231</v>
      </c>
      <c r="E28" s="11" t="s">
        <v>1232</v>
      </c>
      <c r="F28" s="11" t="s">
        <v>1075</v>
      </c>
      <c r="G28" s="11" t="s">
        <v>1233</v>
      </c>
      <c r="H28" s="11" t="s">
        <v>1234</v>
      </c>
      <c r="I28" s="11" t="s">
        <v>1096</v>
      </c>
      <c r="J28" s="11" t="s">
        <v>1068</v>
      </c>
      <c r="K28" s="12" t="n">
        <v>100</v>
      </c>
      <c r="L28" s="12" t="n">
        <v>600</v>
      </c>
      <c r="M28" s="11" t="s">
        <v>1069</v>
      </c>
      <c r="N28" s="11" t="s">
        <v>1097</v>
      </c>
      <c r="O28" s="10" t="str">
        <f aca="false">IF(COUNTA(B28:N28)=0,"",IF(OR(B28="",C28="",D28="",E28="",G28="",H28="",I28="",J28=""),"ناقص","OK"))</f>
        <v>OK</v>
      </c>
      <c r="P28" s="10" t="str">
        <f aca="false">IF(D28="","",B28&amp;" "&amp;C28&amp;" "&amp;D28&amp;" "&amp;E28&amp;" "&amp;F28&amp;" "&amp;G28)</f>
        <v>محرك فلتر الزيت تسريب زيت بعد تغيير الزيت مباشرة تسريب بعد الصيانة، فلتر الزيت، زيت بيقطر لا توجد لمبة فلتر زيت غير محكم أو جوان مفقود</v>
      </c>
    </row>
    <row r="29" customFormat="false" ht="35.05" hidden="false" customHeight="false" outlineLevel="0" collapsed="false">
      <c r="A29" s="10" t="s">
        <v>1235</v>
      </c>
      <c r="B29" s="11" t="s">
        <v>1060</v>
      </c>
      <c r="C29" s="11" t="s">
        <v>1236</v>
      </c>
      <c r="D29" s="11" t="s">
        <v>1237</v>
      </c>
      <c r="E29" s="11" t="s">
        <v>1238</v>
      </c>
      <c r="F29" s="11" t="s">
        <v>1239</v>
      </c>
      <c r="G29" s="11" t="s">
        <v>1240</v>
      </c>
      <c r="H29" s="11" t="s">
        <v>1241</v>
      </c>
      <c r="I29" s="11" t="s">
        <v>1067</v>
      </c>
      <c r="J29" s="11" t="s">
        <v>1068</v>
      </c>
      <c r="K29" s="12" t="n">
        <v>1000</v>
      </c>
      <c r="L29" s="12" t="n">
        <v>4000</v>
      </c>
      <c r="M29" s="11" t="s">
        <v>1069</v>
      </c>
      <c r="N29" s="11" t="s">
        <v>1070</v>
      </c>
      <c r="O29" s="10" t="str">
        <f aca="false">IF(COUNTA(B29:N29)=0,"",IF(OR(B29="",C29="",D29="",E29="",G29="",H29="",I29="",J29=""),"ناقص","OK"))</f>
        <v>OK</v>
      </c>
      <c r="P29" s="10" t="str">
        <f aca="false">IF(D29="","",B29&amp;" "&amp;C29&amp;" "&amp;D29&amp;" "&amp;E29&amp;" "&amp;F29&amp;" "&amp;G29)</f>
        <v>محرك بكرة الكرنك اهتزاز وصوت طقطقة من مقدمة المحرك بكرة الكرنك، الهارمونيك، اهتزاز مقدمة لمبة البطارية انفصال الجزء المطاطي في بكرة الكرنك</v>
      </c>
    </row>
    <row r="30" customFormat="false" ht="35.05" hidden="false" customHeight="false" outlineLevel="0" collapsed="false">
      <c r="A30" s="10" t="s">
        <v>1242</v>
      </c>
      <c r="B30" s="11" t="s">
        <v>1060</v>
      </c>
      <c r="C30" s="11" t="s">
        <v>1243</v>
      </c>
      <c r="D30" s="11" t="s">
        <v>1244</v>
      </c>
      <c r="E30" s="11" t="s">
        <v>1245</v>
      </c>
      <c r="F30" s="11" t="s">
        <v>1075</v>
      </c>
      <c r="G30" s="11" t="s">
        <v>1246</v>
      </c>
      <c r="H30" s="11" t="s">
        <v>1247</v>
      </c>
      <c r="I30" s="11" t="s">
        <v>1067</v>
      </c>
      <c r="J30" s="11" t="s">
        <v>1068</v>
      </c>
      <c r="K30" s="12" t="n">
        <v>500</v>
      </c>
      <c r="L30" s="12" t="n">
        <v>2500</v>
      </c>
      <c r="M30" s="11" t="s">
        <v>1069</v>
      </c>
      <c r="N30" s="11" t="s">
        <v>1070</v>
      </c>
      <c r="O30" s="10" t="str">
        <f aca="false">IF(COUNTA(B30:N30)=0,"",IF(OR(B30="",C30="",D30="",E30="",G30="",H30="",I30="",J30=""),"ناقص","OK"))</f>
        <v>OK</v>
      </c>
      <c r="P30" s="10" t="str">
        <f aca="false">IF(D30="","",B30&amp;" "&amp;C30&amp;" "&amp;D30&amp;" "&amp;E30&amp;" "&amp;F30&amp;" "&amp;G30)</f>
        <v>محرك الشداد صوت صفير أو طقطقة متقطعة من السيور شداد، صفير متقطع، طقطقة، بكرة السير لا توجد لمبة تآكل رولمان الشداد أو البكرة الايدلر</v>
      </c>
    </row>
    <row r="31" customFormat="false" ht="23.85" hidden="false" customHeight="false" outlineLevel="0" collapsed="false">
      <c r="A31" s="10" t="s">
        <v>1248</v>
      </c>
      <c r="B31" s="11" t="s">
        <v>1060</v>
      </c>
      <c r="C31" s="11" t="s">
        <v>1249</v>
      </c>
      <c r="D31" s="11" t="s">
        <v>1250</v>
      </c>
      <c r="E31" s="11" t="s">
        <v>1251</v>
      </c>
      <c r="F31" s="11" t="s">
        <v>1064</v>
      </c>
      <c r="G31" s="11" t="s">
        <v>1252</v>
      </c>
      <c r="H31" s="11" t="s">
        <v>1253</v>
      </c>
      <c r="I31" s="11" t="s">
        <v>1117</v>
      </c>
      <c r="J31" s="11" t="s">
        <v>1068</v>
      </c>
      <c r="K31" s="12" t="n">
        <v>8000</v>
      </c>
      <c r="L31" s="12" t="n">
        <v>35000</v>
      </c>
      <c r="M31" s="11" t="s">
        <v>1254</v>
      </c>
      <c r="N31" s="11" t="s">
        <v>1118</v>
      </c>
      <c r="O31" s="10" t="str">
        <f aca="false">IF(COUNTA(B31:N31)=0,"",IF(OR(B31="",C31="",D31="",E31="",G31="",H31="",I31="",J31=""),"ناقص","OK"))</f>
        <v>OK</v>
      </c>
      <c r="P31" s="10" t="str">
        <f aca="false">IF(D31="","",B31&amp;" "&amp;C31&amp;" "&amp;D31&amp;" "&amp;E31&amp;" "&amp;F31&amp;" "&amp;G31)</f>
        <v>محرك التيربو صفير عالٍ وفقدان واضح في القوة صفير التيربو، ضعف سحب، شفاط، تيربو لمبة المحرك تلف التيربو أو تسريب زيت منه</v>
      </c>
    </row>
    <row r="32" customFormat="false" ht="35.05" hidden="false" customHeight="false" outlineLevel="0" collapsed="false">
      <c r="A32" s="10" t="s">
        <v>1255</v>
      </c>
      <c r="B32" s="11" t="s">
        <v>1060</v>
      </c>
      <c r="C32" s="11" t="s">
        <v>1256</v>
      </c>
      <c r="D32" s="11" t="s">
        <v>1257</v>
      </c>
      <c r="E32" s="11" t="s">
        <v>1258</v>
      </c>
      <c r="F32" s="11" t="s">
        <v>1064</v>
      </c>
      <c r="G32" s="11" t="s">
        <v>1259</v>
      </c>
      <c r="H32" s="11" t="s">
        <v>1260</v>
      </c>
      <c r="I32" s="11" t="s">
        <v>1096</v>
      </c>
      <c r="J32" s="11" t="s">
        <v>1068</v>
      </c>
      <c r="K32" s="12" t="n">
        <v>300</v>
      </c>
      <c r="L32" s="12" t="n">
        <v>2500</v>
      </c>
      <c r="M32" s="11" t="s">
        <v>1254</v>
      </c>
      <c r="N32" s="11" t="s">
        <v>1097</v>
      </c>
      <c r="O32" s="10" t="str">
        <f aca="false">IF(COUNTA(B32:N32)=0,"",IF(OR(B32="",C32="",D32="",E32="",G32="",H32="",I32="",J32=""),"ناقص","OK"))</f>
        <v>OK</v>
      </c>
      <c r="P32" s="10" t="str">
        <f aca="false">IF(D32="","",B32&amp;" "&amp;C32&amp;" "&amp;D32&amp;" "&amp;E32&amp;" "&amp;F32&amp;" "&amp;G32)</f>
        <v>محرك خراطيم الانتركولر فقدان قوة مفاجئ وصوت تسريب هواء انتركولر، خرطوم هوا، صوت هوا، فقدان قوة لمبة المحرك خرطوم أو وصلة هواء مفكوكة</v>
      </c>
    </row>
    <row r="33" customFormat="false" ht="41.75" hidden="false" customHeight="false" outlineLevel="0" collapsed="false">
      <c r="A33" s="10" t="s">
        <v>1261</v>
      </c>
      <c r="B33" s="11" t="s">
        <v>1060</v>
      </c>
      <c r="C33" s="11" t="s">
        <v>1262</v>
      </c>
      <c r="D33" s="11" t="s">
        <v>1263</v>
      </c>
      <c r="E33" s="11" t="s">
        <v>1264</v>
      </c>
      <c r="F33" s="11" t="s">
        <v>1075</v>
      </c>
      <c r="G33" s="11" t="s">
        <v>1265</v>
      </c>
      <c r="H33" s="11" t="s">
        <v>1266</v>
      </c>
      <c r="I33" s="11" t="s">
        <v>1096</v>
      </c>
      <c r="J33" s="11" t="s">
        <v>81</v>
      </c>
      <c r="K33" s="12" t="n">
        <v>150</v>
      </c>
      <c r="L33" s="12" t="n">
        <v>1200</v>
      </c>
      <c r="M33" s="11" t="s">
        <v>1069</v>
      </c>
      <c r="N33" s="11" t="s">
        <v>1097</v>
      </c>
      <c r="O33" s="10" t="str">
        <f aca="false">IF(COUNTA(B33:N33)=0,"",IF(OR(B33="",C33="",D33="",E33="",G33="",H33="",I33="",J33=""),"ناقص","OK"))</f>
        <v>OK</v>
      </c>
      <c r="P33" s="10" t="str">
        <f aca="false">IF(D33="","",B33&amp;" "&amp;C33&amp;" "&amp;D33&amp;" "&amp;E33&amp;" "&amp;F33&amp;" "&amp;G33)</f>
        <v>محرك صمام PCV تسريب زيت من عدة جوانات وضغط عند غطاء الزيت PCV، تهوية، دخان من غطاء الزيت، ضغط الكارتير لا توجد لمبة انسداد صمام PCV</v>
      </c>
    </row>
    <row r="34" customFormat="false" ht="39.55" hidden="false" customHeight="false" outlineLevel="0" collapsed="false">
      <c r="A34" s="10" t="s">
        <v>1267</v>
      </c>
      <c r="B34" s="11" t="s">
        <v>1060</v>
      </c>
      <c r="C34" s="11" t="s">
        <v>1268</v>
      </c>
      <c r="D34" s="11" t="s">
        <v>1269</v>
      </c>
      <c r="E34" s="11" t="s">
        <v>1270</v>
      </c>
      <c r="F34" s="11" t="s">
        <v>1064</v>
      </c>
      <c r="G34" s="11" t="s">
        <v>1271</v>
      </c>
      <c r="H34" s="11" t="s">
        <v>1272</v>
      </c>
      <c r="I34" s="11" t="s">
        <v>1067</v>
      </c>
      <c r="J34" s="11" t="s">
        <v>1068</v>
      </c>
      <c r="K34" s="12" t="n">
        <v>1500</v>
      </c>
      <c r="L34" s="12" t="n">
        <v>6000</v>
      </c>
      <c r="M34" s="11" t="s">
        <v>1069</v>
      </c>
      <c r="N34" s="11" t="s">
        <v>1070</v>
      </c>
      <c r="O34" s="10" t="str">
        <f aca="false">IF(COUNTA(B34:N34)=0,"",IF(OR(B34="",C34="",D34="",E34="",G34="",H34="",I34="",J34=""),"ناقص","OK"))</f>
        <v>OK</v>
      </c>
      <c r="P34" s="10" t="str">
        <f aca="false">IF(D34="","",B34&amp;" "&amp;C34&amp;" "&amp;D34&amp;" "&amp;E34&amp;" "&amp;F34&amp;" "&amp;G34)</f>
        <v>محرك صمام VVT خبط وضعف قوة عند السرعات المتوسطة VVT، تغيير زمن الصمامات، خبط، ضعف قوة لمبة المحرك عطل صمام VVT أو زيت متسخ</v>
      </c>
    </row>
    <row r="35" customFormat="false" ht="35.05" hidden="false" customHeight="false" outlineLevel="0" collapsed="false">
      <c r="A35" s="10" t="s">
        <v>1273</v>
      </c>
      <c r="B35" s="11" t="s">
        <v>1060</v>
      </c>
      <c r="C35" s="11" t="s">
        <v>1274</v>
      </c>
      <c r="D35" s="11" t="s">
        <v>1275</v>
      </c>
      <c r="E35" s="11" t="s">
        <v>1276</v>
      </c>
      <c r="F35" s="11" t="s">
        <v>1064</v>
      </c>
      <c r="G35" s="11" t="s">
        <v>1277</v>
      </c>
      <c r="H35" s="11" t="s">
        <v>1278</v>
      </c>
      <c r="I35" s="11" t="s">
        <v>1096</v>
      </c>
      <c r="J35" s="11" t="s">
        <v>1068</v>
      </c>
      <c r="K35" s="12" t="n">
        <v>200</v>
      </c>
      <c r="L35" s="12" t="n">
        <v>1500</v>
      </c>
      <c r="M35" s="11" t="s">
        <v>1069</v>
      </c>
      <c r="N35" s="11" t="s">
        <v>1097</v>
      </c>
      <c r="O35" s="10" t="str">
        <f aca="false">IF(COUNTA(B35:N35)=0,"",IF(OR(B35="",C35="",D35="",E35="",G35="",H35="",I35="",J35=""),"ناقص","OK"))</f>
        <v>OK</v>
      </c>
      <c r="P35" s="10" t="str">
        <f aca="false">IF(D35="","",B35&amp;" "&amp;C35&amp;" "&amp;D35&amp;" "&amp;E35&amp;" "&amp;F35&amp;" "&amp;G35)</f>
        <v>محرك رطوبة الكويلات المحرك يرتعش بعد غسيل المحرك أو في الجو الرطب بعد الغسيل، رعشة، رطوبة، كويلات، شتاء لمبة المحرك تسرب مياه إلى الكويلات أو أسلاك البوجيهات</v>
      </c>
    </row>
    <row r="36" customFormat="false" ht="35.05" hidden="false" customHeight="false" outlineLevel="0" collapsed="false">
      <c r="A36" s="10" t="s">
        <v>1279</v>
      </c>
      <c r="B36" s="11" t="s">
        <v>1060</v>
      </c>
      <c r="C36" s="11" t="s">
        <v>1280</v>
      </c>
      <c r="D36" s="11" t="s">
        <v>1281</v>
      </c>
      <c r="E36" s="11" t="s">
        <v>1282</v>
      </c>
      <c r="F36" s="11" t="s">
        <v>1064</v>
      </c>
      <c r="G36" s="11" t="s">
        <v>1283</v>
      </c>
      <c r="H36" s="11" t="s">
        <v>1284</v>
      </c>
      <c r="I36" s="11" t="s">
        <v>1096</v>
      </c>
      <c r="J36" s="11" t="s">
        <v>1068</v>
      </c>
      <c r="K36" s="12" t="n">
        <v>200</v>
      </c>
      <c r="L36" s="12" t="n">
        <v>2500</v>
      </c>
      <c r="M36" s="11" t="s">
        <v>1069</v>
      </c>
      <c r="N36" s="11" t="s">
        <v>1097</v>
      </c>
      <c r="O36" s="10" t="str">
        <f aca="false">IF(COUNTA(B36:N36)=0,"",IF(OR(B36="",C36="",D36="",E36="",G36="",H36="",I36="",J36=""),"ناقص","OK"))</f>
        <v>OK</v>
      </c>
      <c r="P36" s="10" t="str">
        <f aca="false">IF(D36="","",B36&amp;" "&amp;C36&amp;" "&amp;D36&amp;" "&amp;E36&amp;" "&amp;F36&amp;" "&amp;G36)</f>
        <v>محرك الرمرمة العالية سرعة المحرك على الرمرمة عالية فوق الطبيعي رمرمة عالية، عدد لفات عالي، تسريب هواء، التروتل لمبة المحرك تسريب هواء بعد الحساس أو عطل الثروتل</v>
      </c>
    </row>
    <row r="37" customFormat="false" ht="35.05" hidden="false" customHeight="false" outlineLevel="0" collapsed="false">
      <c r="A37" s="10" t="s">
        <v>1285</v>
      </c>
      <c r="B37" s="11" t="s">
        <v>1060</v>
      </c>
      <c r="C37" s="11" t="s">
        <v>1286</v>
      </c>
      <c r="D37" s="11" t="s">
        <v>1287</v>
      </c>
      <c r="E37" s="11" t="s">
        <v>1288</v>
      </c>
      <c r="F37" s="11" t="s">
        <v>1075</v>
      </c>
      <c r="G37" s="11" t="s">
        <v>1289</v>
      </c>
      <c r="H37" s="11" t="s">
        <v>1290</v>
      </c>
      <c r="I37" s="11" t="s">
        <v>1067</v>
      </c>
      <c r="J37" s="11" t="s">
        <v>1068</v>
      </c>
      <c r="K37" s="12" t="n">
        <v>300</v>
      </c>
      <c r="L37" s="12" t="n">
        <v>3000</v>
      </c>
      <c r="M37" s="11" t="s">
        <v>1069</v>
      </c>
      <c r="N37" s="11" t="s">
        <v>1070</v>
      </c>
      <c r="O37" s="10" t="str">
        <f aca="false">IF(COUNTA(B37:N37)=0,"",IF(OR(B37="",C37="",D37="",E37="",G37="",H37="",I37="",J37=""),"ناقص","OK"))</f>
        <v>OK</v>
      </c>
      <c r="P37" s="10" t="str">
        <f aca="false">IF(D37="","",B37&amp;" "&amp;C37&amp;" "&amp;D37&amp;" "&amp;E37&amp;" "&amp;F37&amp;" "&amp;G37)</f>
        <v>محرك صمام الرمرمة المحرك بيموت عند الوقوف عند الإشارة بيموت عند الإشارة، رمرمة واطية، يطفي لما أقف لا توجد لمبة عطل صمام الرمرمة أو اتساخ الحساسات</v>
      </c>
    </row>
    <row r="38" customFormat="false" ht="35.05" hidden="false" customHeight="false" outlineLevel="0" collapsed="false">
      <c r="A38" s="10" t="s">
        <v>1291</v>
      </c>
      <c r="B38" s="11" t="s">
        <v>1060</v>
      </c>
      <c r="C38" s="11" t="s">
        <v>1292</v>
      </c>
      <c r="D38" s="11" t="s">
        <v>1293</v>
      </c>
      <c r="E38" s="11" t="s">
        <v>1294</v>
      </c>
      <c r="F38" s="11" t="s">
        <v>1064</v>
      </c>
      <c r="G38" s="11" t="s">
        <v>1295</v>
      </c>
      <c r="H38" s="11" t="s">
        <v>1296</v>
      </c>
      <c r="I38" s="11" t="s">
        <v>1096</v>
      </c>
      <c r="J38" s="11" t="s">
        <v>1068</v>
      </c>
      <c r="K38" s="12" t="n">
        <v>150</v>
      </c>
      <c r="L38" s="12" t="n">
        <v>2000</v>
      </c>
      <c r="M38" s="11" t="s">
        <v>1069</v>
      </c>
      <c r="N38" s="11" t="s">
        <v>1097</v>
      </c>
      <c r="O38" s="10" t="str">
        <f aca="false">IF(COUNTA(B38:N38)=0,"",IF(OR(B38="",C38="",D38="",E38="",G38="",H38="",I38="",J38=""),"ناقص","OK"))</f>
        <v>OK</v>
      </c>
      <c r="P38" s="10" t="str">
        <f aca="false">IF(D38="","",B38&amp;" "&amp;C38&amp;" "&amp;D38&amp;" "&amp;E38&amp;" "&amp;F38&amp;" "&amp;G38)</f>
        <v>محرك تسريب الفاكيوم صفير من تحت الكبوت وتقطيع وسحب ضعيف صفير، تسريب فاكيوم، صوت هوا، رمرمة لمبة المحرك خرطوم فاكيوم مكسور أو جوان مجمع الهواء</v>
      </c>
    </row>
    <row r="39" customFormat="false" ht="35.05" hidden="false" customHeight="false" outlineLevel="0" collapsed="false">
      <c r="A39" s="10" t="s">
        <v>1297</v>
      </c>
      <c r="B39" s="11" t="s">
        <v>1060</v>
      </c>
      <c r="C39" s="11" t="s">
        <v>1298</v>
      </c>
      <c r="D39" s="11" t="s">
        <v>1299</v>
      </c>
      <c r="E39" s="11" t="s">
        <v>1300</v>
      </c>
      <c r="F39" s="11" t="s">
        <v>1301</v>
      </c>
      <c r="G39" s="11" t="s">
        <v>1302</v>
      </c>
      <c r="H39" s="11" t="s">
        <v>1303</v>
      </c>
      <c r="I39" s="11" t="s">
        <v>1096</v>
      </c>
      <c r="J39" s="11" t="s">
        <v>81</v>
      </c>
      <c r="K39" s="12" t="n">
        <v>300</v>
      </c>
      <c r="L39" s="12" t="n">
        <v>2000</v>
      </c>
      <c r="M39" s="11" t="s">
        <v>1069</v>
      </c>
      <c r="N39" s="11" t="s">
        <v>1097</v>
      </c>
      <c r="O39" s="10" t="str">
        <f aca="false">IF(COUNTA(B39:N39)=0,"",IF(OR(B39="",C39="",D39="",E39="",G39="",H39="",I39="",J39=""),"ناقص","OK"))</f>
        <v>OK</v>
      </c>
      <c r="P39" s="10" t="str">
        <f aca="false">IF(D39="","",B39&amp;" "&amp;C39&amp;" "&amp;D39&amp;" "&amp;E39&amp;" "&amp;F39&amp;" "&amp;G39)</f>
        <v>محرك حساس مستوى الزيت لمبة مستوى الزيت بتنور ومستوى الزيت طبيعي لمبة مستوى الزيت، حساس الزيت، تنبيه غلط لمبة مستوى الزيت عطل حساس مستوى الزيت</v>
      </c>
    </row>
    <row r="40" customFormat="false" ht="35.05" hidden="false" customHeight="false" outlineLevel="0" collapsed="false">
      <c r="A40" s="10" t="s">
        <v>1304</v>
      </c>
      <c r="B40" s="11" t="s">
        <v>1060</v>
      </c>
      <c r="C40" s="11" t="s">
        <v>1305</v>
      </c>
      <c r="D40" s="11" t="s">
        <v>1306</v>
      </c>
      <c r="E40" s="11" t="s">
        <v>1307</v>
      </c>
      <c r="F40" s="11" t="s">
        <v>1308</v>
      </c>
      <c r="G40" s="11" t="s">
        <v>1309</v>
      </c>
      <c r="H40" s="11" t="s">
        <v>1310</v>
      </c>
      <c r="I40" s="11" t="s">
        <v>1096</v>
      </c>
      <c r="J40" s="11" t="s">
        <v>81</v>
      </c>
      <c r="K40" s="12" t="n">
        <v>600</v>
      </c>
      <c r="L40" s="12" t="n">
        <v>3500</v>
      </c>
      <c r="M40" s="11" t="s">
        <v>464</v>
      </c>
      <c r="N40" s="11" t="s">
        <v>1097</v>
      </c>
      <c r="O40" s="10" t="str">
        <f aca="false">IF(COUNTA(B40:N40)=0,"",IF(OR(B40="",C40="",D40="",E40="",G40="",H40="",I40="",J40=""),"ناقص","OK"))</f>
        <v>OK</v>
      </c>
      <c r="P40" s="10" t="str">
        <f aca="false">IF(D40="","",B40&amp;" "&amp;C40&amp;" "&amp;D40&amp;" "&amp;E40&amp;" "&amp;F40&amp;" "&amp;G40)</f>
        <v>محرك شمعات التسخين عربية الديزل بتدور بصعوبة في الشتاء ودخان أبيض عند التشغيل شمعات التسخين، ديزل، شتاء، دخان أبيض لمبة شمعات التسخين تلف شمعات التسخين</v>
      </c>
    </row>
    <row r="41" customFormat="false" ht="35.05" hidden="false" customHeight="false" outlineLevel="0" collapsed="false">
      <c r="A41" s="10" t="s">
        <v>1311</v>
      </c>
      <c r="B41" s="11" t="s">
        <v>1060</v>
      </c>
      <c r="C41" s="11" t="s">
        <v>1312</v>
      </c>
      <c r="D41" s="11" t="s">
        <v>1313</v>
      </c>
      <c r="E41" s="11" t="s">
        <v>1314</v>
      </c>
      <c r="F41" s="11" t="s">
        <v>1064</v>
      </c>
      <c r="G41" s="11" t="s">
        <v>1315</v>
      </c>
      <c r="H41" s="11" t="s">
        <v>1316</v>
      </c>
      <c r="I41" s="11" t="s">
        <v>1067</v>
      </c>
      <c r="J41" s="11" t="s">
        <v>1068</v>
      </c>
      <c r="K41" s="12" t="n">
        <v>3000</v>
      </c>
      <c r="L41" s="12" t="n">
        <v>20000</v>
      </c>
      <c r="M41" s="11" t="s">
        <v>464</v>
      </c>
      <c r="N41" s="11" t="s">
        <v>1070</v>
      </c>
      <c r="O41" s="10" t="str">
        <f aca="false">IF(COUNTA(B41:N41)=0,"",IF(OR(B41="",C41="",D41="",E41="",G41="",H41="",I41="",J41=""),"ناقص","OK"))</f>
        <v>OK</v>
      </c>
      <c r="P41" s="10" t="str">
        <f aca="false">IF(D41="","",B41&amp;" "&amp;C41&amp;" "&amp;D41&amp;" "&amp;E41&amp;" "&amp;F41&amp;" "&amp;G41)</f>
        <v>محرك بخاخات الديزل طرق عالي في الديزل مع دخان رمادي طرق ديزل، تكتكة، دخان رمادي، بخاخ ديزل لمبة المحرك بخاخات ديزل ضعيفة أو توقيت حقن خاطئ</v>
      </c>
    </row>
    <row r="42" customFormat="false" ht="35.05" hidden="false" customHeight="false" outlineLevel="0" collapsed="false">
      <c r="A42" s="10" t="s">
        <v>1317</v>
      </c>
      <c r="B42" s="11" t="s">
        <v>1060</v>
      </c>
      <c r="C42" s="11" t="s">
        <v>1318</v>
      </c>
      <c r="D42" s="11" t="s">
        <v>1319</v>
      </c>
      <c r="E42" s="11" t="s">
        <v>1320</v>
      </c>
      <c r="F42" s="11" t="s">
        <v>1321</v>
      </c>
      <c r="G42" s="11" t="s">
        <v>1322</v>
      </c>
      <c r="H42" s="11" t="s">
        <v>1323</v>
      </c>
      <c r="I42" s="11" t="s">
        <v>1067</v>
      </c>
      <c r="J42" s="11" t="s">
        <v>1068</v>
      </c>
      <c r="K42" s="12" t="n">
        <v>5000</v>
      </c>
      <c r="L42" s="12" t="n">
        <v>60000</v>
      </c>
      <c r="M42" s="11" t="s">
        <v>91</v>
      </c>
      <c r="N42" s="11" t="s">
        <v>1070</v>
      </c>
      <c r="O42" s="10" t="str">
        <f aca="false">IF(COUNTA(B42:N42)=0,"",IF(OR(B42="",C42="",D42="",E42="",G42="",H42="",I42="",J42=""),"ناقص","OK"))</f>
        <v>OK</v>
      </c>
      <c r="P42" s="10" t="str">
        <f aca="false">IF(D42="","",B42&amp;" "&amp;C42&amp;" "&amp;D42&amp;" "&amp;E42&amp;" "&amp;F42&amp;" "&amp;G42)</f>
        <v>محرك بطارية الهايبرد لمبة النظام الهايبرد منورة وقلة التوفير في البنزين بطارية الهايبرد، توفير البنزين قل، لمبة الهايبرد لمبة النظام الهايبرد ضعف بطارية الجهد العالي</v>
      </c>
    </row>
    <row r="43" customFormat="false" ht="46.25" hidden="false" customHeight="false" outlineLevel="0" collapsed="false">
      <c r="A43" s="10" t="s">
        <v>1324</v>
      </c>
      <c r="B43" s="11" t="s">
        <v>1325</v>
      </c>
      <c r="C43" s="11" t="s">
        <v>1326</v>
      </c>
      <c r="D43" s="11" t="s">
        <v>1327</v>
      </c>
      <c r="E43" s="11" t="s">
        <v>1328</v>
      </c>
      <c r="F43" s="11" t="s">
        <v>1329</v>
      </c>
      <c r="G43" s="11" t="s">
        <v>1330</v>
      </c>
      <c r="H43" s="11" t="s">
        <v>1331</v>
      </c>
      <c r="I43" s="11" t="s">
        <v>1117</v>
      </c>
      <c r="J43" s="11" t="s">
        <v>80</v>
      </c>
      <c r="K43" s="12" t="n">
        <v>5000</v>
      </c>
      <c r="L43" s="12" t="n">
        <v>25000</v>
      </c>
      <c r="M43" s="11" t="s">
        <v>1069</v>
      </c>
      <c r="N43" s="11" t="s">
        <v>1118</v>
      </c>
      <c r="O43" s="10" t="str">
        <f aca="false">IF(COUNTA(B43:N43)=0,"",IF(OR(B43="",C43="",D43="",E43="",G43="",H43="",I43="",J43=""),"ناقص","OK"))</f>
        <v>OK</v>
      </c>
      <c r="P43" s="10" t="str">
        <f aca="false">IF(D43="","",B43&amp;" "&amp;C43&amp;" "&amp;D43&amp;" "&amp;E43&amp;" "&amp;F43&amp;" "&amp;G43)</f>
        <v>تبريد جوان راس السلندر دخان أبيض كثيف من الشكمان ومياه الردياتير بتقل دخان أبيض، بخار كتير، مياه الردياتير بتقل، جوان راس لمبة حرارة المحرك تسريب مياه التبريد للسلندرات بسبب جوان راس السلندر</v>
      </c>
    </row>
    <row r="44" customFormat="false" ht="46.25" hidden="false" customHeight="false" outlineLevel="0" collapsed="false">
      <c r="A44" s="10" t="s">
        <v>1332</v>
      </c>
      <c r="B44" s="11" t="s">
        <v>1325</v>
      </c>
      <c r="C44" s="11" t="s">
        <v>1333</v>
      </c>
      <c r="D44" s="11" t="s">
        <v>1334</v>
      </c>
      <c r="E44" s="11" t="s">
        <v>1335</v>
      </c>
      <c r="F44" s="11" t="s">
        <v>1336</v>
      </c>
      <c r="G44" s="11" t="s">
        <v>1337</v>
      </c>
      <c r="H44" s="11" t="s">
        <v>1338</v>
      </c>
      <c r="I44" s="11" t="s">
        <v>1117</v>
      </c>
      <c r="J44" s="11" t="s">
        <v>80</v>
      </c>
      <c r="K44" s="12" t="n">
        <v>500</v>
      </c>
      <c r="L44" s="12" t="n">
        <v>3000</v>
      </c>
      <c r="M44" s="11" t="s">
        <v>1069</v>
      </c>
      <c r="N44" s="11" t="s">
        <v>1118</v>
      </c>
      <c r="O44" s="10" t="str">
        <f aca="false">IF(COUNTA(B44:N44)=0,"",IF(OR(B44="",C44="",D44="",E44="",G44="",H44="",I44="",J44=""),"ناقص","OK"))</f>
        <v>OK</v>
      </c>
      <c r="P44" s="10" t="str">
        <f aca="false">IF(D44="","",B44&amp;" "&amp;C44&amp;" "&amp;D44&amp;" "&amp;E44&amp;" "&amp;F44&amp;" "&amp;G44)</f>
        <v>تبريد الردياتير / الثرموستات / المروحة العربية بتسخن وإبرة الحرارة بتعلى سخونة، حرارة عالية، بخار من الكبوت، مروحة، مياه الردياتير، العربية بتسخن لمبة حرارة المحرك حمرا نقص مياه الردياتير أو عطل الثرموستات أو مروحة التبريد مش شغالة</v>
      </c>
    </row>
    <row r="45" customFormat="false" ht="35.05" hidden="false" customHeight="false" outlineLevel="0" collapsed="false">
      <c r="A45" s="10" t="s">
        <v>1339</v>
      </c>
      <c r="B45" s="11" t="s">
        <v>1325</v>
      </c>
      <c r="C45" s="11" t="s">
        <v>1340</v>
      </c>
      <c r="D45" s="11" t="s">
        <v>1341</v>
      </c>
      <c r="E45" s="11" t="s">
        <v>1342</v>
      </c>
      <c r="F45" s="11" t="s">
        <v>1343</v>
      </c>
      <c r="G45" s="11" t="s">
        <v>1344</v>
      </c>
      <c r="H45" s="11" t="s">
        <v>1345</v>
      </c>
      <c r="I45" s="11" t="s">
        <v>1067</v>
      </c>
      <c r="J45" s="11" t="s">
        <v>1068</v>
      </c>
      <c r="K45" s="12" t="n">
        <v>300</v>
      </c>
      <c r="L45" s="12" t="n">
        <v>5000</v>
      </c>
      <c r="M45" s="11" t="s">
        <v>1069</v>
      </c>
      <c r="N45" s="11" t="s">
        <v>1070</v>
      </c>
      <c r="O45" s="10" t="str">
        <f aca="false">IF(COUNTA(B45:N45)=0,"",IF(OR(B45="",C45="",D45="",E45="",G45="",H45="",I45="",J45=""),"ناقص","OK"))</f>
        <v>OK</v>
      </c>
      <c r="P45" s="10" t="str">
        <f aca="false">IF(D45="","",B45&amp;" "&amp;C45&amp;" "&amp;D45&amp;" "&amp;E45&amp;" "&amp;F45&amp;" "&amp;G45)</f>
        <v>تبريد الردياتير / الخراطيم تسريب مياه (أخضر أو وردي) تحت العربية بتنقط مياه، تسريب ردياتير، سائل أخضر، مياه تبريد، بقعة تحت العربية لمبة مستوى المياه تسريب من خرطوم أو الردياتير أو طلمبة المياه</v>
      </c>
    </row>
    <row r="46" customFormat="false" ht="35.05" hidden="false" customHeight="false" outlineLevel="0" collapsed="false">
      <c r="A46" s="10" t="s">
        <v>1346</v>
      </c>
      <c r="B46" s="11" t="s">
        <v>1325</v>
      </c>
      <c r="C46" s="11" t="s">
        <v>1347</v>
      </c>
      <c r="D46" s="11" t="s">
        <v>1348</v>
      </c>
      <c r="E46" s="11" t="s">
        <v>1349</v>
      </c>
      <c r="F46" s="11" t="s">
        <v>1329</v>
      </c>
      <c r="G46" s="11" t="s">
        <v>1350</v>
      </c>
      <c r="H46" s="11" t="s">
        <v>1351</v>
      </c>
      <c r="I46" s="11" t="s">
        <v>1067</v>
      </c>
      <c r="J46" s="11" t="s">
        <v>1068</v>
      </c>
      <c r="K46" s="12" t="n">
        <v>400</v>
      </c>
      <c r="L46" s="12" t="n">
        <v>3000</v>
      </c>
      <c r="M46" s="11" t="s">
        <v>1069</v>
      </c>
      <c r="N46" s="11" t="s">
        <v>1070</v>
      </c>
      <c r="O46" s="10" t="str">
        <f aca="false">IF(COUNTA(B46:N46)=0,"",IF(OR(B46="",C46="",D46="",E46="",G46="",H46="",I46="",J46=""),"ناقص","OK"))</f>
        <v>OK</v>
      </c>
      <c r="P46" s="10" t="str">
        <f aca="false">IF(D46="","",B46&amp;" "&amp;C46&amp;" "&amp;D46&amp;" "&amp;E46&amp;" "&amp;F46&amp;" "&amp;G46)</f>
        <v>تبريد مروحة الردياتير المروحة مش شغالة والعربية بتسخن في الزحمة مروحة، الفان، سخونة في الزحمة، فان الردياتير لمبة حرارة المحرك عطل ريليه المروحة أو موتورها أو حساس الحرارة</v>
      </c>
    </row>
    <row r="47" customFormat="false" ht="35.05" hidden="false" customHeight="false" outlineLevel="0" collapsed="false">
      <c r="A47" s="10" t="s">
        <v>1352</v>
      </c>
      <c r="B47" s="11" t="s">
        <v>1325</v>
      </c>
      <c r="C47" s="11" t="s">
        <v>1353</v>
      </c>
      <c r="D47" s="11" t="s">
        <v>1354</v>
      </c>
      <c r="E47" s="11" t="s">
        <v>1355</v>
      </c>
      <c r="F47" s="11" t="s">
        <v>1329</v>
      </c>
      <c r="G47" s="11" t="s">
        <v>1356</v>
      </c>
      <c r="H47" s="11" t="s">
        <v>1357</v>
      </c>
      <c r="I47" s="11" t="s">
        <v>1067</v>
      </c>
      <c r="J47" s="11" t="s">
        <v>1068</v>
      </c>
      <c r="K47" s="12" t="n">
        <v>600</v>
      </c>
      <c r="L47" s="12" t="n">
        <v>4500</v>
      </c>
      <c r="M47" s="11" t="s">
        <v>1069</v>
      </c>
      <c r="N47" s="11" t="s">
        <v>1070</v>
      </c>
      <c r="O47" s="10" t="str">
        <f aca="false">IF(COUNTA(B47:N47)=0,"",IF(OR(B47="",C47="",D47="",E47="",G47="",H47="",I47="",J47=""),"ناقص","OK"))</f>
        <v>OK</v>
      </c>
      <c r="P47" s="10" t="str">
        <f aca="false">IF(D47="","",B47&amp;" "&amp;C47&amp;" "&amp;D47&amp;" "&amp;E47&amp;" "&amp;F47&amp;" "&amp;G47)</f>
        <v>تبريد الردياتير الردياتير مسدود من الداخل والحرارة تعلى على الطريق ردياتير مسدود، حرارة على الطريق، طيحان مياه لمبة حرارة المحرك ترسبات وصدأ في خلايا الردياتير</v>
      </c>
    </row>
    <row r="48" customFormat="false" ht="35.05" hidden="false" customHeight="false" outlineLevel="0" collapsed="false">
      <c r="A48" s="10" t="s">
        <v>1358</v>
      </c>
      <c r="B48" s="11" t="s">
        <v>1325</v>
      </c>
      <c r="C48" s="11" t="s">
        <v>1359</v>
      </c>
      <c r="D48" s="11" t="s">
        <v>1360</v>
      </c>
      <c r="E48" s="11" t="s">
        <v>1361</v>
      </c>
      <c r="F48" s="11" t="s">
        <v>1329</v>
      </c>
      <c r="G48" s="11" t="s">
        <v>1362</v>
      </c>
      <c r="H48" s="11" t="s">
        <v>1363</v>
      </c>
      <c r="I48" s="11" t="s">
        <v>1096</v>
      </c>
      <c r="J48" s="11" t="s">
        <v>1068</v>
      </c>
      <c r="K48" s="12" t="n">
        <v>50</v>
      </c>
      <c r="L48" s="12" t="n">
        <v>300</v>
      </c>
      <c r="M48" s="11" t="s">
        <v>1069</v>
      </c>
      <c r="N48" s="11" t="s">
        <v>1364</v>
      </c>
      <c r="O48" s="10" t="str">
        <f aca="false">IF(COUNTA(B48:N48)=0,"",IF(OR(B48="",C48="",D48="",E48="",G48="",H48="",I48="",J48=""),"ناقص","OK"))</f>
        <v>OK</v>
      </c>
      <c r="P48" s="10" t="str">
        <f aca="false">IF(D48="","",B48&amp;" "&amp;C48&amp;" "&amp;D48&amp;" "&amp;E48&amp;" "&amp;F48&amp;" "&amp;G48)</f>
        <v>تبريد غطاء الردياتير ضغط مياه عالي وخراطيم منتفخة وطيحان المياه غطاء الردياتير، خراطيم منتفخة، بخار، مياه بتطلع لمبة حرارة المحرك غطاء الردياتير ضعيف ولا يحافظ على الضغط</v>
      </c>
    </row>
    <row r="49" customFormat="false" ht="35.05" hidden="false" customHeight="false" outlineLevel="0" collapsed="false">
      <c r="A49" s="10" t="s">
        <v>1365</v>
      </c>
      <c r="B49" s="11" t="s">
        <v>1325</v>
      </c>
      <c r="C49" s="11" t="s">
        <v>1366</v>
      </c>
      <c r="D49" s="11" t="s">
        <v>1367</v>
      </c>
      <c r="E49" s="11" t="s">
        <v>1368</v>
      </c>
      <c r="F49" s="11" t="s">
        <v>1329</v>
      </c>
      <c r="G49" s="11" t="s">
        <v>1369</v>
      </c>
      <c r="H49" s="11" t="s">
        <v>1370</v>
      </c>
      <c r="I49" s="11" t="s">
        <v>1067</v>
      </c>
      <c r="J49" s="11" t="s">
        <v>1068</v>
      </c>
      <c r="K49" s="12" t="n">
        <v>800</v>
      </c>
      <c r="L49" s="12" t="n">
        <v>3500</v>
      </c>
      <c r="M49" s="11" t="s">
        <v>1069</v>
      </c>
      <c r="N49" s="11" t="s">
        <v>1070</v>
      </c>
      <c r="O49" s="10" t="str">
        <f aca="false">IF(COUNTA(B49:N49)=0,"",IF(OR(B49="",C49="",D49="",E49="",G49="",H49="",I49="",J49=""),"ناقص","OK"))</f>
        <v>OK</v>
      </c>
      <c r="P49" s="10" t="str">
        <f aca="false">IF(D49="","",B49&amp;" "&amp;C49&amp;" "&amp;D49&amp;" "&amp;E49&amp;" "&amp;F49&amp;" "&amp;G49)</f>
        <v>تبريد طلمبة المياه صوت صرير أو تسريب مياه من الطلمبة والمحرك بيسخن طلمبة المياه، تسريب من الأمام، صرير لمبة حرارة المحرك تآكل رولمان الطلمبة أو تسريب السيل</v>
      </c>
    </row>
    <row r="50" customFormat="false" ht="35.05" hidden="false" customHeight="false" outlineLevel="0" collapsed="false">
      <c r="A50" s="10" t="s">
        <v>1371</v>
      </c>
      <c r="B50" s="11" t="s">
        <v>1325</v>
      </c>
      <c r="C50" s="11" t="s">
        <v>1372</v>
      </c>
      <c r="D50" s="11" t="s">
        <v>1373</v>
      </c>
      <c r="E50" s="11" t="s">
        <v>1374</v>
      </c>
      <c r="F50" s="11" t="s">
        <v>1075</v>
      </c>
      <c r="G50" s="11" t="s">
        <v>1375</v>
      </c>
      <c r="H50" s="11" t="s">
        <v>1376</v>
      </c>
      <c r="I50" s="11" t="s">
        <v>1096</v>
      </c>
      <c r="J50" s="11" t="s">
        <v>81</v>
      </c>
      <c r="K50" s="12" t="n">
        <v>300</v>
      </c>
      <c r="L50" s="12" t="n">
        <v>1200</v>
      </c>
      <c r="M50" s="11" t="s">
        <v>1069</v>
      </c>
      <c r="N50" s="11" t="s">
        <v>1097</v>
      </c>
      <c r="O50" s="10" t="str">
        <f aca="false">IF(COUNTA(B50:N50)=0,"",IF(OR(B50="",C50="",D50="",E50="",G50="",H50="",I50="",J50=""),"ناقص","OK"))</f>
        <v>OK</v>
      </c>
      <c r="P50" s="10" t="str">
        <f aca="false">IF(D50="","",B50&amp;" "&amp;C50&amp;" "&amp;D50&amp;" "&amp;E50&amp;" "&amp;F50&amp;" "&amp;G50)</f>
        <v>تبريد الثرموستات المفتوح المحرك بياخد وقت طويل يسخن والتدفئة ضعيفة الثرموستات، تدفئة ضعيفة، المحرك بيسخن بطيء لا توجد لمبة ثرموستات عالق على الوضع المفتوح</v>
      </c>
    </row>
    <row r="51" customFormat="false" ht="35.05" hidden="false" customHeight="false" outlineLevel="0" collapsed="false">
      <c r="A51" s="10" t="s">
        <v>1377</v>
      </c>
      <c r="B51" s="11" t="s">
        <v>1325</v>
      </c>
      <c r="C51" s="11" t="s">
        <v>1378</v>
      </c>
      <c r="D51" s="11" t="s">
        <v>1379</v>
      </c>
      <c r="E51" s="11" t="s">
        <v>1380</v>
      </c>
      <c r="F51" s="11" t="s">
        <v>1329</v>
      </c>
      <c r="G51" s="11" t="s">
        <v>1381</v>
      </c>
      <c r="H51" s="11" t="s">
        <v>1382</v>
      </c>
      <c r="I51" s="11" t="s">
        <v>1117</v>
      </c>
      <c r="J51" s="11" t="s">
        <v>80</v>
      </c>
      <c r="K51" s="12" t="n">
        <v>300</v>
      </c>
      <c r="L51" s="12" t="n">
        <v>1200</v>
      </c>
      <c r="M51" s="11" t="s">
        <v>1069</v>
      </c>
      <c r="N51" s="11" t="s">
        <v>1118</v>
      </c>
      <c r="O51" s="10" t="str">
        <f aca="false">IF(COUNTA(B51:N51)=0,"",IF(OR(B51="",C51="",D51="",E51="",G51="",H51="",I51="",J51=""),"ناقص","OK"))</f>
        <v>OK</v>
      </c>
      <c r="P51" s="10" t="str">
        <f aca="false">IF(D51="","",B51&amp;" "&amp;C51&amp;" "&amp;D51&amp;" "&amp;E51&amp;" "&amp;F51&amp;" "&amp;G51)</f>
        <v>تبريد الثرموستات المقفول الحرارة بتعلى بسرعة والخرطوم العلوي ساخن والسفلي بارد ثرموستات مقفول، خرطوم ساخن، سخونة سريعة لمبة حرارة المحرك ثرموستات عالق مقفول</v>
      </c>
    </row>
    <row r="52" customFormat="false" ht="35.05" hidden="false" customHeight="false" outlineLevel="0" collapsed="false">
      <c r="A52" s="10" t="s">
        <v>1383</v>
      </c>
      <c r="B52" s="11" t="s">
        <v>1325</v>
      </c>
      <c r="C52" s="11" t="s">
        <v>1384</v>
      </c>
      <c r="D52" s="11" t="s">
        <v>1385</v>
      </c>
      <c r="E52" s="11" t="s">
        <v>1386</v>
      </c>
      <c r="F52" s="11" t="s">
        <v>1343</v>
      </c>
      <c r="G52" s="11" t="s">
        <v>1387</v>
      </c>
      <c r="H52" s="11" t="s">
        <v>1388</v>
      </c>
      <c r="I52" s="11" t="s">
        <v>1067</v>
      </c>
      <c r="J52" s="11" t="s">
        <v>1068</v>
      </c>
      <c r="K52" s="12" t="n">
        <v>200</v>
      </c>
      <c r="L52" s="12" t="n">
        <v>1000</v>
      </c>
      <c r="M52" s="11" t="s">
        <v>1069</v>
      </c>
      <c r="N52" s="11" t="s">
        <v>1070</v>
      </c>
      <c r="O52" s="10" t="str">
        <f aca="false">IF(COUNTA(B52:N52)=0,"",IF(OR(B52="",C52="",D52="",E52="",G52="",H52="",I52="",J52=""),"ناقص","OK"))</f>
        <v>OK</v>
      </c>
      <c r="P52" s="10" t="str">
        <f aca="false">IF(D52="","",B52&amp;" "&amp;C52&amp;" "&amp;D52&amp;" "&amp;E52&amp;" "&amp;F52&amp;" "&amp;G52)</f>
        <v>تبريد خزان التمدد شرخ في خزان مياه التمدد ونقص المياه تدريجيًا خزان مياه، شرخ، ماء بيقل، التمدد لمبة مستوى المياه تشقق الخزان البلاستيك مع الزمن</v>
      </c>
    </row>
    <row r="53" customFormat="false" ht="35.05" hidden="false" customHeight="false" outlineLevel="0" collapsed="false">
      <c r="A53" s="10" t="s">
        <v>1389</v>
      </c>
      <c r="B53" s="11" t="s">
        <v>1325</v>
      </c>
      <c r="C53" s="11" t="s">
        <v>1390</v>
      </c>
      <c r="D53" s="11" t="s">
        <v>1391</v>
      </c>
      <c r="E53" s="11" t="s">
        <v>1392</v>
      </c>
      <c r="F53" s="11" t="s">
        <v>1075</v>
      </c>
      <c r="G53" s="11" t="s">
        <v>1393</v>
      </c>
      <c r="H53" s="11" t="s">
        <v>1394</v>
      </c>
      <c r="I53" s="11" t="s">
        <v>1067</v>
      </c>
      <c r="J53" s="11" t="s">
        <v>1068</v>
      </c>
      <c r="K53" s="12" t="n">
        <v>1500</v>
      </c>
      <c r="L53" s="12" t="n">
        <v>6000</v>
      </c>
      <c r="M53" s="11" t="s">
        <v>1069</v>
      </c>
      <c r="N53" s="11" t="s">
        <v>1070</v>
      </c>
      <c r="O53" s="10" t="str">
        <f aca="false">IF(COUNTA(B53:N53)=0,"",IF(OR(B53="",C53="",D53="",E53="",G53="",H53="",I53="",J53=""),"ناقص","OK"))</f>
        <v>OK</v>
      </c>
      <c r="P53" s="10" t="str">
        <f aca="false">IF(D53="","",B53&amp;" "&amp;C53&amp;" "&amp;D53&amp;" "&amp;E53&amp;" "&amp;F53&amp;" "&amp;G53)</f>
        <v>تبريد رادياتير التدفئة ريحة حلوة وضباب على الزجاج وبلل تحت الراكب ريحة حلوة، ضباب على الزجاج، بلل تحت الكراسي، رادياتير التدفئة لا توجد لمبة تسريب رادياتير التدفئة</v>
      </c>
    </row>
    <row r="54" customFormat="false" ht="23.85" hidden="false" customHeight="false" outlineLevel="0" collapsed="false">
      <c r="A54" s="10" t="s">
        <v>1395</v>
      </c>
      <c r="B54" s="11" t="s">
        <v>1325</v>
      </c>
      <c r="C54" s="11" t="s">
        <v>1396</v>
      </c>
      <c r="D54" s="11" t="s">
        <v>1397</v>
      </c>
      <c r="E54" s="11" t="s">
        <v>1398</v>
      </c>
      <c r="F54" s="11" t="s">
        <v>1075</v>
      </c>
      <c r="G54" s="11" t="s">
        <v>1399</v>
      </c>
      <c r="H54" s="11" t="s">
        <v>1400</v>
      </c>
      <c r="I54" s="11" t="s">
        <v>1096</v>
      </c>
      <c r="J54" s="11" t="s">
        <v>81</v>
      </c>
      <c r="K54" s="12" t="n">
        <v>200</v>
      </c>
      <c r="L54" s="12" t="n">
        <v>700</v>
      </c>
      <c r="M54" s="11" t="s">
        <v>1069</v>
      </c>
      <c r="N54" s="11" t="s">
        <v>1097</v>
      </c>
      <c r="O54" s="10" t="str">
        <f aca="false">IF(COUNTA(B54:N54)=0,"",IF(OR(B54="",C54="",D54="",E54="",G54="",H54="",I54="",J54=""),"ناقص","OK"))</f>
        <v>OK</v>
      </c>
      <c r="P54" s="10" t="str">
        <f aca="false">IF(D54="","",B54&amp;" "&amp;C54&amp;" "&amp;D54&amp;" "&amp;E54&amp;" "&amp;F54&amp;" "&amp;G54)</f>
        <v>تبريد مياه التبريد لون المياه بني ومتسخ وبتسخن بسرعة مياه بنية، كولانت، صدأ، لون مياه لا توجد لمبة كولانت قديم أو خلط مياه عادية</v>
      </c>
    </row>
    <row r="55" customFormat="false" ht="35.05" hidden="false" customHeight="false" outlineLevel="0" collapsed="false">
      <c r="A55" s="10" t="s">
        <v>1401</v>
      </c>
      <c r="B55" s="11" t="s">
        <v>1325</v>
      </c>
      <c r="C55" s="11" t="s">
        <v>1402</v>
      </c>
      <c r="D55" s="11" t="s">
        <v>1403</v>
      </c>
      <c r="E55" s="11" t="s">
        <v>1404</v>
      </c>
      <c r="F55" s="11" t="s">
        <v>1075</v>
      </c>
      <c r="G55" s="11" t="s">
        <v>1405</v>
      </c>
      <c r="H55" s="11" t="s">
        <v>1406</v>
      </c>
      <c r="I55" s="11" t="s">
        <v>1096</v>
      </c>
      <c r="J55" s="11" t="s">
        <v>81</v>
      </c>
      <c r="K55" s="12" t="n">
        <v>100</v>
      </c>
      <c r="L55" s="12" t="n">
        <v>600</v>
      </c>
      <c r="M55" s="11" t="s">
        <v>1069</v>
      </c>
      <c r="N55" s="11" t="s">
        <v>1097</v>
      </c>
      <c r="O55" s="10" t="str">
        <f aca="false">IF(COUNTA(B55:N55)=0,"",IF(OR(B55="",C55="",D55="",E55="",G55="",H55="",I55="",J55=""),"ناقص","OK"))</f>
        <v>OK</v>
      </c>
      <c r="P55" s="10" t="str">
        <f aca="false">IF(D55="","",B55&amp;" "&amp;C55&amp;" "&amp;D55&amp;" "&amp;E55&amp;" "&amp;F55&amp;" "&amp;G55)</f>
        <v>تبريد ريليه المروحة المروحة بتشتغل دايمًا حتى بعد إطفاء المحرك المروحة شغالة، بعد الإطفاء، ريليه المروحة، بطارية بتخلص لا توجد لمبة ريليه المروحة لاصق</v>
      </c>
    </row>
    <row r="56" customFormat="false" ht="35.05" hidden="false" customHeight="false" outlineLevel="0" collapsed="false">
      <c r="A56" s="10" t="s">
        <v>1407</v>
      </c>
      <c r="B56" s="11" t="s">
        <v>1325</v>
      </c>
      <c r="C56" s="11" t="s">
        <v>1408</v>
      </c>
      <c r="D56" s="11" t="s">
        <v>1409</v>
      </c>
      <c r="E56" s="11" t="s">
        <v>1410</v>
      </c>
      <c r="F56" s="11" t="s">
        <v>1343</v>
      </c>
      <c r="G56" s="11" t="s">
        <v>1411</v>
      </c>
      <c r="H56" s="11" t="s">
        <v>1412</v>
      </c>
      <c r="I56" s="11" t="s">
        <v>1096</v>
      </c>
      <c r="J56" s="11" t="s">
        <v>81</v>
      </c>
      <c r="K56" s="12" t="n">
        <v>150</v>
      </c>
      <c r="L56" s="12" t="n">
        <v>800</v>
      </c>
      <c r="M56" s="11" t="s">
        <v>1069</v>
      </c>
      <c r="N56" s="11" t="s">
        <v>1097</v>
      </c>
      <c r="O56" s="10" t="str">
        <f aca="false">IF(COUNTA(B56:N56)=0,"",IF(OR(B56="",C56="",D56="",E56="",G56="",H56="",I56="",J56=""),"ناقص","OK"))</f>
        <v>OK</v>
      </c>
      <c r="P56" s="10" t="str">
        <f aca="false">IF(D56="","",B56&amp;" "&amp;C56&amp;" "&amp;D56&amp;" "&amp;E56&amp;" "&amp;F56&amp;" "&amp;G56)</f>
        <v>تبريد حساس مستوى الكولانت لمبة المياه بتنور ومستوى المياه طبيعي حساس مستوى المياه، لمبة غلط لمبة مستوى المياه عطل الحساس أو أسلاكه</v>
      </c>
    </row>
    <row r="57" customFormat="false" ht="35.05" hidden="false" customHeight="false" outlineLevel="0" collapsed="false">
      <c r="A57" s="10" t="s">
        <v>1413</v>
      </c>
      <c r="B57" s="11" t="s">
        <v>1325</v>
      </c>
      <c r="C57" s="11" t="s">
        <v>1414</v>
      </c>
      <c r="D57" s="11" t="s">
        <v>1415</v>
      </c>
      <c r="E57" s="11" t="s">
        <v>1416</v>
      </c>
      <c r="F57" s="11" t="s">
        <v>1329</v>
      </c>
      <c r="G57" s="11" t="s">
        <v>1417</v>
      </c>
      <c r="H57" s="11" t="s">
        <v>1418</v>
      </c>
      <c r="I57" s="11" t="s">
        <v>1117</v>
      </c>
      <c r="J57" s="11" t="s">
        <v>80</v>
      </c>
      <c r="K57" s="12" t="n">
        <v>2500</v>
      </c>
      <c r="L57" s="12" t="n">
        <v>9000</v>
      </c>
      <c r="M57" s="11" t="s">
        <v>1069</v>
      </c>
      <c r="N57" s="11" t="s">
        <v>1118</v>
      </c>
      <c r="O57" s="10" t="str">
        <f aca="false">IF(COUNTA(B57:N57)=0,"",IF(OR(B57="",C57="",D57="",E57="",G57="",H57="",I57="",J57=""),"ناقص","OK"))</f>
        <v>OK</v>
      </c>
      <c r="P57" s="10" t="str">
        <f aca="false">IF(D57="","",B57&amp;" "&amp;C57&amp;" "&amp;D57&amp;" "&amp;E57&amp;" "&amp;F57&amp;" "&amp;G57)</f>
        <v>تبريد مبرد الزيت خلط الزيت والمياه وقوام الزيت كالحليب زيت زي اللبن، خلط زيت ومياه، مبرد الزيت لمبة حرارة المحرك تلف جوان مبرد الزيت</v>
      </c>
    </row>
    <row r="58" customFormat="false" ht="35.05" hidden="false" customHeight="false" outlineLevel="0" collapsed="false">
      <c r="A58" s="10" t="s">
        <v>1419</v>
      </c>
      <c r="B58" s="11" t="s">
        <v>1325</v>
      </c>
      <c r="C58" s="11" t="s">
        <v>1420</v>
      </c>
      <c r="D58" s="11" t="s">
        <v>1421</v>
      </c>
      <c r="E58" s="11" t="s">
        <v>1422</v>
      </c>
      <c r="F58" s="11" t="s">
        <v>1329</v>
      </c>
      <c r="G58" s="11" t="s">
        <v>1423</v>
      </c>
      <c r="H58" s="11" t="s">
        <v>1424</v>
      </c>
      <c r="I58" s="11" t="s">
        <v>1067</v>
      </c>
      <c r="J58" s="11" t="s">
        <v>1068</v>
      </c>
      <c r="K58" s="12" t="n">
        <v>200</v>
      </c>
      <c r="L58" s="12" t="n">
        <v>1500</v>
      </c>
      <c r="M58" s="11" t="s">
        <v>1069</v>
      </c>
      <c r="N58" s="11" t="s">
        <v>1070</v>
      </c>
      <c r="O58" s="10" t="str">
        <f aca="false">IF(COUNTA(B58:N58)=0,"",IF(OR(B58="",C58="",D58="",E58="",G58="",H58="",I58="",J58=""),"ناقص","OK"))</f>
        <v>OK</v>
      </c>
      <c r="P58" s="10" t="str">
        <f aca="false">IF(D58="","",B58&amp;" "&amp;C58&amp;" "&amp;D58&amp;" "&amp;E58&amp;" "&amp;F58&amp;" "&amp;G58)</f>
        <v>تبريد هواء في نظام التبريد فقاعات هواء في خزان الردياتير والحرارة بتتذبذب فقاعات، هواء في النظام، حرارة بتتأرجح لمبة حرارة المحرك هواء محبوس في نظام التبريد أو تسريب جوان</v>
      </c>
    </row>
    <row r="59" customFormat="false" ht="35.05" hidden="false" customHeight="false" outlineLevel="0" collapsed="false">
      <c r="A59" s="10" t="s">
        <v>1425</v>
      </c>
      <c r="B59" s="11" t="s">
        <v>1325</v>
      </c>
      <c r="C59" s="11" t="s">
        <v>1426</v>
      </c>
      <c r="D59" s="11" t="s">
        <v>1427</v>
      </c>
      <c r="E59" s="11" t="s">
        <v>1428</v>
      </c>
      <c r="F59" s="11" t="s">
        <v>1075</v>
      </c>
      <c r="G59" s="11" t="s">
        <v>1429</v>
      </c>
      <c r="H59" s="11" t="s">
        <v>1430</v>
      </c>
      <c r="I59" s="11" t="s">
        <v>1096</v>
      </c>
      <c r="J59" s="11" t="s">
        <v>1068</v>
      </c>
      <c r="K59" s="12" t="n">
        <v>500</v>
      </c>
      <c r="L59" s="12" t="n">
        <v>2500</v>
      </c>
      <c r="M59" s="11" t="s">
        <v>1069</v>
      </c>
      <c r="N59" s="11" t="s">
        <v>1097</v>
      </c>
      <c r="O59" s="10" t="str">
        <f aca="false">IF(COUNTA(B59:N59)=0,"",IF(OR(B59="",C59="",D59="",E59="",G59="",H59="",I59="",J59=""),"ناقص","OK"))</f>
        <v>OK</v>
      </c>
      <c r="P59" s="10" t="str">
        <f aca="false">IF(D59="","",B59&amp;" "&amp;C59&amp;" "&amp;D59&amp;" "&amp;E59&amp;" "&amp;F59&amp;" "&amp;G59)</f>
        <v>تبريد موتور المروحة صوت عالي من المروحة وبتدور ببطء مروحة بطيئة، صوت المروحة، موتور المروحة لا توجد لمبة تآكل رولمان موتور المروحة</v>
      </c>
    </row>
    <row r="60" customFormat="false" ht="35.05" hidden="false" customHeight="false" outlineLevel="0" collapsed="false">
      <c r="A60" s="10" t="s">
        <v>1431</v>
      </c>
      <c r="B60" s="11" t="s">
        <v>1325</v>
      </c>
      <c r="C60" s="11" t="s">
        <v>1432</v>
      </c>
      <c r="D60" s="11" t="s">
        <v>1433</v>
      </c>
      <c r="E60" s="11" t="s">
        <v>1434</v>
      </c>
      <c r="F60" s="11" t="s">
        <v>1075</v>
      </c>
      <c r="G60" s="11" t="s">
        <v>1435</v>
      </c>
      <c r="H60" s="11" t="s">
        <v>1436</v>
      </c>
      <c r="I60" s="11" t="s">
        <v>1096</v>
      </c>
      <c r="J60" s="11" t="s">
        <v>1068</v>
      </c>
      <c r="K60" s="12" t="n">
        <v>150</v>
      </c>
      <c r="L60" s="12" t="n">
        <v>800</v>
      </c>
      <c r="M60" s="11" t="s">
        <v>1069</v>
      </c>
      <c r="N60" s="11" t="s">
        <v>1097</v>
      </c>
      <c r="O60" s="10" t="str">
        <f aca="false">IF(COUNTA(B60:N60)=0,"",IF(OR(B60="",C60="",D60="",E60="",G60="",H60="",I60="",J60=""),"ناقص","OK"))</f>
        <v>OK</v>
      </c>
      <c r="P60" s="10" t="str">
        <f aca="false">IF(D60="","",B60&amp;" "&amp;C60&amp;" "&amp;D60&amp;" "&amp;E60&amp;" "&amp;F60&amp;" "&amp;G60)</f>
        <v>تبريد خراطيم التبريد خرطوم مياه منتفخ أو متشقق من الخارج خرطوم منتفخ، شرخ الخرطوم، خرطوم ردياتير لا توجد لمبة تآكل المطاط مع الحرارة</v>
      </c>
    </row>
    <row r="61" customFormat="false" ht="35.05" hidden="false" customHeight="false" outlineLevel="0" collapsed="false">
      <c r="A61" s="10" t="s">
        <v>1437</v>
      </c>
      <c r="B61" s="11" t="s">
        <v>1325</v>
      </c>
      <c r="C61" s="11" t="s">
        <v>1438</v>
      </c>
      <c r="D61" s="11" t="s">
        <v>1439</v>
      </c>
      <c r="E61" s="11" t="s">
        <v>1440</v>
      </c>
      <c r="F61" s="11" t="s">
        <v>1329</v>
      </c>
      <c r="G61" s="11" t="s">
        <v>1441</v>
      </c>
      <c r="H61" s="11" t="s">
        <v>1442</v>
      </c>
      <c r="I61" s="11" t="s">
        <v>1117</v>
      </c>
      <c r="J61" s="11" t="s">
        <v>80</v>
      </c>
      <c r="K61" s="12" t="n">
        <v>6000</v>
      </c>
      <c r="L61" s="12" t="n">
        <v>30000</v>
      </c>
      <c r="M61" s="11" t="s">
        <v>1069</v>
      </c>
      <c r="N61" s="11" t="s">
        <v>1118</v>
      </c>
      <c r="O61" s="10" t="str">
        <f aca="false">IF(COUNTA(B61:N61)=0,"",IF(OR(B61="",C61="",D61="",E61="",G61="",H61="",I61="",J61=""),"ناقص","OK"))</f>
        <v>OK</v>
      </c>
      <c r="P61" s="10" t="str">
        <f aca="false">IF(D61="","",B61&amp;" "&amp;C61&amp;" "&amp;D61&amp;" "&amp;E61&amp;" "&amp;F61&amp;" "&amp;G61)</f>
        <v>تبريد راس السلندر المشقوق المحرك بيسخن ويخلط المياه بالزيت بعد سخونة شديدة سابقة سخن مرة، رأس مشقوق، خلط مياه وزيت، تاريخ سخونة لمبة حرارة المحرك تشقق راس السلندر بعد ارتفاع حرارة شديد</v>
      </c>
    </row>
    <row r="62" customFormat="false" ht="35.05" hidden="false" customHeight="false" outlineLevel="0" collapsed="false">
      <c r="A62" s="10" t="s">
        <v>1443</v>
      </c>
      <c r="B62" s="11" t="s">
        <v>1444</v>
      </c>
      <c r="C62" s="11" t="s">
        <v>1445</v>
      </c>
      <c r="D62" s="11" t="s">
        <v>1446</v>
      </c>
      <c r="E62" s="11" t="s">
        <v>1447</v>
      </c>
      <c r="F62" s="11" t="s">
        <v>1075</v>
      </c>
      <c r="G62" s="11" t="s">
        <v>1448</v>
      </c>
      <c r="H62" s="11" t="s">
        <v>1449</v>
      </c>
      <c r="I62" s="11" t="s">
        <v>1067</v>
      </c>
      <c r="J62" s="11" t="s">
        <v>80</v>
      </c>
      <c r="K62" s="12" t="n">
        <v>800</v>
      </c>
      <c r="L62" s="12" t="n">
        <v>6000</v>
      </c>
      <c r="M62" s="11" t="s">
        <v>1069</v>
      </c>
      <c r="N62" s="11" t="s">
        <v>1070</v>
      </c>
      <c r="O62" s="10" t="str">
        <f aca="false">IF(COUNTA(B62:N62)=0,"",IF(OR(B62="",C62="",D62="",E62="",G62="",H62="",I62="",J62=""),"ناقص","OK"))</f>
        <v>OK</v>
      </c>
      <c r="P62" s="10" t="str">
        <f aca="false">IF(D62="","",B62&amp;" "&amp;C62&amp;" "&amp;D62&amp;" "&amp;E62&amp;" "&amp;F62&amp;" "&amp;G62)</f>
        <v>وقود طلمبة البنزين / الفلتر المحرك بيدور بس مش بيولع بيدور ومبيولعش، مش بتولع، طلمبة بنزين، فلتر بنزين، مفيش بنزين لا توجد لمبة عطل طلمبة البنزين أو فلتر مسدود أو حساس الكرنك أو الكويلات</v>
      </c>
    </row>
    <row r="63" customFormat="false" ht="35.05" hidden="false" customHeight="false" outlineLevel="0" collapsed="false">
      <c r="A63" s="10" t="s">
        <v>1450</v>
      </c>
      <c r="B63" s="11" t="s">
        <v>1444</v>
      </c>
      <c r="C63" s="11" t="s">
        <v>1451</v>
      </c>
      <c r="D63" s="11" t="s">
        <v>1452</v>
      </c>
      <c r="E63" s="11" t="s">
        <v>1453</v>
      </c>
      <c r="F63" s="11" t="s">
        <v>1075</v>
      </c>
      <c r="G63" s="11" t="s">
        <v>1454</v>
      </c>
      <c r="H63" s="11" t="s">
        <v>1455</v>
      </c>
      <c r="I63" s="11" t="s">
        <v>1117</v>
      </c>
      <c r="J63" s="11" t="s">
        <v>80</v>
      </c>
      <c r="K63" s="12" t="n">
        <v>500</v>
      </c>
      <c r="L63" s="12" t="n">
        <v>6000</v>
      </c>
      <c r="M63" s="11" t="s">
        <v>1069</v>
      </c>
      <c r="N63" s="11" t="s">
        <v>1118</v>
      </c>
      <c r="O63" s="10" t="str">
        <f aca="false">IF(COUNTA(B63:N63)=0,"",IF(OR(B63="",C63="",D63="",E63="",G63="",H63="",I63="",J63=""),"ناقص","OK"))</f>
        <v>OK</v>
      </c>
      <c r="P63" s="10" t="str">
        <f aca="false">IF(D63="","",B63&amp;" "&amp;C63&amp;" "&amp;D63&amp;" "&amp;E63&amp;" "&amp;F63&amp;" "&amp;G63)</f>
        <v>وقود حساس الكرنك / الطلمبة العربية بتموت فجأة وأنا ماشي بتموت، بتفصل، بتطفي فجأة، بتقف لوحدها لا توجد لمبة عطل حساس الكرنك أو طلمبة البنزين أو دينامو أو بطارية</v>
      </c>
    </row>
    <row r="64" customFormat="false" ht="35.05" hidden="false" customHeight="false" outlineLevel="0" collapsed="false">
      <c r="A64" s="10" t="s">
        <v>1456</v>
      </c>
      <c r="B64" s="11" t="s">
        <v>1444</v>
      </c>
      <c r="C64" s="11" t="s">
        <v>1457</v>
      </c>
      <c r="D64" s="11" t="s">
        <v>1458</v>
      </c>
      <c r="E64" s="11" t="s">
        <v>1459</v>
      </c>
      <c r="F64" s="11" t="s">
        <v>1075</v>
      </c>
      <c r="G64" s="11" t="s">
        <v>1460</v>
      </c>
      <c r="H64" s="11" t="s">
        <v>1461</v>
      </c>
      <c r="I64" s="11" t="s">
        <v>1096</v>
      </c>
      <c r="J64" s="11" t="s">
        <v>81</v>
      </c>
      <c r="K64" s="12" t="n">
        <v>300</v>
      </c>
      <c r="L64" s="12" t="n">
        <v>3000</v>
      </c>
      <c r="M64" s="11" t="s">
        <v>1069</v>
      </c>
      <c r="N64" s="11" t="s">
        <v>1097</v>
      </c>
      <c r="O64" s="10" t="str">
        <f aca="false">IF(COUNTA(B64:N64)=0,"",IF(OR(B64="",C64="",D64="",E64="",G64="",H64="",I64="",J64=""),"ناقص","OK"))</f>
        <v>OK</v>
      </c>
      <c r="P64" s="10" t="str">
        <f aca="false">IF(D64="","",B64&amp;" "&amp;C64&amp;" "&amp;D64&amp;" "&amp;E64&amp;" "&amp;F64&amp;" "&amp;G64)</f>
        <v>وقود فلتر الهواء / البوجيهات استهلاك بنزين عالي بتشرب بنزين، استهلاك عالي، بنزين كتير لا توجد لمبة فلتر هواء أو بوجيهات أو ضغط كاوتش أو حساس أكسجين</v>
      </c>
    </row>
    <row r="65" customFormat="false" ht="35.05" hidden="false" customHeight="false" outlineLevel="0" collapsed="false">
      <c r="A65" s="10" t="s">
        <v>1462</v>
      </c>
      <c r="B65" s="11" t="s">
        <v>1444</v>
      </c>
      <c r="C65" s="11" t="s">
        <v>1463</v>
      </c>
      <c r="D65" s="11" t="s">
        <v>1464</v>
      </c>
      <c r="E65" s="11" t="s">
        <v>1465</v>
      </c>
      <c r="F65" s="11" t="s">
        <v>1075</v>
      </c>
      <c r="G65" s="11" t="s">
        <v>1466</v>
      </c>
      <c r="H65" s="11" t="s">
        <v>1467</v>
      </c>
      <c r="I65" s="11" t="s">
        <v>1117</v>
      </c>
      <c r="J65" s="11" t="s">
        <v>80</v>
      </c>
      <c r="K65" s="12" t="n">
        <v>300</v>
      </c>
      <c r="L65" s="12" t="n">
        <v>5000</v>
      </c>
      <c r="M65" s="11" t="s">
        <v>1069</v>
      </c>
      <c r="N65" s="11" t="s">
        <v>1118</v>
      </c>
      <c r="O65" s="10" t="str">
        <f aca="false">IF(COUNTA(B65:N65)=0,"",IF(OR(B65="",C65="",D65="",E65="",G65="",H65="",I65="",J65=""),"ناقص","OK"))</f>
        <v>OK</v>
      </c>
      <c r="P65" s="10" t="str">
        <f aca="false">IF(D65="","",B65&amp;" "&amp;C65&amp;" "&amp;D65&amp;" "&amp;E65&amp;" "&amp;F65&amp;" "&amp;G65)</f>
        <v>وقود الخراطيم / البخاخات ريحة بنزين داخل أو حوالين العربية ريحة بنزين، تسريب بنزين، بنزين بينقط لا توجد لمبة تسريب وقود من خرطوم أو بخاخ أو الخزان</v>
      </c>
    </row>
    <row r="66" customFormat="false" ht="23.85" hidden="false" customHeight="false" outlineLevel="0" collapsed="false">
      <c r="A66" s="10" t="s">
        <v>1468</v>
      </c>
      <c r="B66" s="11" t="s">
        <v>1444</v>
      </c>
      <c r="C66" s="11" t="s">
        <v>1469</v>
      </c>
      <c r="D66" s="11" t="s">
        <v>1470</v>
      </c>
      <c r="E66" s="11" t="s">
        <v>1471</v>
      </c>
      <c r="F66" s="11" t="s">
        <v>1075</v>
      </c>
      <c r="G66" s="11" t="s">
        <v>1472</v>
      </c>
      <c r="H66" s="11" t="s">
        <v>1473</v>
      </c>
      <c r="I66" s="11" t="s">
        <v>1096</v>
      </c>
      <c r="J66" s="11" t="s">
        <v>1068</v>
      </c>
      <c r="K66" s="12" t="n">
        <v>150</v>
      </c>
      <c r="L66" s="12" t="n">
        <v>1200</v>
      </c>
      <c r="M66" s="11" t="s">
        <v>1069</v>
      </c>
      <c r="N66" s="11" t="s">
        <v>1097</v>
      </c>
      <c r="O66" s="10" t="str">
        <f aca="false">IF(COUNTA(B66:N66)=0,"",IF(OR(B66="",C66="",D66="",E66="",G66="",H66="",I66="",J66=""),"ناقص","OK"))</f>
        <v>OK</v>
      </c>
      <c r="P66" s="10" t="str">
        <f aca="false">IF(D66="","",B66&amp;" "&amp;C66&amp;" "&amp;D66&amp;" "&amp;E66&amp;" "&amp;F66&amp;" "&amp;G66)</f>
        <v>وقود فلتر البنزين ضعف سحب عند السرعة والصعود وتقطيع فلتر البنزين، ضعف سحب، تقطيع، صعود لا توجد لمبة فلتر مسدود</v>
      </c>
    </row>
    <row r="67" customFormat="false" ht="35.05" hidden="false" customHeight="false" outlineLevel="0" collapsed="false">
      <c r="A67" s="10" t="s">
        <v>1474</v>
      </c>
      <c r="B67" s="11" t="s">
        <v>1444</v>
      </c>
      <c r="C67" s="11" t="s">
        <v>1475</v>
      </c>
      <c r="D67" s="11" t="s">
        <v>1476</v>
      </c>
      <c r="E67" s="11" t="s">
        <v>1477</v>
      </c>
      <c r="F67" s="11" t="s">
        <v>1064</v>
      </c>
      <c r="G67" s="11" t="s">
        <v>1478</v>
      </c>
      <c r="H67" s="11" t="s">
        <v>1479</v>
      </c>
      <c r="I67" s="11" t="s">
        <v>1067</v>
      </c>
      <c r="J67" s="11" t="s">
        <v>1068</v>
      </c>
      <c r="K67" s="12" t="n">
        <v>1200</v>
      </c>
      <c r="L67" s="12" t="n">
        <v>5000</v>
      </c>
      <c r="M67" s="11" t="s">
        <v>1069</v>
      </c>
      <c r="N67" s="11" t="s">
        <v>1070</v>
      </c>
      <c r="O67" s="10" t="str">
        <f aca="false">IF(COUNTA(B67:N67)=0,"",IF(OR(B67="",C67="",D67="",E67="",G67="",H67="",I67="",J67=""),"ناقص","OK"))</f>
        <v>OK</v>
      </c>
      <c r="P67" s="10" t="str">
        <f aca="false">IF(D67="","",B67&amp;" "&amp;C67&amp;" "&amp;D67&amp;" "&amp;E67&amp;" "&amp;F67&amp;" "&amp;G67)</f>
        <v>وقود طلمبة البنزين الضعيفة العربية بتتقطع على السرعات العالية وبترجع بعد الوقوف طلمبة بنزين ضعيفة، تقطيع على السرعة، تفصل لمبة المحرك ضعف ضغط الطلمبة</v>
      </c>
    </row>
    <row r="68" customFormat="false" ht="35.05" hidden="false" customHeight="false" outlineLevel="0" collapsed="false">
      <c r="A68" s="10" t="s">
        <v>1480</v>
      </c>
      <c r="B68" s="11" t="s">
        <v>1444</v>
      </c>
      <c r="C68" s="11" t="s">
        <v>1481</v>
      </c>
      <c r="D68" s="11" t="s">
        <v>1482</v>
      </c>
      <c r="E68" s="11" t="s">
        <v>1483</v>
      </c>
      <c r="F68" s="11" t="s">
        <v>1075</v>
      </c>
      <c r="G68" s="11" t="s">
        <v>1484</v>
      </c>
      <c r="H68" s="11" t="s">
        <v>1485</v>
      </c>
      <c r="I68" s="11" t="s">
        <v>1096</v>
      </c>
      <c r="J68" s="11" t="s">
        <v>81</v>
      </c>
      <c r="K68" s="12" t="n">
        <v>500</v>
      </c>
      <c r="L68" s="12" t="n">
        <v>3000</v>
      </c>
      <c r="M68" s="11" t="s">
        <v>1069</v>
      </c>
      <c r="N68" s="11" t="s">
        <v>1097</v>
      </c>
      <c r="O68" s="10" t="str">
        <f aca="false">IF(COUNTA(B68:N68)=0,"",IF(OR(B68="",C68="",D68="",E68="",G68="",H68="",I68="",J68=""),"ناقص","OK"))</f>
        <v>OK</v>
      </c>
      <c r="P68" s="10" t="str">
        <f aca="false">IF(D68="","",B68&amp;" "&amp;C68&amp;" "&amp;D68&amp;" "&amp;E68&amp;" "&amp;F68&amp;" "&amp;G68)</f>
        <v>وقود عائم الخزان عداد البنزين غلط أو بيتحرك لوحده عداد البنزين غلط، عائم الخزان، إبرة البنزين، بتنط لا توجد لمبة تلف عائم الخزان أو الحساس</v>
      </c>
    </row>
    <row r="69" customFormat="false" ht="35.05" hidden="false" customHeight="false" outlineLevel="0" collapsed="false">
      <c r="A69" s="10" t="s">
        <v>1486</v>
      </c>
      <c r="B69" s="11" t="s">
        <v>1444</v>
      </c>
      <c r="C69" s="11" t="s">
        <v>1487</v>
      </c>
      <c r="D69" s="11" t="s">
        <v>1488</v>
      </c>
      <c r="E69" s="11" t="s">
        <v>1489</v>
      </c>
      <c r="F69" s="11" t="s">
        <v>1064</v>
      </c>
      <c r="G69" s="11" t="s">
        <v>1490</v>
      </c>
      <c r="H69" s="11" t="s">
        <v>1491</v>
      </c>
      <c r="I69" s="11" t="s">
        <v>1096</v>
      </c>
      <c r="J69" s="11" t="s">
        <v>81</v>
      </c>
      <c r="K69" s="12" t="n">
        <v>30</v>
      </c>
      <c r="L69" s="12" t="n">
        <v>300</v>
      </c>
      <c r="M69" s="11" t="s">
        <v>1069</v>
      </c>
      <c r="N69" s="11" t="s">
        <v>1097</v>
      </c>
      <c r="O69" s="10" t="str">
        <f aca="false">IF(COUNTA(B69:N69)=0,"",IF(OR(B69="",C69="",D69="",E69="",G69="",H69="",I69="",J69=""),"ناقص","OK"))</f>
        <v>OK</v>
      </c>
      <c r="P69" s="10" t="str">
        <f aca="false">IF(D69="","",B69&amp;" "&amp;C69&amp;" "&amp;D69&amp;" "&amp;E69&amp;" "&amp;F69&amp;" "&amp;G69)</f>
        <v>وقود غطاء الخزان المفكوك لمبة المحرك منورة بعد التموين غطاء الخزان، بعد البنزين، لمبة المحرك، غطاء مش مقفول لمبة المحرك غطاء الخزان غير محكم</v>
      </c>
    </row>
    <row r="70" customFormat="false" ht="35.05" hidden="false" customHeight="false" outlineLevel="0" collapsed="false">
      <c r="A70" s="10" t="s">
        <v>1492</v>
      </c>
      <c r="B70" s="11" t="s">
        <v>1444</v>
      </c>
      <c r="C70" s="11" t="s">
        <v>1493</v>
      </c>
      <c r="D70" s="11" t="s">
        <v>1494</v>
      </c>
      <c r="E70" s="11" t="s">
        <v>1495</v>
      </c>
      <c r="F70" s="11" t="s">
        <v>1075</v>
      </c>
      <c r="G70" s="11" t="s">
        <v>1496</v>
      </c>
      <c r="H70" s="11" t="s">
        <v>1497</v>
      </c>
      <c r="I70" s="11" t="s">
        <v>1067</v>
      </c>
      <c r="J70" s="11" t="s">
        <v>1068</v>
      </c>
      <c r="K70" s="12" t="n">
        <v>400</v>
      </c>
      <c r="L70" s="12" t="n">
        <v>2500</v>
      </c>
      <c r="M70" s="11" t="s">
        <v>1069</v>
      </c>
      <c r="N70" s="11" t="s">
        <v>1070</v>
      </c>
      <c r="O70" s="10" t="str">
        <f aca="false">IF(COUNTA(B70:N70)=0,"",IF(OR(B70="",C70="",D70="",E70="",G70="",H70="",I70="",J70=""),"ناقص","OK"))</f>
        <v>OK</v>
      </c>
      <c r="P70" s="10" t="str">
        <f aca="false">IF(D70="","",B70&amp;" "&amp;C70&amp;" "&amp;D70&amp;" "&amp;E70&amp;" "&amp;F70&amp;" "&amp;G70)</f>
        <v>وقود منظم ضغط البنزين ريحة بنزين في فتحة الشفط وصعوبة تشغيل منظم ضغط البنزين، ريحة بنزين، صعوبة تشغيل ساخن لا توجد لمبة تسريب ديافرام المنظم</v>
      </c>
    </row>
    <row r="71" customFormat="false" ht="35.05" hidden="false" customHeight="false" outlineLevel="0" collapsed="false">
      <c r="A71" s="10" t="s">
        <v>1498</v>
      </c>
      <c r="B71" s="11" t="s">
        <v>1444</v>
      </c>
      <c r="C71" s="11" t="s">
        <v>1499</v>
      </c>
      <c r="D71" s="11" t="s">
        <v>1500</v>
      </c>
      <c r="E71" s="11" t="s">
        <v>1501</v>
      </c>
      <c r="F71" s="11" t="s">
        <v>1064</v>
      </c>
      <c r="G71" s="11" t="s">
        <v>1502</v>
      </c>
      <c r="H71" s="11" t="s">
        <v>1503</v>
      </c>
      <c r="I71" s="11" t="s">
        <v>1067</v>
      </c>
      <c r="J71" s="11" t="s">
        <v>1068</v>
      </c>
      <c r="K71" s="12" t="n">
        <v>300</v>
      </c>
      <c r="L71" s="12" t="n">
        <v>3500</v>
      </c>
      <c r="M71" s="11" t="s">
        <v>1069</v>
      </c>
      <c r="N71" s="11" t="s">
        <v>1070</v>
      </c>
      <c r="O71" s="10" t="str">
        <f aca="false">IF(COUNTA(B71:N71)=0,"",IF(OR(B71="",C71="",D71="",E71="",G71="",H71="",I71="",J71=""),"ناقص","OK"))</f>
        <v>OK</v>
      </c>
      <c r="P71" s="10" t="str">
        <f aca="false">IF(D71="","",B71&amp;" "&amp;C71&amp;" "&amp;D71&amp;" "&amp;E71&amp;" "&amp;F71&amp;" "&amp;G71)</f>
        <v>وقود بنزين مغشوش تقطيع ورعشة بعد التموين من محطة معينة بنزين مغشوش، تقطيع بعد التموين، محطة، بنزين وحش لمبة المحرك بنزين رديء أو به ماء</v>
      </c>
    </row>
    <row r="72" customFormat="false" ht="35.05" hidden="false" customHeight="false" outlineLevel="0" collapsed="false">
      <c r="A72" s="10" t="s">
        <v>1504</v>
      </c>
      <c r="B72" s="11" t="s">
        <v>1444</v>
      </c>
      <c r="C72" s="11" t="s">
        <v>1505</v>
      </c>
      <c r="D72" s="11" t="s">
        <v>1506</v>
      </c>
      <c r="E72" s="11" t="s">
        <v>1507</v>
      </c>
      <c r="F72" s="11" t="s">
        <v>1075</v>
      </c>
      <c r="G72" s="11" t="s">
        <v>1508</v>
      </c>
      <c r="H72" s="11" t="s">
        <v>1509</v>
      </c>
      <c r="I72" s="11" t="s">
        <v>1117</v>
      </c>
      <c r="J72" s="11" t="s">
        <v>80</v>
      </c>
      <c r="K72" s="12" t="n">
        <v>500</v>
      </c>
      <c r="L72" s="12" t="n">
        <v>3500</v>
      </c>
      <c r="M72" s="11" t="s">
        <v>1069</v>
      </c>
      <c r="N72" s="11" t="s">
        <v>1118</v>
      </c>
      <c r="O72" s="10" t="str">
        <f aca="false">IF(COUNTA(B72:N72)=0,"",IF(OR(B72="",C72="",D72="",E72="",G72="",H72="",I72="",J72=""),"ناقص","OK"))</f>
        <v>OK</v>
      </c>
      <c r="P72" s="10" t="str">
        <f aca="false">IF(D72="","",B72&amp;" "&amp;C72&amp;" "&amp;D72&amp;" "&amp;E72&amp;" "&amp;F72&amp;" "&amp;G72)</f>
        <v>وقود ماء في البنزين العربية تقف عقب سيول أو غسيل وتتقطع ماء في البنزين، بعد المطر، تقف، مياه في الخزان لا توجد لمبة دخول ماء للخزان</v>
      </c>
    </row>
    <row r="73" customFormat="false" ht="35.05" hidden="false" customHeight="false" outlineLevel="0" collapsed="false">
      <c r="A73" s="10" t="s">
        <v>1510</v>
      </c>
      <c r="B73" s="11" t="s">
        <v>1444</v>
      </c>
      <c r="C73" s="11" t="s">
        <v>1511</v>
      </c>
      <c r="D73" s="11" t="s">
        <v>1512</v>
      </c>
      <c r="E73" s="11" t="s">
        <v>1513</v>
      </c>
      <c r="F73" s="11" t="s">
        <v>1075</v>
      </c>
      <c r="G73" s="11" t="s">
        <v>1514</v>
      </c>
      <c r="H73" s="11" t="s">
        <v>1515</v>
      </c>
      <c r="I73" s="11" t="s">
        <v>1117</v>
      </c>
      <c r="J73" s="11" t="s">
        <v>80</v>
      </c>
      <c r="K73" s="12" t="n">
        <v>300</v>
      </c>
      <c r="L73" s="12" t="n">
        <v>3000</v>
      </c>
      <c r="M73" s="11" t="s">
        <v>1069</v>
      </c>
      <c r="N73" s="11" t="s">
        <v>1118</v>
      </c>
      <c r="O73" s="10" t="str">
        <f aca="false">IF(COUNTA(B73:N73)=0,"",IF(OR(B73="",C73="",D73="",E73="",G73="",H73="",I73="",J73=""),"ناقص","OK"))</f>
        <v>OK</v>
      </c>
      <c r="P73" s="10" t="str">
        <f aca="false">IF(D73="","",B73&amp;" "&amp;C73&amp;" "&amp;D73&amp;" "&amp;E73&amp;" "&amp;F73&amp;" "&amp;G73)</f>
        <v>وقود خط البنزين بقعة بنزين وريحة قوية من تحت العربية خط البنزين، تسريب، ماسورة بنزين، بقعة بنزين لا توجد لمبة تلف خرطوم أو ماسورة البنزين</v>
      </c>
    </row>
    <row r="74" customFormat="false" ht="35.05" hidden="false" customHeight="false" outlineLevel="0" collapsed="false">
      <c r="A74" s="10" t="s">
        <v>1516</v>
      </c>
      <c r="B74" s="11" t="s">
        <v>1444</v>
      </c>
      <c r="C74" s="11" t="s">
        <v>1517</v>
      </c>
      <c r="D74" s="11" t="s">
        <v>1518</v>
      </c>
      <c r="E74" s="11" t="s">
        <v>1519</v>
      </c>
      <c r="F74" s="11" t="s">
        <v>1075</v>
      </c>
      <c r="G74" s="11" t="s">
        <v>1520</v>
      </c>
      <c r="H74" s="11" t="s">
        <v>1521</v>
      </c>
      <c r="I74" s="11" t="s">
        <v>1067</v>
      </c>
      <c r="J74" s="11" t="s">
        <v>1068</v>
      </c>
      <c r="K74" s="12" t="n">
        <v>1500</v>
      </c>
      <c r="L74" s="12" t="n">
        <v>8000</v>
      </c>
      <c r="M74" s="11" t="s">
        <v>1069</v>
      </c>
      <c r="N74" s="11" t="s">
        <v>1070</v>
      </c>
      <c r="O74" s="10" t="str">
        <f aca="false">IF(COUNTA(B74:N74)=0,"",IF(OR(B74="",C74="",D74="",E74="",G74="",H74="",I74="",J74=""),"ناقص","OK"))</f>
        <v>OK</v>
      </c>
      <c r="P74" s="10" t="str">
        <f aca="false">IF(D74="","",B74&amp;" "&amp;C74&amp;" "&amp;D74&amp;" "&amp;E74&amp;" "&amp;F74&amp;" "&amp;G74)</f>
        <v>وقود خزان البنزين الصدئ رواسب وصدأ في الفلتر وتقطيع متكرر خزان صدئ، رواسب، فلتر بنزين يتسد بسرعة لا توجد لمبة تآكل الخزان من الداخل</v>
      </c>
    </row>
    <row r="75" customFormat="false" ht="39.55" hidden="false" customHeight="false" outlineLevel="0" collapsed="false">
      <c r="A75" s="10" t="s">
        <v>1522</v>
      </c>
      <c r="B75" s="11" t="s">
        <v>1444</v>
      </c>
      <c r="C75" s="11" t="s">
        <v>1523</v>
      </c>
      <c r="D75" s="11" t="s">
        <v>1524</v>
      </c>
      <c r="E75" s="11" t="s">
        <v>1525</v>
      </c>
      <c r="F75" s="11" t="s">
        <v>1064</v>
      </c>
      <c r="G75" s="11" t="s">
        <v>1526</v>
      </c>
      <c r="H75" s="11" t="s">
        <v>1527</v>
      </c>
      <c r="I75" s="11" t="s">
        <v>1096</v>
      </c>
      <c r="J75" s="11" t="s">
        <v>81</v>
      </c>
      <c r="K75" s="12" t="n">
        <v>400</v>
      </c>
      <c r="L75" s="12" t="n">
        <v>3000</v>
      </c>
      <c r="M75" s="11" t="s">
        <v>1069</v>
      </c>
      <c r="N75" s="11" t="s">
        <v>1097</v>
      </c>
      <c r="O75" s="10" t="str">
        <f aca="false">IF(COUNTA(B75:N75)=0,"",IF(OR(B75="",C75="",D75="",E75="",G75="",H75="",I75="",J75=""),"ناقص","OK"))</f>
        <v>OK</v>
      </c>
      <c r="P75" s="10" t="str">
        <f aca="false">IF(D75="","",B75&amp;" "&amp;C75&amp;" "&amp;D75&amp;" "&amp;E75&amp;" "&amp;F75&amp;" "&amp;G75)</f>
        <v>وقود صمام الكانيستر (EVAP) ريحة بنزين بعد التموين ولمبة المحرك الكانيستر، EVAP، ريحة بنزين، بعد التموين لمبة المحرك عطل صمام تنقية أبخرة الوقود</v>
      </c>
    </row>
    <row r="76" customFormat="false" ht="35.05" hidden="false" customHeight="false" outlineLevel="0" collapsed="false">
      <c r="A76" s="10" t="s">
        <v>1528</v>
      </c>
      <c r="B76" s="11" t="s">
        <v>1444</v>
      </c>
      <c r="C76" s="11" t="s">
        <v>1529</v>
      </c>
      <c r="D76" s="11" t="s">
        <v>1530</v>
      </c>
      <c r="E76" s="11" t="s">
        <v>1531</v>
      </c>
      <c r="F76" s="11" t="s">
        <v>1532</v>
      </c>
      <c r="G76" s="11" t="s">
        <v>1533</v>
      </c>
      <c r="H76" s="11" t="s">
        <v>1534</v>
      </c>
      <c r="I76" s="11" t="s">
        <v>1096</v>
      </c>
      <c r="J76" s="11" t="s">
        <v>1068</v>
      </c>
      <c r="K76" s="12" t="n">
        <v>300</v>
      </c>
      <c r="L76" s="12" t="n">
        <v>2000</v>
      </c>
      <c r="M76" s="11" t="s">
        <v>464</v>
      </c>
      <c r="N76" s="11" t="s">
        <v>1097</v>
      </c>
      <c r="O76" s="10" t="str">
        <f aca="false">IF(COUNTA(B76:N76)=0,"",IF(OR(B76="",C76="",D76="",E76="",G76="",H76="",I76="",J76=""),"ناقص","OK"))</f>
        <v>OK</v>
      </c>
      <c r="P76" s="10" t="str">
        <f aca="false">IF(D76="","",B76&amp;" "&amp;C76&amp;" "&amp;D76&amp;" "&amp;E76&amp;" "&amp;F76&amp;" "&amp;G76)</f>
        <v>وقود فلتر الديزل ضعف سحب في الديزل وبطء استجابة فلتر الديزل، ضعف سحب، ماء في الديزل، ديزل لمبة المياه في الفلتر فلتر ديزل مسدود أو به ماء</v>
      </c>
    </row>
    <row r="77" customFormat="false" ht="35.05" hidden="false" customHeight="false" outlineLevel="0" collapsed="false">
      <c r="A77" s="10" t="s">
        <v>1535</v>
      </c>
      <c r="B77" s="11" t="s">
        <v>1444</v>
      </c>
      <c r="C77" s="11" t="s">
        <v>1536</v>
      </c>
      <c r="D77" s="11" t="s">
        <v>1537</v>
      </c>
      <c r="E77" s="11" t="s">
        <v>1538</v>
      </c>
      <c r="F77" s="11" t="s">
        <v>1064</v>
      </c>
      <c r="G77" s="11" t="s">
        <v>1539</v>
      </c>
      <c r="H77" s="11" t="s">
        <v>1540</v>
      </c>
      <c r="I77" s="11" t="s">
        <v>1117</v>
      </c>
      <c r="J77" s="11" t="s">
        <v>1068</v>
      </c>
      <c r="K77" s="12" t="n">
        <v>8000</v>
      </c>
      <c r="L77" s="12" t="n">
        <v>40000</v>
      </c>
      <c r="M77" s="11" t="s">
        <v>464</v>
      </c>
      <c r="N77" s="11" t="s">
        <v>1118</v>
      </c>
      <c r="O77" s="10" t="str">
        <f aca="false">IF(COUNTA(B77:N77)=0,"",IF(OR(B77="",C77="",D77="",E77="",G77="",H77="",I77="",J77=""),"ناقص","OK"))</f>
        <v>OK</v>
      </c>
      <c r="P77" s="10" t="str">
        <f aca="false">IF(D77="","",B77&amp;" "&amp;C77&amp;" "&amp;D77&amp;" "&amp;E77&amp;" "&amp;F77&amp;" "&amp;G77)</f>
        <v>وقود طلمبة حقن الديزل العربية الديزل بتتقطع أو بتقف بعد التشغيل طلمبة الحقن، ديزل، بتقف، تقطيع لمبة المحرك ضعف طلمبة الحقن العالية</v>
      </c>
    </row>
    <row r="78" customFormat="false" ht="35.05" hidden="false" customHeight="false" outlineLevel="0" collapsed="false">
      <c r="A78" s="10" t="s">
        <v>1541</v>
      </c>
      <c r="B78" s="11" t="s">
        <v>1444</v>
      </c>
      <c r="C78" s="11" t="s">
        <v>1542</v>
      </c>
      <c r="D78" s="11" t="s">
        <v>1543</v>
      </c>
      <c r="E78" s="11" t="s">
        <v>1544</v>
      </c>
      <c r="F78" s="11" t="s">
        <v>1075</v>
      </c>
      <c r="G78" s="11" t="s">
        <v>1545</v>
      </c>
      <c r="H78" s="11" t="s">
        <v>1546</v>
      </c>
      <c r="I78" s="11" t="s">
        <v>1117</v>
      </c>
      <c r="J78" s="11" t="s">
        <v>80</v>
      </c>
      <c r="K78" s="12" t="n">
        <v>300</v>
      </c>
      <c r="L78" s="12" t="n">
        <v>4000</v>
      </c>
      <c r="M78" s="11" t="s">
        <v>1547</v>
      </c>
      <c r="N78" s="11" t="s">
        <v>1118</v>
      </c>
      <c r="O78" s="10" t="str">
        <f aca="false">IF(COUNTA(B78:N78)=0,"",IF(OR(B78="",C78="",D78="",E78="",G78="",H78="",I78="",J78=""),"ناقص","OK"))</f>
        <v>OK</v>
      </c>
      <c r="P78" s="10" t="str">
        <f aca="false">IF(D78="","",B78&amp;" "&amp;C78&amp;" "&amp;D78&amp;" "&amp;E78&amp;" "&amp;F78&amp;" "&amp;G78)</f>
        <v>وقود تسريب الغاز الطبيعي ريحة غاز أو ضعف في السحب على الغاز غاز طبيعي، ريحة غاز، ضعف على الغاز، تحويل لا توجد لمبة تسريب وصلة أو ضعف منظم الضغط</v>
      </c>
    </row>
    <row r="79" customFormat="false" ht="35.05" hidden="false" customHeight="false" outlineLevel="0" collapsed="false">
      <c r="A79" s="10" t="s">
        <v>1548</v>
      </c>
      <c r="B79" s="11" t="s">
        <v>1444</v>
      </c>
      <c r="C79" s="11" t="s">
        <v>1549</v>
      </c>
      <c r="D79" s="11" t="s">
        <v>1550</v>
      </c>
      <c r="E79" s="11" t="s">
        <v>1551</v>
      </c>
      <c r="F79" s="11" t="s">
        <v>1075</v>
      </c>
      <c r="G79" s="11" t="s">
        <v>1552</v>
      </c>
      <c r="H79" s="11" t="s">
        <v>1553</v>
      </c>
      <c r="I79" s="11" t="s">
        <v>1067</v>
      </c>
      <c r="J79" s="11" t="s">
        <v>1068</v>
      </c>
      <c r="K79" s="12" t="n">
        <v>400</v>
      </c>
      <c r="L79" s="12" t="n">
        <v>3000</v>
      </c>
      <c r="M79" s="11" t="s">
        <v>1547</v>
      </c>
      <c r="N79" s="11" t="s">
        <v>1070</v>
      </c>
      <c r="O79" s="10" t="str">
        <f aca="false">IF(COUNTA(B79:N79)=0,"",IF(OR(B79="",C79="",D79="",E79="",G79="",H79="",I79="",J79=""),"ناقص","OK"))</f>
        <v>OK</v>
      </c>
      <c r="P79" s="10" t="str">
        <f aca="false">IF(D79="","",B79&amp;" "&amp;C79&amp;" "&amp;D79&amp;" "&amp;E79&amp;" "&amp;F79&amp;" "&amp;G79)</f>
        <v>وقود منظم الغاز العربية تنقطع على الغاز وتشتغل على البنزين منظم الغاز، تقطع على الغاز، تحويل لبنزين لا توجد لمبة عطل منظم الغاز أو الفلتر</v>
      </c>
    </row>
    <row r="80" customFormat="false" ht="35.05" hidden="false" customHeight="false" outlineLevel="0" collapsed="false">
      <c r="A80" s="10" t="s">
        <v>1554</v>
      </c>
      <c r="B80" s="11" t="s">
        <v>1444</v>
      </c>
      <c r="C80" s="11" t="s">
        <v>1555</v>
      </c>
      <c r="D80" s="11" t="s">
        <v>1556</v>
      </c>
      <c r="E80" s="11" t="s">
        <v>1557</v>
      </c>
      <c r="F80" s="11" t="s">
        <v>1075</v>
      </c>
      <c r="G80" s="11" t="s">
        <v>1558</v>
      </c>
      <c r="H80" s="11" t="s">
        <v>1559</v>
      </c>
      <c r="I80" s="11" t="s">
        <v>1096</v>
      </c>
      <c r="J80" s="11" t="s">
        <v>81</v>
      </c>
      <c r="K80" s="12" t="n">
        <v>150</v>
      </c>
      <c r="L80" s="12" t="n">
        <v>1500</v>
      </c>
      <c r="M80" s="11" t="s">
        <v>1069</v>
      </c>
      <c r="N80" s="11" t="s">
        <v>1097</v>
      </c>
      <c r="O80" s="10" t="str">
        <f aca="false">IF(COUNTA(B80:N80)=0,"",IF(OR(B80="",C80="",D80="",E80="",G80="",H80="",I80="",J80=""),"ناقص","OK"))</f>
        <v>OK</v>
      </c>
      <c r="P80" s="10" t="str">
        <f aca="false">IF(D80="","",B80&amp;" "&amp;C80&amp;" "&amp;D80&amp;" "&amp;E80&amp;" "&amp;F80&amp;" "&amp;G80)</f>
        <v>وقود تنفيس خزان البنزين صوت هسهسة عند فتح غطاء الخزان هسهسة غطاء الخزان، ضغط الخزان، فاكيوم الخزان لا توجد لمبة انسداد تنفيس الخزان</v>
      </c>
    </row>
    <row r="81" customFormat="false" ht="35.05" hidden="false" customHeight="false" outlineLevel="0" collapsed="false">
      <c r="A81" s="10" t="s">
        <v>1560</v>
      </c>
      <c r="B81" s="11" t="s">
        <v>1561</v>
      </c>
      <c r="C81" s="11" t="s">
        <v>1562</v>
      </c>
      <c r="D81" s="11" t="s">
        <v>1563</v>
      </c>
      <c r="E81" s="11" t="s">
        <v>1564</v>
      </c>
      <c r="F81" s="11" t="s">
        <v>1075</v>
      </c>
      <c r="G81" s="11" t="s">
        <v>1565</v>
      </c>
      <c r="H81" s="11" t="s">
        <v>1566</v>
      </c>
      <c r="I81" s="11" t="s">
        <v>1096</v>
      </c>
      <c r="J81" s="11" t="s">
        <v>81</v>
      </c>
      <c r="K81" s="12" t="n">
        <v>200</v>
      </c>
      <c r="L81" s="12" t="n">
        <v>3000</v>
      </c>
      <c r="M81" s="11" t="s">
        <v>1069</v>
      </c>
      <c r="N81" s="11" t="s">
        <v>1097</v>
      </c>
      <c r="O81" s="10" t="str">
        <f aca="false">IF(COUNTA(B81:N81)=0,"",IF(OR(B81="",C81="",D81="",E81="",G81="",H81="",I81="",J81=""),"ناقص","OK"))</f>
        <v>OK</v>
      </c>
      <c r="P81" s="10" t="str">
        <f aca="false">IF(D81="","",B81&amp;" "&amp;C81&amp;" "&amp;D81&amp;" "&amp;E81&amp;" "&amp;F81&amp;" "&amp;G81)</f>
        <v>عادم حساس الأكسجين / البخاخات دخان أسود من الشكمان دخان أسود، عادم أسود، بتحرق بنزين، شكمان أسود لا توجد لمبة خليط غني بسبب فلتر هواء مسدود أو حساس أكسجين أو بخاخات</v>
      </c>
    </row>
    <row r="82" customFormat="false" ht="23.85" hidden="false" customHeight="false" outlineLevel="0" collapsed="false">
      <c r="A82" s="10" t="s">
        <v>1567</v>
      </c>
      <c r="B82" s="11" t="s">
        <v>1561</v>
      </c>
      <c r="C82" s="11" t="s">
        <v>1568</v>
      </c>
      <c r="D82" s="11" t="s">
        <v>1569</v>
      </c>
      <c r="E82" s="11" t="s">
        <v>1570</v>
      </c>
      <c r="F82" s="11" t="s">
        <v>1075</v>
      </c>
      <c r="G82" s="11" t="s">
        <v>1571</v>
      </c>
      <c r="H82" s="11" t="s">
        <v>1572</v>
      </c>
      <c r="I82" s="11" t="s">
        <v>1096</v>
      </c>
      <c r="J82" s="11" t="s">
        <v>81</v>
      </c>
      <c r="K82" s="12" t="n">
        <v>300</v>
      </c>
      <c r="L82" s="12" t="n">
        <v>3000</v>
      </c>
      <c r="M82" s="11" t="s">
        <v>1069</v>
      </c>
      <c r="N82" s="11" t="s">
        <v>1097</v>
      </c>
      <c r="O82" s="10" t="str">
        <f aca="false">IF(COUNTA(B82:N82)=0,"",IF(OR(B82="",C82="",D82="",E82="",G82="",H82="",I82="",J82=""),"ناقص","OK"))</f>
        <v>OK</v>
      </c>
      <c r="P82" s="10" t="str">
        <f aca="false">IF(D82="","",B82&amp;" "&amp;C82&amp;" "&amp;D82&amp;" "&amp;E82&amp;" "&amp;F82&amp;" "&amp;G82)</f>
        <v>عادم الشكمان / الكاتم صوت عالي من الشكمان صوت عادم، شكمان بيزن، كاتم لا توجد لمبة خرق في الشكمان أو الكاتم</v>
      </c>
    </row>
    <row r="83" customFormat="false" ht="23.85" hidden="false" customHeight="false" outlineLevel="0" collapsed="false">
      <c r="A83" s="10" t="s">
        <v>1573</v>
      </c>
      <c r="B83" s="11" t="s">
        <v>1561</v>
      </c>
      <c r="C83" s="11" t="s">
        <v>1574</v>
      </c>
      <c r="D83" s="11" t="s">
        <v>1575</v>
      </c>
      <c r="E83" s="11" t="s">
        <v>1576</v>
      </c>
      <c r="F83" s="11" t="s">
        <v>1064</v>
      </c>
      <c r="G83" s="11" t="s">
        <v>1577</v>
      </c>
      <c r="H83" s="11" t="s">
        <v>1578</v>
      </c>
      <c r="I83" s="11" t="s">
        <v>1067</v>
      </c>
      <c r="J83" s="11" t="s">
        <v>1068</v>
      </c>
      <c r="K83" s="12" t="n">
        <v>3000</v>
      </c>
      <c r="L83" s="12" t="n">
        <v>25000</v>
      </c>
      <c r="M83" s="11" t="s">
        <v>1069</v>
      </c>
      <c r="N83" s="11" t="s">
        <v>1070</v>
      </c>
      <c r="O83" s="10" t="str">
        <f aca="false">IF(COUNTA(B83:N83)=0,"",IF(OR(B83="",C83="",D83="",E83="",G83="",H83="",I83="",J83=""),"ناقص","OK"))</f>
        <v>OK</v>
      </c>
      <c r="P83" s="10" t="str">
        <f aca="false">IF(D83="","",B83&amp;" "&amp;C83&amp;" "&amp;D83&amp;" "&amp;E83&amp;" "&amp;F83&amp;" "&amp;G83)</f>
        <v>عادم الكتالايزر ريحة بيض فاسد من الشكمان ريحة كبريت، ريحة بيض، كتالايزر لمبة المحرك تلف الكتالايزر أو خليط غني</v>
      </c>
    </row>
    <row r="84" customFormat="false" ht="23.85" hidden="false" customHeight="false" outlineLevel="0" collapsed="false">
      <c r="A84" s="10" t="s">
        <v>1579</v>
      </c>
      <c r="B84" s="11" t="s">
        <v>1561</v>
      </c>
      <c r="C84" s="11" t="s">
        <v>1580</v>
      </c>
      <c r="D84" s="11" t="s">
        <v>1581</v>
      </c>
      <c r="E84" s="11" t="s">
        <v>1582</v>
      </c>
      <c r="F84" s="11" t="s">
        <v>1075</v>
      </c>
      <c r="G84" s="11" t="s">
        <v>1583</v>
      </c>
      <c r="H84" s="11" t="s">
        <v>1584</v>
      </c>
      <c r="I84" s="11" t="s">
        <v>1096</v>
      </c>
      <c r="J84" s="11" t="s">
        <v>81</v>
      </c>
      <c r="K84" s="12" t="n">
        <v>300</v>
      </c>
      <c r="L84" s="12" t="n">
        <v>2500</v>
      </c>
      <c r="M84" s="11" t="s">
        <v>1069</v>
      </c>
      <c r="N84" s="11" t="s">
        <v>1097</v>
      </c>
      <c r="O84" s="10" t="str">
        <f aca="false">IF(COUNTA(B84:N84)=0,"",IF(OR(B84="",C84="",D84="",E84="",G84="",H84="",I84="",J84=""),"ناقص","OK"))</f>
        <v>OK</v>
      </c>
      <c r="P84" s="10" t="str">
        <f aca="false">IF(D84="","",B84&amp;" "&amp;C84&amp;" "&amp;D84&amp;" "&amp;E84&amp;" "&amp;F84&amp;" "&amp;G84)</f>
        <v>عادم الكاتم الخلفي ثقب في الكاتم وصوت عادم عالي كاتم مثقوب، صوت عالي، عادم خلفي لا توجد لمبة صدأ وثقب في الكاتم الخلفي</v>
      </c>
    </row>
    <row r="85" customFormat="false" ht="23.85" hidden="false" customHeight="false" outlineLevel="0" collapsed="false">
      <c r="A85" s="10" t="s">
        <v>1585</v>
      </c>
      <c r="B85" s="11" t="s">
        <v>1561</v>
      </c>
      <c r="C85" s="11" t="s">
        <v>1586</v>
      </c>
      <c r="D85" s="11" t="s">
        <v>1587</v>
      </c>
      <c r="E85" s="11" t="s">
        <v>1588</v>
      </c>
      <c r="F85" s="11" t="s">
        <v>1075</v>
      </c>
      <c r="G85" s="11" t="s">
        <v>1589</v>
      </c>
      <c r="H85" s="11" t="s">
        <v>1590</v>
      </c>
      <c r="I85" s="11" t="s">
        <v>1067</v>
      </c>
      <c r="J85" s="11" t="s">
        <v>1068</v>
      </c>
      <c r="K85" s="12" t="n">
        <v>800</v>
      </c>
      <c r="L85" s="12" t="n">
        <v>5000</v>
      </c>
      <c r="M85" s="11" t="s">
        <v>1069</v>
      </c>
      <c r="N85" s="11" t="s">
        <v>1070</v>
      </c>
      <c r="O85" s="10" t="str">
        <f aca="false">IF(COUNTA(B85:N85)=0,"",IF(OR(B85="",C85="",D85="",E85="",G85="",H85="",I85="",J85=""),"ناقص","OK"))</f>
        <v>OK</v>
      </c>
      <c r="P85" s="10" t="str">
        <f aca="false">IF(D85="","",B85&amp;" "&amp;C85&amp;" "&amp;D85&amp;" "&amp;E85&amp;" "&amp;F85&amp;" "&amp;G85)</f>
        <v>عادم مانيفولد العادم طقطقة على البارد تختفي مع التسخين مانيفولد، طقطقة على البارد، شرخ المانيفولد لا توجد لمبة تشقق مانيفولد العادم</v>
      </c>
    </row>
    <row r="86" customFormat="false" ht="35.05" hidden="false" customHeight="false" outlineLevel="0" collapsed="false">
      <c r="A86" s="10" t="s">
        <v>1591</v>
      </c>
      <c r="B86" s="11" t="s">
        <v>1561</v>
      </c>
      <c r="C86" s="11" t="s">
        <v>1592</v>
      </c>
      <c r="D86" s="11" t="s">
        <v>1593</v>
      </c>
      <c r="E86" s="11" t="s">
        <v>1594</v>
      </c>
      <c r="F86" s="11" t="s">
        <v>1075</v>
      </c>
      <c r="G86" s="11" t="s">
        <v>1595</v>
      </c>
      <c r="H86" s="11" t="s">
        <v>1596</v>
      </c>
      <c r="I86" s="11" t="s">
        <v>1067</v>
      </c>
      <c r="J86" s="11" t="s">
        <v>1068</v>
      </c>
      <c r="K86" s="12" t="n">
        <v>400</v>
      </c>
      <c r="L86" s="12" t="n">
        <v>2500</v>
      </c>
      <c r="M86" s="11" t="s">
        <v>1069</v>
      </c>
      <c r="N86" s="11" t="s">
        <v>1070</v>
      </c>
      <c r="O86" s="10" t="str">
        <f aca="false">IF(COUNTA(B86:N86)=0,"",IF(OR(B86="",C86="",D86="",E86="",G86="",H86="",I86="",J86=""),"ناقص","OK"))</f>
        <v>OK</v>
      </c>
      <c r="P86" s="10" t="str">
        <f aca="false">IF(D86="","",B86&amp;" "&amp;C86&amp;" "&amp;D86&amp;" "&amp;E86&amp;" "&amp;F86&amp;" "&amp;G86)</f>
        <v>عادم جوان المانيفولد صوت فرقعة وريحة عادم تحت الكبوت جوان المانيفولد، تسريب عادم، صوت فرقعة لا توجد لمبة تلف جوان المانيفولد</v>
      </c>
    </row>
    <row r="87" customFormat="false" ht="28.35" hidden="false" customHeight="false" outlineLevel="0" collapsed="false">
      <c r="A87" s="10" t="s">
        <v>1597</v>
      </c>
      <c r="B87" s="11" t="s">
        <v>1561</v>
      </c>
      <c r="C87" s="11" t="s">
        <v>1598</v>
      </c>
      <c r="D87" s="11" t="s">
        <v>1599</v>
      </c>
      <c r="E87" s="11" t="s">
        <v>1600</v>
      </c>
      <c r="F87" s="11" t="s">
        <v>1601</v>
      </c>
      <c r="G87" s="11" t="s">
        <v>1602</v>
      </c>
      <c r="H87" s="11" t="s">
        <v>1603</v>
      </c>
      <c r="I87" s="11" t="s">
        <v>1067</v>
      </c>
      <c r="J87" s="11" t="s">
        <v>1068</v>
      </c>
      <c r="K87" s="12" t="n">
        <v>3000</v>
      </c>
      <c r="L87" s="12" t="n">
        <v>25000</v>
      </c>
      <c r="M87" s="11" t="s">
        <v>464</v>
      </c>
      <c r="N87" s="11" t="s">
        <v>1070</v>
      </c>
      <c r="O87" s="10" t="str">
        <f aca="false">IF(COUNTA(B87:N87)=0,"",IF(OR(B87="",C87="",D87="",E87="",G87="",H87="",I87="",J87=""),"ناقص","OK"))</f>
        <v>OK</v>
      </c>
      <c r="P87" s="10" t="str">
        <f aca="false">IF(D87="","",B87&amp;" "&amp;C87&amp;" "&amp;D87&amp;" "&amp;E87&amp;" "&amp;F87&amp;" "&amp;G87)</f>
        <v>عادم فلتر الجسيمات DPF لمبة DPF منورة وضعف قوة في الديزل DPF، فلتر العادم، ديزل، لمبة الفلتر لمبة DPF انسداد فلتر الجسيمات</v>
      </c>
    </row>
    <row r="88" customFormat="false" ht="35.05" hidden="false" customHeight="false" outlineLevel="0" collapsed="false">
      <c r="A88" s="10" t="s">
        <v>1604</v>
      </c>
      <c r="B88" s="11" t="s">
        <v>1561</v>
      </c>
      <c r="C88" s="11" t="s">
        <v>1605</v>
      </c>
      <c r="D88" s="11" t="s">
        <v>1606</v>
      </c>
      <c r="E88" s="11" t="s">
        <v>1607</v>
      </c>
      <c r="F88" s="11" t="s">
        <v>1064</v>
      </c>
      <c r="G88" s="11" t="s">
        <v>1608</v>
      </c>
      <c r="H88" s="11" t="s">
        <v>1609</v>
      </c>
      <c r="I88" s="11" t="s">
        <v>1096</v>
      </c>
      <c r="J88" s="11" t="s">
        <v>1068</v>
      </c>
      <c r="K88" s="12" t="n">
        <v>500</v>
      </c>
      <c r="L88" s="12" t="n">
        <v>3500</v>
      </c>
      <c r="M88" s="11" t="s">
        <v>1069</v>
      </c>
      <c r="N88" s="11" t="s">
        <v>1097</v>
      </c>
      <c r="O88" s="10" t="str">
        <f aca="false">IF(COUNTA(B88:N88)=0,"",IF(OR(B88="",C88="",D88="",E88="",G88="",H88="",I88="",J88=""),"ناقص","OK"))</f>
        <v>OK</v>
      </c>
      <c r="P88" s="10" t="str">
        <f aca="false">IF(D88="","",B88&amp;" "&amp;C88&amp;" "&amp;D88&amp;" "&amp;E88&amp;" "&amp;F88&amp;" "&amp;G88)</f>
        <v>عادم حساس الأكسجين الأمامي استهلاك بنزين عالي ولمبة المحرك منورة حساس الأكسجين، لامبدا، لمبة المحرك، استهلاك بنزين لمبة المحرك عطل حساس الأكسجين قبل الكتالايزر</v>
      </c>
    </row>
    <row r="89" customFormat="false" ht="35.05" hidden="false" customHeight="false" outlineLevel="0" collapsed="false">
      <c r="A89" s="10" t="s">
        <v>1610</v>
      </c>
      <c r="B89" s="11" t="s">
        <v>1561</v>
      </c>
      <c r="C89" s="11" t="s">
        <v>1611</v>
      </c>
      <c r="D89" s="11" t="s">
        <v>1612</v>
      </c>
      <c r="E89" s="11" t="s">
        <v>1613</v>
      </c>
      <c r="F89" s="11" t="s">
        <v>1064</v>
      </c>
      <c r="G89" s="11" t="s">
        <v>1614</v>
      </c>
      <c r="H89" s="11" t="s">
        <v>1609</v>
      </c>
      <c r="I89" s="11" t="s">
        <v>1096</v>
      </c>
      <c r="J89" s="11" t="s">
        <v>81</v>
      </c>
      <c r="K89" s="12" t="n">
        <v>400</v>
      </c>
      <c r="L89" s="12" t="n">
        <v>3000</v>
      </c>
      <c r="M89" s="11" t="s">
        <v>1069</v>
      </c>
      <c r="N89" s="11" t="s">
        <v>1097</v>
      </c>
      <c r="O89" s="10" t="str">
        <f aca="false">IF(COUNTA(B89:N89)=0,"",IF(OR(B89="",C89="",D89="",E89="",G89="",H89="",I89="",J89=""),"ناقص","OK"))</f>
        <v>OK</v>
      </c>
      <c r="P89" s="10" t="str">
        <f aca="false">IF(D89="","",B89&amp;" "&amp;C89&amp;" "&amp;D89&amp;" "&amp;E89&amp;" "&amp;F89&amp;" "&amp;G89)</f>
        <v>عادم حساس الأكسجين الخلفي لمبة المحرك منورة بدون تغير في الأداء حساس الأكسجين الخلفي، بعد الكتالايزر، لمبة بدون أداء لمبة المحرك عطل حساس الأكسجين بعد الكتالايزر</v>
      </c>
    </row>
    <row r="90" customFormat="false" ht="23.85" hidden="false" customHeight="false" outlineLevel="0" collapsed="false">
      <c r="A90" s="10" t="s">
        <v>1615</v>
      </c>
      <c r="B90" s="11" t="s">
        <v>1561</v>
      </c>
      <c r="C90" s="11" t="s">
        <v>1616</v>
      </c>
      <c r="D90" s="11" t="s">
        <v>1617</v>
      </c>
      <c r="E90" s="11" t="s">
        <v>1618</v>
      </c>
      <c r="F90" s="11" t="s">
        <v>1075</v>
      </c>
      <c r="G90" s="11" t="s">
        <v>1619</v>
      </c>
      <c r="H90" s="11" t="s">
        <v>1620</v>
      </c>
      <c r="I90" s="11" t="s">
        <v>1096</v>
      </c>
      <c r="J90" s="11" t="s">
        <v>81</v>
      </c>
      <c r="K90" s="12" t="n">
        <v>200</v>
      </c>
      <c r="L90" s="12" t="n">
        <v>2000</v>
      </c>
      <c r="M90" s="11" t="s">
        <v>1069</v>
      </c>
      <c r="N90" s="11" t="s">
        <v>1097</v>
      </c>
      <c r="O90" s="10" t="str">
        <f aca="false">IF(COUNTA(B90:N90)=0,"",IF(OR(B90="",C90="",D90="",E90="",G90="",H90="",I90="",J90=""),"ناقص","OK"))</f>
        <v>OK</v>
      </c>
      <c r="P90" s="10" t="str">
        <f aca="false">IF(D90="","",B90&amp;" "&amp;C90&amp;" "&amp;D90&amp;" "&amp;E90&amp;" "&amp;F90&amp;" "&amp;G90)</f>
        <v>عادم الكاتم الأوسط صوت رنين معدني تحت العربية رنين، كاتم أوسط، صوت معدني، شكمان لا توجد لمبة ارتخاء أو تلف الكاتم الأوسط</v>
      </c>
    </row>
    <row r="91" customFormat="false" ht="35.05" hidden="false" customHeight="false" outlineLevel="0" collapsed="false">
      <c r="A91" s="10" t="s">
        <v>1621</v>
      </c>
      <c r="B91" s="11" t="s">
        <v>1561</v>
      </c>
      <c r="C91" s="11" t="s">
        <v>1622</v>
      </c>
      <c r="D91" s="11" t="s">
        <v>1623</v>
      </c>
      <c r="E91" s="11" t="s">
        <v>1624</v>
      </c>
      <c r="F91" s="11" t="s">
        <v>1075</v>
      </c>
      <c r="G91" s="11" t="s">
        <v>1625</v>
      </c>
      <c r="H91" s="11" t="s">
        <v>1626</v>
      </c>
      <c r="I91" s="11" t="s">
        <v>1117</v>
      </c>
      <c r="J91" s="11" t="s">
        <v>80</v>
      </c>
      <c r="K91" s="12" t="n">
        <v>300</v>
      </c>
      <c r="L91" s="12" t="n">
        <v>3000</v>
      </c>
      <c r="M91" s="11" t="s">
        <v>1069</v>
      </c>
      <c r="N91" s="11" t="s">
        <v>1118</v>
      </c>
      <c r="O91" s="10" t="str">
        <f aca="false">IF(COUNTA(B91:N91)=0,"",IF(OR(B91="",C91="",D91="",E91="",G91="",H91="",I91="",J91=""),"ناقص","OK"))</f>
        <v>OK</v>
      </c>
      <c r="P91" s="10" t="str">
        <f aca="false">IF(D91="","",B91&amp;" "&amp;C91&amp;" "&amp;D91&amp;" "&amp;E91&amp;" "&amp;F91&amp;" "&amp;G91)</f>
        <v>عادم دخول العادم للكابينة ريحة عادم داخل العربية ريحة عادم جوه العربية، تسريب عادم، صداع لا توجد لمبة تسريب في وصلة العادم أو الجوان</v>
      </c>
    </row>
    <row r="92" customFormat="false" ht="23.85" hidden="false" customHeight="false" outlineLevel="0" collapsed="false">
      <c r="A92" s="10" t="s">
        <v>1627</v>
      </c>
      <c r="B92" s="11" t="s">
        <v>1561</v>
      </c>
      <c r="C92" s="11" t="s">
        <v>1628</v>
      </c>
      <c r="D92" s="11" t="s">
        <v>1629</v>
      </c>
      <c r="E92" s="11" t="s">
        <v>1630</v>
      </c>
      <c r="F92" s="11" t="s">
        <v>1075</v>
      </c>
      <c r="G92" s="11" t="s">
        <v>1631</v>
      </c>
      <c r="H92" s="11" t="s">
        <v>1632</v>
      </c>
      <c r="I92" s="11" t="s">
        <v>1096</v>
      </c>
      <c r="J92" s="11" t="s">
        <v>81</v>
      </c>
      <c r="K92" s="12" t="n">
        <v>500</v>
      </c>
      <c r="L92" s="12" t="n">
        <v>3500</v>
      </c>
      <c r="M92" s="11" t="s">
        <v>1069</v>
      </c>
      <c r="N92" s="11" t="s">
        <v>1097</v>
      </c>
      <c r="O92" s="10" t="str">
        <f aca="false">IF(COUNTA(B92:N92)=0,"",IF(OR(B92="",C92="",D92="",E92="",G92="",H92="",I92="",J92=""),"ناقص","OK"))</f>
        <v>OK</v>
      </c>
      <c r="P92" s="10" t="str">
        <f aca="false">IF(D92="","",B92&amp;" "&amp;C92&amp;" "&amp;D92&amp;" "&amp;E92&amp;" "&amp;F92&amp;" "&amp;G92)</f>
        <v>عادم مواسير العادم مواسير العادم ماسكة صدأ ومتآكلة مواسير العادم، صدأ، شكمان متآكل لا توجد لمبة صدأ وتآكل بمرور السنين</v>
      </c>
    </row>
    <row r="93" customFormat="false" ht="37.3" hidden="false" customHeight="false" outlineLevel="0" collapsed="false">
      <c r="A93" s="10" t="s">
        <v>1633</v>
      </c>
      <c r="B93" s="11" t="s">
        <v>1561</v>
      </c>
      <c r="C93" s="11" t="s">
        <v>1634</v>
      </c>
      <c r="D93" s="11" t="s">
        <v>1635</v>
      </c>
      <c r="E93" s="11" t="s">
        <v>1636</v>
      </c>
      <c r="F93" s="11" t="s">
        <v>1075</v>
      </c>
      <c r="G93" s="11" t="s">
        <v>1637</v>
      </c>
      <c r="H93" s="11" t="s">
        <v>1638</v>
      </c>
      <c r="I93" s="11" t="s">
        <v>1067</v>
      </c>
      <c r="J93" s="11" t="s">
        <v>1068</v>
      </c>
      <c r="K93" s="12" t="n">
        <v>300</v>
      </c>
      <c r="L93" s="12" t="n">
        <v>3000</v>
      </c>
      <c r="M93" s="11" t="s">
        <v>1069</v>
      </c>
      <c r="N93" s="11" t="s">
        <v>1070</v>
      </c>
      <c r="O93" s="10" t="str">
        <f aca="false">IF(COUNTA(B93:N93)=0,"",IF(OR(B93="",C93="",D93="",E93="",G93="",H93="",I93="",J93=""),"ناقص","OK"))</f>
        <v>OK</v>
      </c>
      <c r="P93" s="10" t="str">
        <f aca="false">IF(D93="","",B93&amp;" "&amp;C93&amp;" "&amp;D93&amp;" "&amp;E93&amp;" "&amp;F93&amp;" "&amp;G93)</f>
        <v>عادم طرطقة العادم (Backfire) طرطقة وفرقعة من الشكمان عند رفع الرجل فرقعة، طرطقة، باك فاير، شكمان لا توجد لمبة خليط غير مكتمل أو تسريب في العادم</v>
      </c>
    </row>
    <row r="94" customFormat="false" ht="35.05" hidden="false" customHeight="false" outlineLevel="0" collapsed="false">
      <c r="A94" s="10" t="s">
        <v>1639</v>
      </c>
      <c r="B94" s="11" t="s">
        <v>186</v>
      </c>
      <c r="C94" s="11" t="s">
        <v>1640</v>
      </c>
      <c r="D94" s="11" t="s">
        <v>1641</v>
      </c>
      <c r="E94" s="11" t="s">
        <v>1642</v>
      </c>
      <c r="F94" s="11" t="s">
        <v>1239</v>
      </c>
      <c r="G94" s="11" t="s">
        <v>1643</v>
      </c>
      <c r="H94" s="11" t="s">
        <v>1644</v>
      </c>
      <c r="I94" s="11" t="s">
        <v>1067</v>
      </c>
      <c r="J94" s="11" t="s">
        <v>80</v>
      </c>
      <c r="K94" s="12" t="n">
        <v>1500</v>
      </c>
      <c r="L94" s="12" t="n">
        <v>6000</v>
      </c>
      <c r="M94" s="11" t="s">
        <v>1069</v>
      </c>
      <c r="N94" s="11" t="s">
        <v>1070</v>
      </c>
      <c r="O94" s="10" t="str">
        <f aca="false">IF(COUNTA(B94:N94)=0,"",IF(OR(B94="",C94="",D94="",E94="",G94="",H94="",I94="",J94=""),"ناقص","OK"))</f>
        <v>OK</v>
      </c>
      <c r="P94" s="10" t="str">
        <f aca="false">IF(D94="","",B94&amp;" "&amp;C94&amp;" "&amp;D94&amp;" "&amp;E94&amp;" "&amp;F94&amp;" "&amp;G94)</f>
        <v>كهرباء البطارية / السلف العربية مش بتدور وبسمع طقطقة مش بتدور، طقطقة، سلف، بطارية، مفيش كهرباء، الكونتاكت لمبة البطارية بطارية ضعيفة أو أقطاب مؤكسدة أو عطل في السلف</v>
      </c>
    </row>
    <row r="95" customFormat="false" ht="35.05" hidden="false" customHeight="false" outlineLevel="0" collapsed="false">
      <c r="A95" s="10" t="s">
        <v>1645</v>
      </c>
      <c r="B95" s="11" t="s">
        <v>186</v>
      </c>
      <c r="C95" s="11" t="s">
        <v>1646</v>
      </c>
      <c r="D95" s="11" t="s">
        <v>1647</v>
      </c>
      <c r="E95" s="11" t="s">
        <v>1648</v>
      </c>
      <c r="F95" s="11" t="s">
        <v>1239</v>
      </c>
      <c r="G95" s="11" t="s">
        <v>1649</v>
      </c>
      <c r="H95" s="11" t="s">
        <v>1650</v>
      </c>
      <c r="I95" s="11" t="s">
        <v>1067</v>
      </c>
      <c r="J95" s="11" t="s">
        <v>1068</v>
      </c>
      <c r="K95" s="12" t="n">
        <v>1000</v>
      </c>
      <c r="L95" s="12" t="n">
        <v>5000</v>
      </c>
      <c r="M95" s="11" t="s">
        <v>1069</v>
      </c>
      <c r="N95" s="11" t="s">
        <v>1070</v>
      </c>
      <c r="O95" s="10" t="str">
        <f aca="false">IF(COUNTA(B95:N95)=0,"",IF(OR(B95="",C95="",D95="",E95="",G95="",H95="",I95="",J95=""),"ناقص","OK"))</f>
        <v>OK</v>
      </c>
      <c r="P95" s="10" t="str">
        <f aca="false">IF(D95="","",B95&amp;" "&amp;C95&amp;" "&amp;D95&amp;" "&amp;E95&amp;" "&amp;F95&amp;" "&amp;G95)</f>
        <v>كهرباء الدينامو / البطارية البطارية بتفضى بسرعة ولمبة البطارية منورة البطارية بتخلص، مفيش شحن، لمبة البطارية، الدينامو لمبة البطارية دينامو ضعيف أو سير الدينامو مفكوك أو سحب كهربائي مستمر</v>
      </c>
    </row>
    <row r="96" customFormat="false" ht="35.05" hidden="false" customHeight="false" outlineLevel="0" collapsed="false">
      <c r="A96" s="10" t="s">
        <v>1651</v>
      </c>
      <c r="B96" s="11" t="s">
        <v>186</v>
      </c>
      <c r="C96" s="11" t="s">
        <v>1652</v>
      </c>
      <c r="D96" s="11" t="s">
        <v>1653</v>
      </c>
      <c r="E96" s="11" t="s">
        <v>1654</v>
      </c>
      <c r="F96" s="11" t="s">
        <v>1075</v>
      </c>
      <c r="G96" s="11" t="s">
        <v>1655</v>
      </c>
      <c r="H96" s="11" t="s">
        <v>1656</v>
      </c>
      <c r="I96" s="11" t="s">
        <v>1096</v>
      </c>
      <c r="J96" s="11" t="s">
        <v>1068</v>
      </c>
      <c r="K96" s="12" t="n">
        <v>50</v>
      </c>
      <c r="L96" s="12" t="n">
        <v>800</v>
      </c>
      <c r="M96" s="11" t="s">
        <v>1069</v>
      </c>
      <c r="N96" s="11" t="s">
        <v>1097</v>
      </c>
      <c r="O96" s="10" t="str">
        <f aca="false">IF(COUNTA(B96:N96)=0,"",IF(OR(B96="",C96="",D96="",E96="",G96="",H96="",I96="",J96=""),"ناقص","OK"))</f>
        <v>OK</v>
      </c>
      <c r="P96" s="10" t="str">
        <f aca="false">IF(D96="","",B96&amp;" "&amp;C96&amp;" "&amp;D96&amp;" "&amp;E96&amp;" "&amp;F96&amp;" "&amp;G96)</f>
        <v>كهرباء اللمبات / الفيوز الأضوية ضعيفة أو لمبة بتطفي كشاف، نور ضعيف، لمبة محروقة، فيوز، الأنوار لا توجد لمبة لمبة محروقة أو فيوز أو وصلة مفكوكة</v>
      </c>
    </row>
    <row r="97" customFormat="false" ht="35.05" hidden="false" customHeight="false" outlineLevel="0" collapsed="false">
      <c r="A97" s="10" t="s">
        <v>1657</v>
      </c>
      <c r="B97" s="11" t="s">
        <v>186</v>
      </c>
      <c r="C97" s="11" t="s">
        <v>1658</v>
      </c>
      <c r="D97" s="11" t="s">
        <v>1659</v>
      </c>
      <c r="E97" s="11" t="s">
        <v>1660</v>
      </c>
      <c r="F97" s="11" t="s">
        <v>1075</v>
      </c>
      <c r="G97" s="11" t="s">
        <v>1661</v>
      </c>
      <c r="H97" s="11" t="s">
        <v>1662</v>
      </c>
      <c r="I97" s="11" t="s">
        <v>1096</v>
      </c>
      <c r="J97" s="11" t="s">
        <v>81</v>
      </c>
      <c r="K97" s="12" t="n">
        <v>200</v>
      </c>
      <c r="L97" s="12" t="n">
        <v>1500</v>
      </c>
      <c r="M97" s="11" t="s">
        <v>1069</v>
      </c>
      <c r="N97" s="11" t="s">
        <v>1097</v>
      </c>
      <c r="O97" s="10" t="str">
        <f aca="false">IF(COUNTA(B97:N97)=0,"",IF(OR(B97="",C97="",D97="",E97="",G97="",H97="",I97="",J97=""),"ناقص","OK"))</f>
        <v>OK</v>
      </c>
      <c r="P97" s="10" t="str">
        <f aca="false">IF(D97="","",B97&amp;" "&amp;C97&amp;" "&amp;D97&amp;" "&amp;E97&amp;" "&amp;F97&amp;" "&amp;G97)</f>
        <v>كهرباء الزجاج الكهربائي الزجاج الكهربائي (الشباك) واقف الازاز، الشباك، الشباك الكهربا، رافع الزجاج لا توجد لمبة عطل سويتش أو ريليه أو موتور الزجاج</v>
      </c>
    </row>
    <row r="98" customFormat="false" ht="35.05" hidden="false" customHeight="false" outlineLevel="0" collapsed="false">
      <c r="A98" s="10" t="s">
        <v>1663</v>
      </c>
      <c r="B98" s="11" t="s">
        <v>186</v>
      </c>
      <c r="C98" s="11" t="s">
        <v>1664</v>
      </c>
      <c r="D98" s="11" t="s">
        <v>1665</v>
      </c>
      <c r="E98" s="11" t="s">
        <v>1666</v>
      </c>
      <c r="F98" s="11" t="s">
        <v>1075</v>
      </c>
      <c r="G98" s="11" t="s">
        <v>1667</v>
      </c>
      <c r="H98" s="11" t="s">
        <v>1668</v>
      </c>
      <c r="I98" s="11" t="s">
        <v>1096</v>
      </c>
      <c r="J98" s="11" t="s">
        <v>81</v>
      </c>
      <c r="K98" s="12" t="n">
        <v>50</v>
      </c>
      <c r="L98" s="12" t="n">
        <v>1500</v>
      </c>
      <c r="M98" s="11" t="s">
        <v>1069</v>
      </c>
      <c r="N98" s="11" t="s">
        <v>1097</v>
      </c>
      <c r="O98" s="10" t="str">
        <f aca="false">IF(COUNTA(B98:N98)=0,"",IF(OR(B98="",C98="",D98="",E98="",G98="",H98="",I98="",J98=""),"ناقص","OK"))</f>
        <v>OK</v>
      </c>
      <c r="P98" s="10" t="str">
        <f aca="false">IF(D98="","",B98&amp;" "&amp;C98&amp;" "&amp;D98&amp;" "&amp;E98&amp;" "&amp;F98&amp;" "&amp;G98)</f>
        <v>كهرباء الريموت / القفل المركزي الريموت أو القفل المركزي مش شغال ريموت، مفتاح، القفل المركزي، بطارية الريموت لا توجد لمبة بطارية الريموت خلصانة أو موتور القفل تالف</v>
      </c>
    </row>
    <row r="99" customFormat="false" ht="23.85" hidden="false" customHeight="false" outlineLevel="0" collapsed="false">
      <c r="A99" s="10" t="s">
        <v>1669</v>
      </c>
      <c r="B99" s="11" t="s">
        <v>186</v>
      </c>
      <c r="C99" s="11" t="s">
        <v>1670</v>
      </c>
      <c r="D99" s="11" t="s">
        <v>1671</v>
      </c>
      <c r="E99" s="11" t="s">
        <v>1672</v>
      </c>
      <c r="F99" s="11" t="s">
        <v>1075</v>
      </c>
      <c r="G99" s="11" t="s">
        <v>1673</v>
      </c>
      <c r="H99" s="11" t="s">
        <v>1674</v>
      </c>
      <c r="I99" s="11" t="s">
        <v>1067</v>
      </c>
      <c r="J99" s="11" t="s">
        <v>1068</v>
      </c>
      <c r="K99" s="12" t="n">
        <v>300</v>
      </c>
      <c r="L99" s="12" t="n">
        <v>3000</v>
      </c>
      <c r="M99" s="11" t="s">
        <v>1069</v>
      </c>
      <c r="N99" s="11" t="s">
        <v>1070</v>
      </c>
      <c r="O99" s="10" t="str">
        <f aca="false">IF(COUNTA(B99:N99)=0,"",IF(OR(B99="",C99="",D99="",E99="",G99="",H99="",I99="",J99=""),"ناقص","OK"))</f>
        <v>OK</v>
      </c>
      <c r="P99" s="10" t="str">
        <f aca="false">IF(D99="","",B99&amp;" "&amp;C99&amp;" "&amp;D99&amp;" "&amp;E99&amp;" "&amp;F99&amp;" "&amp;G99)</f>
        <v>كهرباء الفيوزات / الأسلاك فيوز بيحرق باستمرار فيوز، ماس كهربائي، بيحرق فيوز، ريحة سلك لا توجد لمبة ماس كهربائي في الأسلاك</v>
      </c>
    </row>
    <row r="100" customFormat="false" ht="35.05" hidden="false" customHeight="false" outlineLevel="0" collapsed="false">
      <c r="A100" s="10" t="s">
        <v>1675</v>
      </c>
      <c r="B100" s="11" t="s">
        <v>186</v>
      </c>
      <c r="C100" s="11" t="s">
        <v>1676</v>
      </c>
      <c r="D100" s="11" t="s">
        <v>1677</v>
      </c>
      <c r="E100" s="11" t="s">
        <v>1678</v>
      </c>
      <c r="F100" s="11" t="s">
        <v>1075</v>
      </c>
      <c r="G100" s="11" t="s">
        <v>1679</v>
      </c>
      <c r="H100" s="11" t="s">
        <v>1680</v>
      </c>
      <c r="I100" s="11" t="s">
        <v>1117</v>
      </c>
      <c r="J100" s="11" t="s">
        <v>80</v>
      </c>
      <c r="K100" s="12" t="n">
        <v>300</v>
      </c>
      <c r="L100" s="12" t="n">
        <v>4000</v>
      </c>
      <c r="M100" s="11" t="s">
        <v>1069</v>
      </c>
      <c r="N100" s="11" t="s">
        <v>1118</v>
      </c>
      <c r="O100" s="10" t="str">
        <f aca="false">IF(COUNTA(B100:N100)=0,"",IF(OR(B100="",C100="",D100="",E100="",G100="",H100="",I100="",J100=""),"ناقص","OK"))</f>
        <v>OK</v>
      </c>
      <c r="P100" s="10" t="str">
        <f aca="false">IF(D100="","",B100&amp;" "&amp;C100&amp;" "&amp;D100&amp;" "&amp;E100&amp;" "&amp;F100&amp;" "&amp;G100)</f>
        <v>كهرباء الأسلاك / الكهرباء ريحة حريق أو بلاستيك محروق جوه العربية ريحة حريق، شياط، بلاستيك محروق، دخان لا توجد لمبة ماس كهربائي أو سخونة وصلة</v>
      </c>
    </row>
    <row r="101" customFormat="false" ht="35.05" hidden="false" customHeight="false" outlineLevel="0" collapsed="false">
      <c r="A101" s="10" t="s">
        <v>1681</v>
      </c>
      <c r="B101" s="11" t="s">
        <v>186</v>
      </c>
      <c r="C101" s="11" t="s">
        <v>1682</v>
      </c>
      <c r="D101" s="11" t="s">
        <v>1683</v>
      </c>
      <c r="E101" s="11" t="s">
        <v>1684</v>
      </c>
      <c r="F101" s="11" t="s">
        <v>1239</v>
      </c>
      <c r="G101" s="11" t="s">
        <v>1685</v>
      </c>
      <c r="H101" s="11" t="s">
        <v>1686</v>
      </c>
      <c r="I101" s="11" t="s">
        <v>1067</v>
      </c>
      <c r="J101" s="11" t="s">
        <v>1068</v>
      </c>
      <c r="K101" s="12" t="n">
        <v>800</v>
      </c>
      <c r="L101" s="12" t="n">
        <v>4500</v>
      </c>
      <c r="M101" s="11" t="s">
        <v>1069</v>
      </c>
      <c r="N101" s="11" t="s">
        <v>1070</v>
      </c>
      <c r="O101" s="10" t="str">
        <f aca="false">IF(COUNTA(B101:N101)=0,"",IF(OR(B101="",C101="",D101="",E101="",G101="",H101="",I101="",J101=""),"ناقص","OK"))</f>
        <v>OK</v>
      </c>
      <c r="P101" s="10" t="str">
        <f aca="false">IF(D101="","",B101&amp;" "&amp;C101&amp;" "&amp;D101&amp;" "&amp;E101&amp;" "&amp;F101&amp;" "&amp;G101)</f>
        <v>كهرباء الدينامو (الفحمات) لمبة البطارية تنور وتنطفي مع السرعة وصوت صفير من الدينامو دينامو بيصفر، لمبة البطارية متقطعة، شحن ضعيف لمبة البطارية تآكل فحمات الدينامو أو الريجولاتور</v>
      </c>
    </row>
    <row r="102" customFormat="false" ht="35.05" hidden="false" customHeight="false" outlineLevel="0" collapsed="false">
      <c r="A102" s="10" t="s">
        <v>1687</v>
      </c>
      <c r="B102" s="11" t="s">
        <v>186</v>
      </c>
      <c r="C102" s="11" t="s">
        <v>1688</v>
      </c>
      <c r="D102" s="11" t="s">
        <v>1689</v>
      </c>
      <c r="E102" s="11" t="s">
        <v>1690</v>
      </c>
      <c r="F102" s="11" t="s">
        <v>1239</v>
      </c>
      <c r="G102" s="11" t="s">
        <v>1691</v>
      </c>
      <c r="H102" s="11" t="s">
        <v>1692</v>
      </c>
      <c r="I102" s="11" t="s">
        <v>1096</v>
      </c>
      <c r="J102" s="11" t="s">
        <v>81</v>
      </c>
      <c r="K102" s="12" t="n">
        <v>50</v>
      </c>
      <c r="L102" s="12" t="n">
        <v>300</v>
      </c>
      <c r="M102" s="11" t="s">
        <v>1069</v>
      </c>
      <c r="N102" s="11" t="s">
        <v>1097</v>
      </c>
      <c r="O102" s="10" t="str">
        <f aca="false">IF(COUNTA(B102:N102)=0,"",IF(OR(B102="",C102="",D102="",E102="",G102="",H102="",I102="",J102=""),"ناقص","OK"))</f>
        <v>OK</v>
      </c>
      <c r="P102" s="10" t="str">
        <f aca="false">IF(D102="","",B102&amp;" "&amp;C102&amp;" "&amp;D102&amp;" "&amp;E102&amp;" "&amp;F102&amp;" "&amp;G102)</f>
        <v>كهرباء أقطاب البطارية أقطاب البطارية عليها ترسبات بيضاء وتشغيل ضعيف أقطاب البطارية، ترسبات بيضاء، كبريتات، تشغيل ضعيف لمبة البطارية تأكسد أقطاب البطارية</v>
      </c>
    </row>
    <row r="103" customFormat="false" ht="35.05" hidden="false" customHeight="false" outlineLevel="0" collapsed="false">
      <c r="A103" s="10" t="s">
        <v>1693</v>
      </c>
      <c r="B103" s="11" t="s">
        <v>186</v>
      </c>
      <c r="C103" s="11" t="s">
        <v>1694</v>
      </c>
      <c r="D103" s="11" t="s">
        <v>1695</v>
      </c>
      <c r="E103" s="11" t="s">
        <v>1696</v>
      </c>
      <c r="F103" s="11" t="s">
        <v>1075</v>
      </c>
      <c r="G103" s="11" t="s">
        <v>1697</v>
      </c>
      <c r="H103" s="11" t="s">
        <v>1698</v>
      </c>
      <c r="I103" s="11" t="s">
        <v>1067</v>
      </c>
      <c r="J103" s="11" t="s">
        <v>1068</v>
      </c>
      <c r="K103" s="12" t="n">
        <v>100</v>
      </c>
      <c r="L103" s="12" t="n">
        <v>800</v>
      </c>
      <c r="M103" s="11" t="s">
        <v>1069</v>
      </c>
      <c r="N103" s="11" t="s">
        <v>1070</v>
      </c>
      <c r="O103" s="10" t="str">
        <f aca="false">IF(COUNTA(B103:N103)=0,"",IF(OR(B103="",C103="",D103="",E103="",G103="",H103="",I103="",J103=""),"ناقص","OK"))</f>
        <v>OK</v>
      </c>
      <c r="P103" s="10" t="str">
        <f aca="false">IF(D103="","",B103&amp;" "&amp;C103&amp;" "&amp;D103&amp;" "&amp;E103&amp;" "&amp;F103&amp;" "&amp;G103)</f>
        <v>كهرباء كابل الأرضي أعطال كهربائية متفرقة وإضاءة تتأرجح كابل الأرضي، جراوند، أعطال كهربائية متفرقة، إضاءة بتتأرجح لا توجد لمبة كابل الأرضي مفكوك أو متآكل</v>
      </c>
    </row>
    <row r="104" customFormat="false" ht="35.05" hidden="false" customHeight="false" outlineLevel="0" collapsed="false">
      <c r="A104" s="10" t="s">
        <v>1699</v>
      </c>
      <c r="B104" s="11" t="s">
        <v>186</v>
      </c>
      <c r="C104" s="11" t="s">
        <v>1700</v>
      </c>
      <c r="D104" s="11" t="s">
        <v>1701</v>
      </c>
      <c r="E104" s="11" t="s">
        <v>1702</v>
      </c>
      <c r="F104" s="11" t="s">
        <v>1075</v>
      </c>
      <c r="G104" s="11" t="s">
        <v>1703</v>
      </c>
      <c r="H104" s="11" t="s">
        <v>1704</v>
      </c>
      <c r="I104" s="11" t="s">
        <v>1067</v>
      </c>
      <c r="J104" s="11" t="s">
        <v>80</v>
      </c>
      <c r="K104" s="12" t="n">
        <v>700</v>
      </c>
      <c r="L104" s="12" t="n">
        <v>3500</v>
      </c>
      <c r="M104" s="11" t="s">
        <v>1069</v>
      </c>
      <c r="N104" s="11" t="s">
        <v>1070</v>
      </c>
      <c r="O104" s="10" t="str">
        <f aca="false">IF(COUNTA(B104:N104)=0,"",IF(OR(B104="",C104="",D104="",E104="",G104="",H104="",I104="",J104=""),"ناقص","OK"))</f>
        <v>OK</v>
      </c>
      <c r="P104" s="10" t="str">
        <f aca="false">IF(D104="","",B104&amp;" "&amp;C104&amp;" "&amp;D104&amp;" "&amp;E104&amp;" "&amp;F104&amp;" "&amp;G104)</f>
        <v>كهرباء السلف (البنديكس) صوت دوران السلف وبعدين مفيش اشتباك السلف بيلف ومش بيعشق، صوت زيز، بنديكس لا توجد لمبة عطل بنديكس السلف</v>
      </c>
    </row>
    <row r="105" customFormat="false" ht="35.05" hidden="false" customHeight="false" outlineLevel="0" collapsed="false">
      <c r="A105" s="10" t="s">
        <v>1705</v>
      </c>
      <c r="B105" s="11" t="s">
        <v>186</v>
      </c>
      <c r="C105" s="11" t="s">
        <v>1706</v>
      </c>
      <c r="D105" s="11" t="s">
        <v>1707</v>
      </c>
      <c r="E105" s="11" t="s">
        <v>1708</v>
      </c>
      <c r="F105" s="11" t="s">
        <v>1075</v>
      </c>
      <c r="G105" s="11" t="s">
        <v>1709</v>
      </c>
      <c r="H105" s="11" t="s">
        <v>1710</v>
      </c>
      <c r="I105" s="11" t="s">
        <v>1067</v>
      </c>
      <c r="J105" s="11" t="s">
        <v>80</v>
      </c>
      <c r="K105" s="12" t="n">
        <v>500</v>
      </c>
      <c r="L105" s="12" t="n">
        <v>3000</v>
      </c>
      <c r="M105" s="11" t="s">
        <v>1069</v>
      </c>
      <c r="N105" s="11" t="s">
        <v>1070</v>
      </c>
      <c r="O105" s="10" t="str">
        <f aca="false">IF(COUNTA(B105:N105)=0,"",IF(OR(B105="",C105="",D105="",E105="",G105="",H105="",I105="",J105=""),"ناقص","OK"))</f>
        <v>OK</v>
      </c>
      <c r="P105" s="10" t="str">
        <f aca="false">IF(D105="","",B105&amp;" "&amp;C105&amp;" "&amp;D105&amp;" "&amp;E105&amp;" "&amp;F105&amp;" "&amp;G105)</f>
        <v>كهرباء سويتش الإشعال مفيش حاجة بتشتغل بعد لف المفتاح الكونتاكت، سويتش الإشعال، مفيش كهرباء لا توجد لمبة عطل سويتش الإشعال</v>
      </c>
    </row>
    <row r="106" customFormat="false" ht="35.05" hidden="false" customHeight="false" outlineLevel="0" collapsed="false">
      <c r="A106" s="10" t="s">
        <v>1711</v>
      </c>
      <c r="B106" s="11" t="s">
        <v>186</v>
      </c>
      <c r="C106" s="11" t="s">
        <v>1712</v>
      </c>
      <c r="D106" s="11" t="s">
        <v>1713</v>
      </c>
      <c r="E106" s="11" t="s">
        <v>1714</v>
      </c>
      <c r="F106" s="11" t="s">
        <v>1075</v>
      </c>
      <c r="G106" s="11" t="s">
        <v>1715</v>
      </c>
      <c r="H106" s="11" t="s">
        <v>1716</v>
      </c>
      <c r="I106" s="11" t="s">
        <v>1096</v>
      </c>
      <c r="J106" s="11" t="s">
        <v>80</v>
      </c>
      <c r="K106" s="12" t="n">
        <v>50</v>
      </c>
      <c r="L106" s="12" t="n">
        <v>3000</v>
      </c>
      <c r="M106" s="11" t="s">
        <v>1717</v>
      </c>
      <c r="N106" s="11" t="s">
        <v>1097</v>
      </c>
      <c r="O106" s="10" t="str">
        <f aca="false">IF(COUNTA(B106:N106)=0,"",IF(OR(B106="",C106="",D106="",E106="",G106="",H106="",I106="",J106=""),"ناقص","OK"))</f>
        <v>OK</v>
      </c>
      <c r="P106" s="10" t="str">
        <f aca="false">IF(D106="","",B106&amp;" "&amp;C106&amp;" "&amp;D106&amp;" "&amp;E106&amp;" "&amp;F106&amp;" "&amp;G106)</f>
        <v>كهرباء زر التشغيل والمفتاح الذكي الزر لا يستجيب والعربية مش بتشتغل زر الاستارت، مفتاح ذكي، مش بيستجيب لا توجد لمبة بطارية المفتاح ضعيفة أو عطل وحدة الدخول</v>
      </c>
    </row>
    <row r="107" customFormat="false" ht="35.05" hidden="false" customHeight="false" outlineLevel="0" collapsed="false">
      <c r="A107" s="10" t="s">
        <v>1718</v>
      </c>
      <c r="B107" s="11" t="s">
        <v>186</v>
      </c>
      <c r="C107" s="11" t="s">
        <v>1719</v>
      </c>
      <c r="D107" s="11" t="s">
        <v>1720</v>
      </c>
      <c r="E107" s="11" t="s">
        <v>1721</v>
      </c>
      <c r="F107" s="11" t="s">
        <v>1075</v>
      </c>
      <c r="G107" s="11" t="s">
        <v>1722</v>
      </c>
      <c r="H107" s="11" t="s">
        <v>1723</v>
      </c>
      <c r="I107" s="11" t="s">
        <v>1096</v>
      </c>
      <c r="J107" s="11" t="s">
        <v>1068</v>
      </c>
      <c r="K107" s="12" t="n">
        <v>200</v>
      </c>
      <c r="L107" s="12" t="n">
        <v>1500</v>
      </c>
      <c r="M107" s="11" t="s">
        <v>1069</v>
      </c>
      <c r="N107" s="11" t="s">
        <v>1097</v>
      </c>
      <c r="O107" s="10" t="str">
        <f aca="false">IF(COUNTA(B107:N107)=0,"",IF(OR(B107="",C107="",D107="",E107="",G107="",H107="",I107="",J107=""),"ناقص","OK"))</f>
        <v>OK</v>
      </c>
      <c r="P107" s="10" t="str">
        <f aca="false">IF(D107="","",B107&amp;" "&amp;C107&amp;" "&amp;D107&amp;" "&amp;E107&amp;" "&amp;F107&amp;" "&amp;G107)</f>
        <v>كهرباء مساحات الزجاج المساحات بطيئة أو واقفة المساحات، مساحات الزجاج، مش بتتحرك، موتور المساحات لا توجد لمبة عطل موتور أو فيوز أو ذراع المساحات</v>
      </c>
    </row>
    <row r="108" customFormat="false" ht="35.05" hidden="false" customHeight="false" outlineLevel="0" collapsed="false">
      <c r="A108" s="10" t="s">
        <v>1724</v>
      </c>
      <c r="B108" s="11" t="s">
        <v>186</v>
      </c>
      <c r="C108" s="11" t="s">
        <v>1725</v>
      </c>
      <c r="D108" s="11" t="s">
        <v>1726</v>
      </c>
      <c r="E108" s="11" t="s">
        <v>1727</v>
      </c>
      <c r="F108" s="11" t="s">
        <v>1075</v>
      </c>
      <c r="G108" s="11" t="s">
        <v>1728</v>
      </c>
      <c r="H108" s="11" t="s">
        <v>1729</v>
      </c>
      <c r="I108" s="11" t="s">
        <v>1096</v>
      </c>
      <c r="J108" s="11" t="s">
        <v>81</v>
      </c>
      <c r="K108" s="12" t="n">
        <v>50</v>
      </c>
      <c r="L108" s="12" t="n">
        <v>500</v>
      </c>
      <c r="M108" s="11" t="s">
        <v>1069</v>
      </c>
      <c r="N108" s="11" t="s">
        <v>1097</v>
      </c>
      <c r="O108" s="10" t="str">
        <f aca="false">IF(COUNTA(B108:N108)=0,"",IF(OR(B108="",C108="",D108="",E108="",G108="",H108="",I108="",J108=""),"ناقص","OK"))</f>
        <v>OK</v>
      </c>
      <c r="P108" s="10" t="str">
        <f aca="false">IF(D108="","",B108&amp;" "&amp;C108&amp;" "&amp;D108&amp;" "&amp;E108&amp;" "&amp;F108&amp;" "&amp;G108)</f>
        <v>كهرباء رشاش مياه الزجاج مياه الزجاج مش بتخرج رشاش المياه، مية الزجاج، طلمبة الرشاش، مسدودة لا توجد لمبة طلمبة الرشاش معطلة أو البشابير مسدودة</v>
      </c>
    </row>
    <row r="109" customFormat="false" ht="23.85" hidden="false" customHeight="false" outlineLevel="0" collapsed="false">
      <c r="A109" s="10" t="s">
        <v>1730</v>
      </c>
      <c r="B109" s="11" t="s">
        <v>186</v>
      </c>
      <c r="C109" s="11" t="s">
        <v>1731</v>
      </c>
      <c r="D109" s="11" t="s">
        <v>1732</v>
      </c>
      <c r="E109" s="11" t="s">
        <v>1733</v>
      </c>
      <c r="F109" s="11" t="s">
        <v>1075</v>
      </c>
      <c r="G109" s="11" t="s">
        <v>1734</v>
      </c>
      <c r="H109" s="11" t="s">
        <v>1735</v>
      </c>
      <c r="I109" s="11" t="s">
        <v>1096</v>
      </c>
      <c r="J109" s="11" t="s">
        <v>1068</v>
      </c>
      <c r="K109" s="12" t="n">
        <v>50</v>
      </c>
      <c r="L109" s="12" t="n">
        <v>500</v>
      </c>
      <c r="M109" s="11" t="s">
        <v>1069</v>
      </c>
      <c r="N109" s="11" t="s">
        <v>1097</v>
      </c>
      <c r="O109" s="10" t="str">
        <f aca="false">IF(COUNTA(B109:N109)=0,"",IF(OR(B109="",C109="",D109="",E109="",G109="",H109="",I109="",J109=""),"ناقص","OK"))</f>
        <v>OK</v>
      </c>
      <c r="P109" s="10" t="str">
        <f aca="false">IF(D109="","",B109&amp;" "&amp;C109&amp;" "&amp;D109&amp;" "&amp;E109&amp;" "&amp;F109&amp;" "&amp;G109)</f>
        <v>كهرباء الكلاكس الكلاكس مش بيشتغل الكلاكس، الهورن، مفيش صوت لا توجد لمبة فيوز أو ريليه أو الهورن نفسه</v>
      </c>
    </row>
    <row r="110" customFormat="false" ht="35.05" hidden="false" customHeight="false" outlineLevel="0" collapsed="false">
      <c r="A110" s="10" t="s">
        <v>1736</v>
      </c>
      <c r="B110" s="11" t="s">
        <v>186</v>
      </c>
      <c r="C110" s="11" t="s">
        <v>1737</v>
      </c>
      <c r="D110" s="11" t="s">
        <v>1738</v>
      </c>
      <c r="E110" s="11" t="s">
        <v>1739</v>
      </c>
      <c r="F110" s="11" t="s">
        <v>1075</v>
      </c>
      <c r="G110" s="11" t="s">
        <v>1740</v>
      </c>
      <c r="H110" s="11" t="s">
        <v>1741</v>
      </c>
      <c r="I110" s="11" t="s">
        <v>1067</v>
      </c>
      <c r="J110" s="11" t="s">
        <v>1068</v>
      </c>
      <c r="K110" s="12" t="n">
        <v>50</v>
      </c>
      <c r="L110" s="12" t="n">
        <v>400</v>
      </c>
      <c r="M110" s="11" t="s">
        <v>1069</v>
      </c>
      <c r="N110" s="11" t="s">
        <v>1070</v>
      </c>
      <c r="O110" s="10" t="str">
        <f aca="false">IF(COUNTA(B110:N110)=0,"",IF(OR(B110="",C110="",D110="",E110="",G110="",H110="",I110="",J110=""),"ناقص","OK"))</f>
        <v>OK</v>
      </c>
      <c r="P110" s="10" t="str">
        <f aca="false">IF(D110="","",B110&amp;" "&amp;C110&amp;" "&amp;D110&amp;" "&amp;E110&amp;" "&amp;F110&amp;" "&amp;G110)</f>
        <v>كهرباء لمبة الفرامل الخلفية لمبة الفرامل الخلفية مش بتنور لمبة الفرامل، الفرامل الخلفية، لمبة ستوب، الفنار الخلفي لا توجد لمبة لمبة محروقة أو سويتش الفرامل</v>
      </c>
    </row>
    <row r="111" customFormat="false" ht="35.05" hidden="false" customHeight="false" outlineLevel="0" collapsed="false">
      <c r="A111" s="10" t="s">
        <v>1742</v>
      </c>
      <c r="B111" s="11" t="s">
        <v>186</v>
      </c>
      <c r="C111" s="11" t="s">
        <v>1743</v>
      </c>
      <c r="D111" s="11" t="s">
        <v>1744</v>
      </c>
      <c r="E111" s="11" t="s">
        <v>1745</v>
      </c>
      <c r="F111" s="11" t="s">
        <v>1075</v>
      </c>
      <c r="G111" s="11" t="s">
        <v>1746</v>
      </c>
      <c r="H111" s="11" t="s">
        <v>1747</v>
      </c>
      <c r="I111" s="11" t="s">
        <v>1096</v>
      </c>
      <c r="J111" s="11" t="s">
        <v>81</v>
      </c>
      <c r="K111" s="12" t="n">
        <v>30</v>
      </c>
      <c r="L111" s="12" t="n">
        <v>300</v>
      </c>
      <c r="M111" s="11" t="s">
        <v>1069</v>
      </c>
      <c r="N111" s="11" t="s">
        <v>1097</v>
      </c>
      <c r="O111" s="10" t="str">
        <f aca="false">IF(COUNTA(B111:N111)=0,"",IF(OR(B111="",C111="",D111="",E111="",G111="",H111="",I111="",J111=""),"ناقص","OK"))</f>
        <v>OK</v>
      </c>
      <c r="P111" s="10" t="str">
        <f aca="false">IF(D111="","",B111&amp;" "&amp;C111&amp;" "&amp;D111&amp;" "&amp;E111&amp;" "&amp;F111&amp;" "&amp;G111)</f>
        <v>كهرباء إشارات الانعطاف الإشارة بتنور بسرعة مضاعفة الإشارة سريعة، لمبة محروقة، فلاشر، رماش لا توجد لمبة لمبة محروقة تغير حمل الفلاشر</v>
      </c>
    </row>
    <row r="112" customFormat="false" ht="23.85" hidden="false" customHeight="false" outlineLevel="0" collapsed="false">
      <c r="A112" s="10" t="s">
        <v>1748</v>
      </c>
      <c r="B112" s="11" t="s">
        <v>186</v>
      </c>
      <c r="C112" s="11" t="s">
        <v>1749</v>
      </c>
      <c r="D112" s="11" t="s">
        <v>1750</v>
      </c>
      <c r="E112" s="11" t="s">
        <v>1751</v>
      </c>
      <c r="F112" s="11" t="s">
        <v>1075</v>
      </c>
      <c r="G112" s="11" t="s">
        <v>1752</v>
      </c>
      <c r="H112" s="11" t="s">
        <v>1753</v>
      </c>
      <c r="I112" s="11" t="s">
        <v>1096</v>
      </c>
      <c r="J112" s="11" t="s">
        <v>81</v>
      </c>
      <c r="K112" s="12" t="n">
        <v>30</v>
      </c>
      <c r="L112" s="12" t="n">
        <v>600</v>
      </c>
      <c r="M112" s="11" t="s">
        <v>1069</v>
      </c>
      <c r="N112" s="11" t="s">
        <v>1097</v>
      </c>
      <c r="O112" s="10" t="str">
        <f aca="false">IF(COUNTA(B112:N112)=0,"",IF(OR(B112="",C112="",D112="",E112="",G112="",H112="",I112="",J112=""),"ناقص","OK"))</f>
        <v>OK</v>
      </c>
      <c r="P112" s="10" t="str">
        <f aca="false">IF(D112="","",B112&amp;" "&amp;C112&amp;" "&amp;D112&amp;" "&amp;E112&amp;" "&amp;F112&amp;" "&amp;G112)</f>
        <v>كهرباء كشافات الضباب كشافات الضباب لا تعمل كشافات الضباب، فوج، لمبة الضباب لا توجد لمبة لمبة أو فيوز أو ريليه</v>
      </c>
    </row>
    <row r="113" customFormat="false" ht="23.85" hidden="false" customHeight="false" outlineLevel="0" collapsed="false">
      <c r="A113" s="10" t="s">
        <v>1754</v>
      </c>
      <c r="B113" s="11" t="s">
        <v>186</v>
      </c>
      <c r="C113" s="11" t="s">
        <v>1755</v>
      </c>
      <c r="D113" s="11" t="s">
        <v>1756</v>
      </c>
      <c r="E113" s="11" t="s">
        <v>1757</v>
      </c>
      <c r="F113" s="11" t="s">
        <v>1075</v>
      </c>
      <c r="G113" s="11" t="s">
        <v>1758</v>
      </c>
      <c r="H113" s="11" t="s">
        <v>1759</v>
      </c>
      <c r="I113" s="11" t="s">
        <v>1096</v>
      </c>
      <c r="J113" s="11" t="s">
        <v>1068</v>
      </c>
      <c r="K113" s="12" t="n">
        <v>400</v>
      </c>
      <c r="L113" s="12" t="n">
        <v>3000</v>
      </c>
      <c r="M113" s="11" t="s">
        <v>1760</v>
      </c>
      <c r="N113" s="11" t="s">
        <v>1097</v>
      </c>
      <c r="O113" s="10" t="str">
        <f aca="false">IF(COUNTA(B113:N113)=0,"",IF(OR(B113="",C113="",D113="",E113="",G113="",H113="",I113="",J113=""),"ناقص","OK"))</f>
        <v>OK</v>
      </c>
      <c r="P113" s="10" t="str">
        <f aca="false">IF(D113="","",B113&amp;" "&amp;C113&amp;" "&amp;D113&amp;" "&amp;E113&amp;" "&amp;F113&amp;" "&amp;G113)</f>
        <v>كهرباء الإضاءة الزينون ضوء الزينون بيرمش أو مش بينور زينون، بلاست، بيرمش، الكشاف لا توجد لمبة تلف البلاست أو البصلة</v>
      </c>
    </row>
    <row r="114" customFormat="false" ht="35.05" hidden="false" customHeight="false" outlineLevel="0" collapsed="false">
      <c r="A114" s="10" t="s">
        <v>1761</v>
      </c>
      <c r="B114" s="11" t="s">
        <v>186</v>
      </c>
      <c r="C114" s="11" t="s">
        <v>1762</v>
      </c>
      <c r="D114" s="11" t="s">
        <v>1763</v>
      </c>
      <c r="E114" s="11" t="s">
        <v>1764</v>
      </c>
      <c r="F114" s="11" t="s">
        <v>1075</v>
      </c>
      <c r="G114" s="11" t="s">
        <v>1765</v>
      </c>
      <c r="H114" s="11" t="s">
        <v>1766</v>
      </c>
      <c r="I114" s="11" t="s">
        <v>1096</v>
      </c>
      <c r="J114" s="11" t="s">
        <v>81</v>
      </c>
      <c r="K114" s="12" t="n">
        <v>200</v>
      </c>
      <c r="L114" s="12" t="n">
        <v>1500</v>
      </c>
      <c r="M114" s="11" t="s">
        <v>1069</v>
      </c>
      <c r="N114" s="11" t="s">
        <v>1097</v>
      </c>
      <c r="O114" s="10" t="str">
        <f aca="false">IF(COUNTA(B114:N114)=0,"",IF(OR(B114="",C114="",D114="",E114="",G114="",H114="",I114="",J114=""),"ناقص","OK"))</f>
        <v>OK</v>
      </c>
      <c r="P114" s="10" t="str">
        <f aca="false">IF(D114="","",B114&amp;" "&amp;C114&amp;" "&amp;D114&amp;" "&amp;E114&amp;" "&amp;F114&amp;" "&amp;G114)</f>
        <v>كهرباء المرايات الكهربائية المرايات الكهربائية لا تتحرك المراية الكهربائية، مفيش حركة، مراية الراكب لا توجد لمبة عطل سويتش أو موتور المراية</v>
      </c>
    </row>
    <row r="115" customFormat="false" ht="35.05" hidden="false" customHeight="false" outlineLevel="0" collapsed="false">
      <c r="A115" s="10" t="s">
        <v>1767</v>
      </c>
      <c r="B115" s="11" t="s">
        <v>186</v>
      </c>
      <c r="C115" s="11" t="s">
        <v>1768</v>
      </c>
      <c r="D115" s="11" t="s">
        <v>1769</v>
      </c>
      <c r="E115" s="11" t="s">
        <v>1770</v>
      </c>
      <c r="F115" s="11" t="s">
        <v>1075</v>
      </c>
      <c r="G115" s="11" t="s">
        <v>1771</v>
      </c>
      <c r="H115" s="11" t="s">
        <v>1772</v>
      </c>
      <c r="I115" s="11" t="s">
        <v>1096</v>
      </c>
      <c r="J115" s="11" t="s">
        <v>81</v>
      </c>
      <c r="K115" s="12" t="n">
        <v>300</v>
      </c>
      <c r="L115" s="12" t="n">
        <v>4000</v>
      </c>
      <c r="M115" s="11" t="s">
        <v>1773</v>
      </c>
      <c r="N115" s="11" t="s">
        <v>1097</v>
      </c>
      <c r="O115" s="10" t="str">
        <f aca="false">IF(COUNTA(B115:N115)=0,"",IF(OR(B115="",C115="",D115="",E115="",G115="",H115="",I115="",J115=""),"ناقص","OK"))</f>
        <v>OK</v>
      </c>
      <c r="P115" s="10" t="str">
        <f aca="false">IF(D115="","",B115&amp;" "&amp;C115&amp;" "&amp;D115&amp;" "&amp;E115&amp;" "&amp;F115&amp;" "&amp;G115)</f>
        <v>كهرباء فتحة السقف السقف الزجاجي مش بيفتح أو بيزيق فتحة السقف، السقف مش بيفتح، موتور السقف، بانوراما لا توجد لمبة عطل موتور أو مجرى مسدود</v>
      </c>
    </row>
    <row r="116" customFormat="false" ht="35.05" hidden="false" customHeight="false" outlineLevel="0" collapsed="false">
      <c r="A116" s="10" t="s">
        <v>1774</v>
      </c>
      <c r="B116" s="11" t="s">
        <v>186</v>
      </c>
      <c r="C116" s="11" t="s">
        <v>1775</v>
      </c>
      <c r="D116" s="11" t="s">
        <v>1776</v>
      </c>
      <c r="E116" s="11" t="s">
        <v>1777</v>
      </c>
      <c r="F116" s="11" t="s">
        <v>1075</v>
      </c>
      <c r="G116" s="11" t="s">
        <v>1778</v>
      </c>
      <c r="H116" s="11" t="s">
        <v>1779</v>
      </c>
      <c r="I116" s="11" t="s">
        <v>1096</v>
      </c>
      <c r="J116" s="11" t="s">
        <v>81</v>
      </c>
      <c r="K116" s="12" t="n">
        <v>300</v>
      </c>
      <c r="L116" s="12" t="n">
        <v>8000</v>
      </c>
      <c r="M116" s="11" t="s">
        <v>1069</v>
      </c>
      <c r="N116" s="11" t="s">
        <v>1097</v>
      </c>
      <c r="O116" s="10" t="str">
        <f aca="false">IF(COUNTA(B116:N116)=0,"",IF(OR(B116="",C116="",D116="",E116="",G116="",H116="",I116="",J116=""),"ناقص","OK"))</f>
        <v>OK</v>
      </c>
      <c r="P116" s="10" t="str">
        <f aca="false">IF(D116="","",B116&amp;" "&amp;C116&amp;" "&amp;D116&amp;" "&amp;E116&amp;" "&amp;F116&amp;" "&amp;G116)</f>
        <v>كهرباء شاشة الترفيه الشاشة بتهنج أو بتطفي نفسها الشاشة بتهنج، شاشة الترفيه، ريستارت، سيستم لا توجد لمبة خلل في البرمجة أو وحدة الشاشة</v>
      </c>
    </row>
    <row r="117" customFormat="false" ht="35.05" hidden="false" customHeight="false" outlineLevel="0" collapsed="false">
      <c r="A117" s="10" t="s">
        <v>1780</v>
      </c>
      <c r="B117" s="11" t="s">
        <v>186</v>
      </c>
      <c r="C117" s="11" t="s">
        <v>1781</v>
      </c>
      <c r="D117" s="11" t="s">
        <v>1782</v>
      </c>
      <c r="E117" s="11" t="s">
        <v>1783</v>
      </c>
      <c r="F117" s="11" t="s">
        <v>1075</v>
      </c>
      <c r="G117" s="11" t="s">
        <v>1784</v>
      </c>
      <c r="H117" s="11" t="s">
        <v>1785</v>
      </c>
      <c r="I117" s="11" t="s">
        <v>1096</v>
      </c>
      <c r="J117" s="11" t="s">
        <v>81</v>
      </c>
      <c r="K117" s="12" t="n">
        <v>100</v>
      </c>
      <c r="L117" s="12" t="n">
        <v>1500</v>
      </c>
      <c r="M117" s="11" t="s">
        <v>1069</v>
      </c>
      <c r="N117" s="11" t="s">
        <v>1097</v>
      </c>
      <c r="O117" s="10" t="str">
        <f aca="false">IF(COUNTA(B117:N117)=0,"",IF(OR(B117="",C117="",D117="",E117="",G117="",H117="",I117="",J117=""),"ناقص","OK"))</f>
        <v>OK</v>
      </c>
      <c r="P117" s="10" t="str">
        <f aca="false">IF(D117="","",B117&amp;" "&amp;C117&amp;" "&amp;D117&amp;" "&amp;E117&amp;" "&amp;F117&amp;" "&amp;G117)</f>
        <v>كهرباء البلوتوث الموبايل بيفصل من البلوتوث أو مش بيتوصل البلوتوث، فصل الموبايل، مش بيتوصل، اتصال لا توجد لمبة إعدادات الاقتران أو برمجة الراديو</v>
      </c>
    </row>
    <row r="118" customFormat="false" ht="35.05" hidden="false" customHeight="false" outlineLevel="0" collapsed="false">
      <c r="A118" s="10" t="s">
        <v>1786</v>
      </c>
      <c r="B118" s="11" t="s">
        <v>186</v>
      </c>
      <c r="C118" s="11" t="s">
        <v>1787</v>
      </c>
      <c r="D118" s="11" t="s">
        <v>1788</v>
      </c>
      <c r="E118" s="11" t="s">
        <v>1789</v>
      </c>
      <c r="F118" s="11" t="s">
        <v>1075</v>
      </c>
      <c r="G118" s="11" t="s">
        <v>1790</v>
      </c>
      <c r="H118" s="11" t="s">
        <v>1791</v>
      </c>
      <c r="I118" s="11" t="s">
        <v>1096</v>
      </c>
      <c r="J118" s="11" t="s">
        <v>81</v>
      </c>
      <c r="K118" s="12" t="n">
        <v>100</v>
      </c>
      <c r="L118" s="12" t="n">
        <v>2000</v>
      </c>
      <c r="M118" s="11" t="s">
        <v>1069</v>
      </c>
      <c r="N118" s="11" t="s">
        <v>1097</v>
      </c>
      <c r="O118" s="10" t="str">
        <f aca="false">IF(COUNTA(B118:N118)=0,"",IF(OR(B118="",C118="",D118="",E118="",G118="",H118="",I118="",J118=""),"ناقص","OK"))</f>
        <v>OK</v>
      </c>
      <c r="P118" s="10" t="str">
        <f aca="false">IF(D118="","",B118&amp;" "&amp;C118&amp;" "&amp;D118&amp;" "&amp;E118&amp;" "&amp;F118&amp;" "&amp;G118)</f>
        <v>كهرباء حساسات الركن حساسات الركن تصفر بدون سبب أو لا تعمل حساس الركن، صفير مستمر، حساسات ركن، بيبيبي لا توجد لمبة اتساخ أو تلف أحد الحساسات</v>
      </c>
    </row>
    <row r="119" customFormat="false" ht="35.05" hidden="false" customHeight="false" outlineLevel="0" collapsed="false">
      <c r="A119" s="10" t="s">
        <v>1792</v>
      </c>
      <c r="B119" s="11" t="s">
        <v>186</v>
      </c>
      <c r="C119" s="11" t="s">
        <v>1793</v>
      </c>
      <c r="D119" s="11" t="s">
        <v>1794</v>
      </c>
      <c r="E119" s="11" t="s">
        <v>1795</v>
      </c>
      <c r="F119" s="11" t="s">
        <v>1075</v>
      </c>
      <c r="G119" s="11" t="s">
        <v>1796</v>
      </c>
      <c r="H119" s="11" t="s">
        <v>1797</v>
      </c>
      <c r="I119" s="11" t="s">
        <v>1096</v>
      </c>
      <c r="J119" s="11" t="s">
        <v>81</v>
      </c>
      <c r="K119" s="12" t="n">
        <v>300</v>
      </c>
      <c r="L119" s="12" t="n">
        <v>2500</v>
      </c>
      <c r="M119" s="11" t="s">
        <v>1069</v>
      </c>
      <c r="N119" s="11" t="s">
        <v>1097</v>
      </c>
      <c r="O119" s="10" t="str">
        <f aca="false">IF(COUNTA(B119:N119)=0,"",IF(OR(B119="",C119="",D119="",E119="",G119="",H119="",I119="",J119=""),"ناقص","OK"))</f>
        <v>OK</v>
      </c>
      <c r="P119" s="10" t="str">
        <f aca="false">IF(D119="","",B119&amp;" "&amp;C119&amp;" "&amp;D119&amp;" "&amp;E119&amp;" "&amp;F119&amp;" "&amp;G119)</f>
        <v>كهرباء كاميرا الرجوع الكاميرا الخلفية بتنطفي أو بتعرض صورة مشوشة كاميرا الخلفية، كاميرا الرجوع، صورة مشوشة، شاشة سودة لا توجد لمبة رطوبة داخل الكاميرا أو كابل مقطوع</v>
      </c>
    </row>
    <row r="120" customFormat="false" ht="23.85" hidden="false" customHeight="false" outlineLevel="0" collapsed="false">
      <c r="A120" s="10" t="s">
        <v>1798</v>
      </c>
      <c r="B120" s="11" t="s">
        <v>186</v>
      </c>
      <c r="C120" s="11" t="s">
        <v>1799</v>
      </c>
      <c r="D120" s="11" t="s">
        <v>1800</v>
      </c>
      <c r="E120" s="11" t="s">
        <v>1801</v>
      </c>
      <c r="F120" s="11" t="s">
        <v>1075</v>
      </c>
      <c r="G120" s="11" t="s">
        <v>1802</v>
      </c>
      <c r="H120" s="11" t="s">
        <v>1803</v>
      </c>
      <c r="I120" s="11" t="s">
        <v>1096</v>
      </c>
      <c r="J120" s="11" t="s">
        <v>81</v>
      </c>
      <c r="K120" s="12" t="n">
        <v>200</v>
      </c>
      <c r="L120" s="12" t="n">
        <v>2500</v>
      </c>
      <c r="M120" s="11" t="s">
        <v>1069</v>
      </c>
      <c r="N120" s="11" t="s">
        <v>1097</v>
      </c>
      <c r="O120" s="10" t="str">
        <f aca="false">IF(COUNTA(B120:N120)=0,"",IF(OR(B120="",C120="",D120="",E120="",G120="",H120="",I120="",J120=""),"ناقص","OK"))</f>
        <v>OK</v>
      </c>
      <c r="P120" s="10" t="str">
        <f aca="false">IF(D120="","",B120&amp;" "&amp;C120&amp;" "&amp;D120&amp;" "&amp;E120&amp;" "&amp;F120&amp;" "&amp;G120)</f>
        <v>كهرباء مثبت السرعة مثبت السرعة (الكروز) لا يعمل الكروز، مثبت السرعة، مش بيشتغل لا توجد لمبة عطل سويتش الدواسة أو الأسلاك</v>
      </c>
    </row>
    <row r="121" customFormat="false" ht="35.05" hidden="false" customHeight="false" outlineLevel="0" collapsed="false">
      <c r="A121" s="10" t="s">
        <v>1804</v>
      </c>
      <c r="B121" s="11" t="s">
        <v>186</v>
      </c>
      <c r="C121" s="11" t="s">
        <v>1805</v>
      </c>
      <c r="D121" s="11" t="s">
        <v>1806</v>
      </c>
      <c r="E121" s="11" t="s">
        <v>1807</v>
      </c>
      <c r="F121" s="11" t="s">
        <v>1064</v>
      </c>
      <c r="G121" s="11" t="s">
        <v>1808</v>
      </c>
      <c r="H121" s="11" t="s">
        <v>1809</v>
      </c>
      <c r="I121" s="11" t="s">
        <v>1067</v>
      </c>
      <c r="J121" s="11" t="s">
        <v>1068</v>
      </c>
      <c r="K121" s="12" t="n">
        <v>1000</v>
      </c>
      <c r="L121" s="12" t="n">
        <v>4500</v>
      </c>
      <c r="M121" s="11" t="s">
        <v>1069</v>
      </c>
      <c r="N121" s="11" t="s">
        <v>1070</v>
      </c>
      <c r="O121" s="10" t="str">
        <f aca="false">IF(COUNTA(B121:N121)=0,"",IF(OR(B121="",C121="",D121="",E121="",G121="",H121="",I121="",J121=""),"ناقص","OK"))</f>
        <v>OK</v>
      </c>
      <c r="P121" s="10" t="str">
        <f aca="false">IF(D121="","",B121&amp;" "&amp;C121&amp;" "&amp;D121&amp;" "&amp;E121&amp;" "&amp;F121&amp;" "&amp;G121)</f>
        <v>كهرباء الدواسة الإلكترونية رد فعل بطيء للدواسة والسيارة تدخل وضع الأمان الدواسة الإلكترونية، تأخر الرد، وضع الأمان لمبة المحرك عطل حساس الدواسة</v>
      </c>
    </row>
    <row r="122" customFormat="false" ht="23.85" hidden="false" customHeight="false" outlineLevel="0" collapsed="false">
      <c r="A122" s="10" t="s">
        <v>1810</v>
      </c>
      <c r="B122" s="11" t="s">
        <v>186</v>
      </c>
      <c r="C122" s="11" t="s">
        <v>1811</v>
      </c>
      <c r="D122" s="11" t="s">
        <v>1812</v>
      </c>
      <c r="E122" s="11" t="s">
        <v>1813</v>
      </c>
      <c r="F122" s="11" t="s">
        <v>1075</v>
      </c>
      <c r="G122" s="11" t="s">
        <v>1814</v>
      </c>
      <c r="H122" s="11" t="s">
        <v>1815</v>
      </c>
      <c r="I122" s="11" t="s">
        <v>1067</v>
      </c>
      <c r="J122" s="11" t="s">
        <v>1068</v>
      </c>
      <c r="K122" s="12" t="n">
        <v>200</v>
      </c>
      <c r="L122" s="12" t="n">
        <v>2000</v>
      </c>
      <c r="M122" s="11" t="s">
        <v>1069</v>
      </c>
      <c r="N122" s="11" t="s">
        <v>1070</v>
      </c>
      <c r="O122" s="10" t="str">
        <f aca="false">IF(COUNTA(B122:N122)=0,"",IF(OR(B122="",C122="",D122="",E122="",G122="",H122="",I122="",J122=""),"ناقص","OK"))</f>
        <v>OK</v>
      </c>
      <c r="P122" s="10" t="str">
        <f aca="false">IF(D122="","",B122&amp;" "&amp;C122&amp;" "&amp;D122&amp;" "&amp;E122&amp;" "&amp;F122&amp;" "&amp;G122)</f>
        <v>كهرباء علبة الفيوزات الأعطال الكهربائية بتحصل مع المطر المطر، ماس، مياه في العلبة، ريليه لا توجد لمبة رطوبة داخل علبة الفيوزات</v>
      </c>
    </row>
    <row r="123" customFormat="false" ht="39.55" hidden="false" customHeight="false" outlineLevel="0" collapsed="false">
      <c r="A123" s="10" t="s">
        <v>1816</v>
      </c>
      <c r="B123" s="11" t="s">
        <v>186</v>
      </c>
      <c r="C123" s="11" t="s">
        <v>1817</v>
      </c>
      <c r="D123" s="11" t="s">
        <v>1818</v>
      </c>
      <c r="E123" s="11" t="s">
        <v>1819</v>
      </c>
      <c r="F123" s="11" t="s">
        <v>1064</v>
      </c>
      <c r="G123" s="11" t="s">
        <v>1820</v>
      </c>
      <c r="H123" s="11" t="s">
        <v>1821</v>
      </c>
      <c r="I123" s="11" t="s">
        <v>1117</v>
      </c>
      <c r="J123" s="11" t="s">
        <v>1068</v>
      </c>
      <c r="K123" s="12" t="n">
        <v>2500</v>
      </c>
      <c r="L123" s="12" t="n">
        <v>20000</v>
      </c>
      <c r="M123" s="11" t="s">
        <v>1069</v>
      </c>
      <c r="N123" s="11" t="s">
        <v>1118</v>
      </c>
      <c r="O123" s="10" t="str">
        <f aca="false">IF(COUNTA(B123:N123)=0,"",IF(OR(B123="",C123="",D123="",E123="",G123="",H123="",I123="",J123=""),"ناقص","OK"))</f>
        <v>OK</v>
      </c>
      <c r="P123" s="10" t="str">
        <f aca="false">IF(D123="","",B123&amp;" "&amp;C123&amp;" "&amp;D123&amp;" "&amp;E123&amp;" "&amp;F123&amp;" "&amp;G123)</f>
        <v>كهرباء وحدة تحكم المحرك ECU أعطال متعددة غير مفسرة وتوقف مفاجئ ECU، وحدة التحكم، أعطال متعددة، توقف لمبة المحرك عطل بوحدة تحكم المحرك</v>
      </c>
    </row>
    <row r="124" customFormat="false" ht="35.05" hidden="false" customHeight="false" outlineLevel="0" collapsed="false">
      <c r="A124" s="10" t="s">
        <v>1822</v>
      </c>
      <c r="B124" s="11" t="s">
        <v>186</v>
      </c>
      <c r="C124" s="11" t="s">
        <v>1823</v>
      </c>
      <c r="D124" s="11" t="s">
        <v>1824</v>
      </c>
      <c r="E124" s="11" t="s">
        <v>1825</v>
      </c>
      <c r="F124" s="11" t="s">
        <v>1826</v>
      </c>
      <c r="G124" s="11" t="s">
        <v>1827</v>
      </c>
      <c r="H124" s="11" t="s">
        <v>1828</v>
      </c>
      <c r="I124" s="11" t="s">
        <v>1067</v>
      </c>
      <c r="J124" s="11" t="s">
        <v>80</v>
      </c>
      <c r="K124" s="12" t="n">
        <v>500</v>
      </c>
      <c r="L124" s="12" t="n">
        <v>6000</v>
      </c>
      <c r="M124" s="11" t="s">
        <v>1069</v>
      </c>
      <c r="N124" s="11" t="s">
        <v>1070</v>
      </c>
      <c r="O124" s="10" t="str">
        <f aca="false">IF(COUNTA(B124:N124)=0,"",IF(OR(B124="",C124="",D124="",E124="",G124="",H124="",I124="",J124=""),"ناقص","OK"))</f>
        <v>OK</v>
      </c>
      <c r="P124" s="10" t="str">
        <f aca="false">IF(D124="","",B124&amp;" "&amp;C124&amp;" "&amp;D124&amp;" "&amp;E124&amp;" "&amp;F124&amp;" "&amp;G124)</f>
        <v>كهرباء شريحة المفتاح (الإيموبيلايزر) العربية تعمل وتتوقف فجأة ولمبة المفتاح منورة الشريحة، إيموبيلايزر، مفتاح، بيطفي بعد التشغيل لمبة المفتاح مشكلة بالإيموبيلايزر أو شريحة المفتاح</v>
      </c>
    </row>
    <row r="125" customFormat="false" ht="35.05" hidden="false" customHeight="false" outlineLevel="0" collapsed="false">
      <c r="A125" s="10" t="s">
        <v>1829</v>
      </c>
      <c r="B125" s="11" t="s">
        <v>186</v>
      </c>
      <c r="C125" s="11" t="s">
        <v>1830</v>
      </c>
      <c r="D125" s="11" t="s">
        <v>1831</v>
      </c>
      <c r="E125" s="11" t="s">
        <v>1832</v>
      </c>
      <c r="F125" s="11" t="s">
        <v>1075</v>
      </c>
      <c r="G125" s="11" t="s">
        <v>1833</v>
      </c>
      <c r="H125" s="11" t="s">
        <v>1834</v>
      </c>
      <c r="I125" s="11" t="s">
        <v>1096</v>
      </c>
      <c r="J125" s="11" t="s">
        <v>81</v>
      </c>
      <c r="K125" s="12" t="n">
        <v>50</v>
      </c>
      <c r="L125" s="12" t="n">
        <v>400</v>
      </c>
      <c r="M125" s="11" t="s">
        <v>1069</v>
      </c>
      <c r="N125" s="11" t="s">
        <v>1097</v>
      </c>
      <c r="O125" s="10" t="str">
        <f aca="false">IF(COUNTA(B125:N125)=0,"",IF(OR(B125="",C125="",D125="",E125="",G125="",H125="",I125="",J125=""),"ناقص","OK"))</f>
        <v>OK</v>
      </c>
      <c r="P125" s="10" t="str">
        <f aca="false">IF(D125="","",B125&amp;" "&amp;C125&amp;" "&amp;D125&amp;" "&amp;E125&amp;" "&amp;F125&amp;" "&amp;G125)</f>
        <v>كهرباء إضاءة الكابينة إضاءة داخل العربية لا تنطفئ وتفرغ البطارية إضاءة داخلية، لمبة السقف، بطارية بتفضى، الباب لا توجد لمبة سويتش الباب لا يرجع</v>
      </c>
    </row>
    <row r="126" customFormat="false" ht="35.05" hidden="false" customHeight="false" outlineLevel="0" collapsed="false">
      <c r="A126" s="10" t="s">
        <v>1835</v>
      </c>
      <c r="B126" s="11" t="s">
        <v>186</v>
      </c>
      <c r="C126" s="11" t="s">
        <v>1836</v>
      </c>
      <c r="D126" s="11" t="s">
        <v>1837</v>
      </c>
      <c r="E126" s="11" t="s">
        <v>1838</v>
      </c>
      <c r="F126" s="11" t="s">
        <v>1839</v>
      </c>
      <c r="G126" s="11" t="s">
        <v>1840</v>
      </c>
      <c r="H126" s="11" t="s">
        <v>1841</v>
      </c>
      <c r="I126" s="11" t="s">
        <v>1096</v>
      </c>
      <c r="J126" s="11" t="s">
        <v>81</v>
      </c>
      <c r="K126" s="12" t="n">
        <v>100</v>
      </c>
      <c r="L126" s="12" t="n">
        <v>800</v>
      </c>
      <c r="M126" s="11" t="s">
        <v>1069</v>
      </c>
      <c r="N126" s="11" t="s">
        <v>1097</v>
      </c>
      <c r="O126" s="10" t="str">
        <f aca="false">IF(COUNTA(B126:N126)=0,"",IF(OR(B126="",C126="",D126="",E126="",G126="",H126="",I126="",J126=""),"ناقص","OK"))</f>
        <v>OK</v>
      </c>
      <c r="P126" s="10" t="str">
        <f aca="false">IF(D126="","",B126&amp;" "&amp;C126&amp;" "&amp;D126&amp;" "&amp;E126&amp;" "&amp;F126&amp;" "&amp;G126)</f>
        <v>كهرباء سويتش الباب لمبة الباب مفتوح لا تنطفئ والجرس يعمل الباب مفتوح، لمبة الباب، جرس، سويتش الباب لمبة الباب عطل سويتش القفل</v>
      </c>
    </row>
    <row r="127" customFormat="false" ht="35.05" hidden="false" customHeight="false" outlineLevel="0" collapsed="false">
      <c r="A127" s="10" t="s">
        <v>1842</v>
      </c>
      <c r="B127" s="11" t="s">
        <v>186</v>
      </c>
      <c r="C127" s="11" t="s">
        <v>1843</v>
      </c>
      <c r="D127" s="11" t="s">
        <v>1844</v>
      </c>
      <c r="E127" s="11" t="s">
        <v>1845</v>
      </c>
      <c r="F127" s="11" t="s">
        <v>1075</v>
      </c>
      <c r="G127" s="11" t="s">
        <v>1846</v>
      </c>
      <c r="H127" s="11" t="s">
        <v>1847</v>
      </c>
      <c r="I127" s="11" t="s">
        <v>1096</v>
      </c>
      <c r="J127" s="11" t="s">
        <v>81</v>
      </c>
      <c r="K127" s="12" t="n">
        <v>100</v>
      </c>
      <c r="L127" s="12" t="n">
        <v>800</v>
      </c>
      <c r="M127" s="11" t="s">
        <v>1069</v>
      </c>
      <c r="N127" s="11" t="s">
        <v>1097</v>
      </c>
      <c r="O127" s="10" t="str">
        <f aca="false">IF(COUNTA(B127:N127)=0,"",IF(OR(B127="",C127="",D127="",E127="",G127="",H127="",I127="",J127=""),"ناقص","OK"))</f>
        <v>OK</v>
      </c>
      <c r="P127" s="10" t="str">
        <f aca="false">IF(D127="","",B127&amp;" "&amp;C127&amp;" "&amp;D127&amp;" "&amp;E127&amp;" "&amp;F127&amp;" "&amp;G127)</f>
        <v>كهرباء سخان الزجاج الخلفي سخان الزجاج الخلفي لا يسخن سخان الزجاج، مزيل الضباب، الخلفي، خطوط لا توجد لمبة قطع في خطوط السخان أو الفيوز</v>
      </c>
    </row>
    <row r="128" customFormat="false" ht="23.85" hidden="false" customHeight="false" outlineLevel="0" collapsed="false">
      <c r="A128" s="10" t="s">
        <v>1848</v>
      </c>
      <c r="B128" s="11" t="s">
        <v>186</v>
      </c>
      <c r="C128" s="11" t="s">
        <v>1849</v>
      </c>
      <c r="D128" s="11" t="s">
        <v>1850</v>
      </c>
      <c r="E128" s="11" t="s">
        <v>1851</v>
      </c>
      <c r="F128" s="11" t="s">
        <v>1075</v>
      </c>
      <c r="G128" s="11" t="s">
        <v>1852</v>
      </c>
      <c r="H128" s="11" t="s">
        <v>1853</v>
      </c>
      <c r="I128" s="11" t="s">
        <v>1096</v>
      </c>
      <c r="J128" s="11" t="s">
        <v>81</v>
      </c>
      <c r="K128" s="12" t="n">
        <v>20</v>
      </c>
      <c r="L128" s="12" t="n">
        <v>200</v>
      </c>
      <c r="M128" s="11" t="s">
        <v>1069</v>
      </c>
      <c r="N128" s="11" t="s">
        <v>1097</v>
      </c>
      <c r="O128" s="10" t="str">
        <f aca="false">IF(COUNTA(B128:N128)=0,"",IF(OR(B128="",C128="",D128="",E128="",G128="",H128="",I128="",J128=""),"ناقص","OK"))</f>
        <v>OK</v>
      </c>
      <c r="P128" s="10" t="str">
        <f aca="false">IF(D128="","",B128&amp;" "&amp;C128&amp;" "&amp;D128&amp;" "&amp;E128&amp;" "&amp;F128&amp;" "&amp;G128)</f>
        <v>كهرباء مقبس الولاعة الشاحن لا يعمل في الولاعة الولاعة، شاحن الموبايل، فيوز الولاعة لا توجد لمبة فيوز الولاعة محروق</v>
      </c>
    </row>
    <row r="129" customFormat="false" ht="23.85" hidden="false" customHeight="false" outlineLevel="0" collapsed="false">
      <c r="A129" s="10" t="s">
        <v>1854</v>
      </c>
      <c r="B129" s="11" t="s">
        <v>186</v>
      </c>
      <c r="C129" s="11" t="s">
        <v>1855</v>
      </c>
      <c r="D129" s="11" t="s">
        <v>1856</v>
      </c>
      <c r="E129" s="11" t="s">
        <v>1857</v>
      </c>
      <c r="F129" s="11" t="s">
        <v>1075</v>
      </c>
      <c r="G129" s="11" t="s">
        <v>1858</v>
      </c>
      <c r="H129" s="11" t="s">
        <v>1859</v>
      </c>
      <c r="I129" s="11" t="s">
        <v>1096</v>
      </c>
      <c r="J129" s="11" t="s">
        <v>1068</v>
      </c>
      <c r="K129" s="12" t="n">
        <v>50</v>
      </c>
      <c r="L129" s="12" t="n">
        <v>500</v>
      </c>
      <c r="M129" s="11" t="s">
        <v>1069</v>
      </c>
      <c r="N129" s="11" t="s">
        <v>1097</v>
      </c>
      <c r="O129" s="10" t="str">
        <f aca="false">IF(COUNTA(B129:N129)=0,"",IF(OR(B129="",C129="",D129="",E129="",G129="",H129="",I129="",J129=""),"ناقص","OK"))</f>
        <v>OK</v>
      </c>
      <c r="P129" s="10" t="str">
        <f aca="false">IF(D129="","",B129&amp;" "&amp;C129&amp;" "&amp;D129&amp;" "&amp;E129&amp;" "&amp;F129&amp;" "&amp;G129)</f>
        <v>كهرباء إشارة الطوارئ زر الطوارئ (الدبل) لا يعمل الدبل، لمبة الطوارئ، سويتش الدبل، فلاشر لا توجد لمبة عطل سويتش أو فلاشر</v>
      </c>
    </row>
    <row r="130" customFormat="false" ht="28.35" hidden="false" customHeight="false" outlineLevel="0" collapsed="false">
      <c r="A130" s="10" t="s">
        <v>1860</v>
      </c>
      <c r="B130" s="11" t="s">
        <v>186</v>
      </c>
      <c r="C130" s="11" t="s">
        <v>1861</v>
      </c>
      <c r="D130" s="11" t="s">
        <v>1862</v>
      </c>
      <c r="E130" s="11" t="s">
        <v>1863</v>
      </c>
      <c r="F130" s="11" t="s">
        <v>1075</v>
      </c>
      <c r="G130" s="11" t="s">
        <v>1864</v>
      </c>
      <c r="H130" s="11" t="s">
        <v>1865</v>
      </c>
      <c r="I130" s="11" t="s">
        <v>1096</v>
      </c>
      <c r="J130" s="11" t="s">
        <v>81</v>
      </c>
      <c r="K130" s="12" t="n">
        <v>100</v>
      </c>
      <c r="L130" s="12" t="n">
        <v>2000</v>
      </c>
      <c r="M130" s="11" t="s">
        <v>1069</v>
      </c>
      <c r="N130" s="11" t="s">
        <v>1097</v>
      </c>
      <c r="O130" s="10" t="str">
        <f aca="false">IF(COUNTA(B130:N130)=0,"",IF(OR(B130="",C130="",D130="",E130="",G130="",H130="",I130="",J130=""),"ناقص","OK"))</f>
        <v>OK</v>
      </c>
      <c r="P130" s="10" t="str">
        <f aca="false">IF(D130="","",B130&amp;" "&amp;C130&amp;" "&amp;D130&amp;" "&amp;E130&amp;" "&amp;F130&amp;" "&amp;G130)</f>
        <v>كهرباء الإضاءة النهارية إضاءة الـ LED النهارية مطفية الإضاءة النهارية، DRL، لمبة نهارية لا توجد لمبة لمبة أو وحدة تحكم تالفة</v>
      </c>
    </row>
    <row r="131" customFormat="false" ht="50.7" hidden="false" customHeight="false" outlineLevel="0" collapsed="false">
      <c r="A131" s="10" t="s">
        <v>1866</v>
      </c>
      <c r="B131" s="11" t="s">
        <v>1867</v>
      </c>
      <c r="C131" s="11" t="s">
        <v>1868</v>
      </c>
      <c r="D131" s="11" t="s">
        <v>1869</v>
      </c>
      <c r="E131" s="11" t="s">
        <v>1870</v>
      </c>
      <c r="F131" s="11" t="s">
        <v>1871</v>
      </c>
      <c r="G131" s="11" t="s">
        <v>1872</v>
      </c>
      <c r="H131" s="11" t="s">
        <v>1873</v>
      </c>
      <c r="I131" s="11" t="s">
        <v>1067</v>
      </c>
      <c r="J131" s="11" t="s">
        <v>1068</v>
      </c>
      <c r="K131" s="12" t="n">
        <v>300</v>
      </c>
      <c r="L131" s="12" t="n">
        <v>5000</v>
      </c>
      <c r="M131" s="11" t="s">
        <v>1069</v>
      </c>
      <c r="N131" s="11" t="s">
        <v>1070</v>
      </c>
      <c r="O131" s="10" t="str">
        <f aca="false">IF(COUNTA(B131:N131)=0,"",IF(OR(B131="",C131="",D131="",E131="",G131="",H131="",I131="",J131=""),"ناقص","OK"))</f>
        <v>OK</v>
      </c>
      <c r="P131" s="10" t="str">
        <f aca="false">IF(D131="","",B131&amp;" "&amp;C131&amp;" "&amp;D131&amp;" "&amp;E131&amp;" "&amp;F131&amp;" "&amp;G131)</f>
        <v>تحذيرات التابلوه كمبيوتر المحرك لمبة المحرك (Check Engine) منورة ثابتة لمبة المحرك، تشيك أنجن، لمبة صفرا، لمبة البرتقاني، Check Engine لمبة المحرك صفراء عطل في حساس أو احتراق غير سليم أو غطاء خزان البنزين مش محكم</v>
      </c>
    </row>
    <row r="132" customFormat="false" ht="35.05" hidden="false" customHeight="false" outlineLevel="0" collapsed="false">
      <c r="A132" s="10" t="s">
        <v>1874</v>
      </c>
      <c r="B132" s="11" t="s">
        <v>1867</v>
      </c>
      <c r="C132" s="11" t="s">
        <v>1875</v>
      </c>
      <c r="D132" s="11" t="s">
        <v>1876</v>
      </c>
      <c r="E132" s="11" t="s">
        <v>1877</v>
      </c>
      <c r="F132" s="11" t="s">
        <v>1878</v>
      </c>
      <c r="G132" s="11" t="s">
        <v>1879</v>
      </c>
      <c r="H132" s="11" t="s">
        <v>1880</v>
      </c>
      <c r="I132" s="11" t="s">
        <v>1117</v>
      </c>
      <c r="J132" s="11" t="s">
        <v>80</v>
      </c>
      <c r="K132" s="12" t="n">
        <v>1000</v>
      </c>
      <c r="L132" s="12" t="n">
        <v>8000</v>
      </c>
      <c r="M132" s="11" t="s">
        <v>1069</v>
      </c>
      <c r="N132" s="11" t="s">
        <v>1118</v>
      </c>
      <c r="O132" s="10" t="str">
        <f aca="false">IF(COUNTA(B132:N132)=0,"",IF(OR(B132="",C132="",D132="",E132="",G132="",H132="",I132="",J132=""),"ناقص","OK"))</f>
        <v>OK</v>
      </c>
      <c r="P132" s="10" t="str">
        <f aca="false">IF(D132="","",B132&amp;" "&amp;C132&amp;" "&amp;D132&amp;" "&amp;E132&amp;" "&amp;F132&amp;" "&amp;G132)</f>
        <v>تحذيرات التابلوه الاحتراق / الكتالايزر لمبة المحرك بتفلش (بتومض) لمبة بتفلش، لمبة بتنط، لمبة المحرك بتومض، ميس فاير لمبة المحرك وامضة احتراق غير مكتمل شديد وممكن يتلف الكتالايزر</v>
      </c>
    </row>
    <row r="133" customFormat="false" ht="35.05" hidden="false" customHeight="false" outlineLevel="0" collapsed="false">
      <c r="A133" s="10" t="s">
        <v>1881</v>
      </c>
      <c r="B133" s="11" t="s">
        <v>1867</v>
      </c>
      <c r="C133" s="11" t="s">
        <v>1882</v>
      </c>
      <c r="D133" s="11" t="s">
        <v>1883</v>
      </c>
      <c r="E133" s="11" t="s">
        <v>1884</v>
      </c>
      <c r="F133" s="11" t="s">
        <v>1142</v>
      </c>
      <c r="G133" s="11" t="s">
        <v>1885</v>
      </c>
      <c r="H133" s="11" t="s">
        <v>1886</v>
      </c>
      <c r="I133" s="11" t="s">
        <v>1117</v>
      </c>
      <c r="J133" s="11" t="s">
        <v>80</v>
      </c>
      <c r="K133" s="12" t="n">
        <v>300</v>
      </c>
      <c r="L133" s="12" t="n">
        <v>12000</v>
      </c>
      <c r="M133" s="11" t="s">
        <v>1069</v>
      </c>
      <c r="N133" s="11" t="s">
        <v>1118</v>
      </c>
      <c r="O133" s="10" t="str">
        <f aca="false">IF(COUNTA(B133:N133)=0,"",IF(OR(B133="",C133="",D133="",E133="",G133="",H133="",I133="",J133=""),"ناقص","OK"))</f>
        <v>OK</v>
      </c>
      <c r="P133" s="10" t="str">
        <f aca="false">IF(D133="","",B133&amp;" "&amp;C133&amp;" "&amp;D133&amp;" "&amp;E133&amp;" "&amp;F133&amp;" "&amp;G133)</f>
        <v>تحذيرات التابلوه طلمبة الزيت لمبة الزيت الحمرا منورة لمبة الزيت، لمبة حمرا، علبة الزيت، ضغط الزيت، زيت ناقص لمبة ضغط الزيت نقص الزيت أو ضعف طلمبة الزيت أو عطل الحساس</v>
      </c>
    </row>
    <row r="134" customFormat="false" ht="28.35" hidden="false" customHeight="false" outlineLevel="0" collapsed="false">
      <c r="A134" s="10" t="s">
        <v>1887</v>
      </c>
      <c r="B134" s="11" t="s">
        <v>1867</v>
      </c>
      <c r="C134" s="11" t="s">
        <v>1888</v>
      </c>
      <c r="D134" s="11" t="s">
        <v>1889</v>
      </c>
      <c r="E134" s="11" t="s">
        <v>1890</v>
      </c>
      <c r="F134" s="11" t="s">
        <v>1891</v>
      </c>
      <c r="G134" s="11" t="s">
        <v>1892</v>
      </c>
      <c r="H134" s="11" t="s">
        <v>1893</v>
      </c>
      <c r="I134" s="11" t="s">
        <v>1067</v>
      </c>
      <c r="J134" s="11" t="s">
        <v>1068</v>
      </c>
      <c r="K134" s="12" t="n">
        <v>500</v>
      </c>
      <c r="L134" s="12" t="n">
        <v>6000</v>
      </c>
      <c r="M134" s="11" t="s">
        <v>1069</v>
      </c>
      <c r="N134" s="11" t="s">
        <v>1070</v>
      </c>
      <c r="O134" s="10" t="str">
        <f aca="false">IF(COUNTA(B134:N134)=0,"",IF(OR(B134="",C134="",D134="",E134="",G134="",H134="",I134="",J134=""),"ناقص","OK"))</f>
        <v>OK</v>
      </c>
      <c r="P134" s="10" t="str">
        <f aca="false">IF(D134="","",B134&amp;" "&amp;C134&amp;" "&amp;D134&amp;" "&amp;E134&amp;" "&amp;F134&amp;" "&amp;G134)</f>
        <v>تحذيرات التابلوه ABS لمبة ABS منورة لمبة ABS، لمبة الفرامل، ايه بي اس لمبة ABS عطل حساس سرعة العجلة أو وحدة ABS</v>
      </c>
    </row>
    <row r="135" customFormat="false" ht="39.55" hidden="false" customHeight="false" outlineLevel="0" collapsed="false">
      <c r="A135" s="10" t="s">
        <v>1894</v>
      </c>
      <c r="B135" s="11" t="s">
        <v>1867</v>
      </c>
      <c r="C135" s="11" t="s">
        <v>1895</v>
      </c>
      <c r="D135" s="11" t="s">
        <v>1896</v>
      </c>
      <c r="E135" s="11" t="s">
        <v>1897</v>
      </c>
      <c r="F135" s="11" t="s">
        <v>1898</v>
      </c>
      <c r="G135" s="11" t="s">
        <v>1899</v>
      </c>
      <c r="H135" s="11" t="s">
        <v>1900</v>
      </c>
      <c r="I135" s="11" t="s">
        <v>1096</v>
      </c>
      <c r="J135" s="11" t="s">
        <v>1068</v>
      </c>
      <c r="K135" s="12" t="n">
        <v>50</v>
      </c>
      <c r="L135" s="12" t="n">
        <v>800</v>
      </c>
      <c r="M135" s="11" t="s">
        <v>1069</v>
      </c>
      <c r="N135" s="11" t="s">
        <v>1097</v>
      </c>
      <c r="O135" s="10" t="str">
        <f aca="false">IF(COUNTA(B135:N135)=0,"",IF(OR(B135="",C135="",D135="",E135="",G135="",H135="",I135="",J135=""),"ناقص","OK"))</f>
        <v>OK</v>
      </c>
      <c r="P135" s="10" t="str">
        <f aca="false">IF(D135="","",B135&amp;" "&amp;C135&amp;" "&amp;D135&amp;" "&amp;E135&amp;" "&amp;F135&amp;" "&amp;G135)</f>
        <v>تحذيرات التابلوه حساسات الكاوتش TPMS لمبة ضغط الكاوتش منورة لمبة الكاوتش، TPMS، ضغط الكاوتش لمبة TPMS ضغط منخفض أو حساس تالف</v>
      </c>
    </row>
    <row r="136" customFormat="false" ht="41.75" hidden="false" customHeight="false" outlineLevel="0" collapsed="false">
      <c r="A136" s="10" t="s">
        <v>1901</v>
      </c>
      <c r="B136" s="11" t="s">
        <v>1867</v>
      </c>
      <c r="C136" s="11" t="s">
        <v>1902</v>
      </c>
      <c r="D136" s="11" t="s">
        <v>1903</v>
      </c>
      <c r="E136" s="11" t="s">
        <v>1904</v>
      </c>
      <c r="F136" s="11" t="s">
        <v>1905</v>
      </c>
      <c r="G136" s="11" t="s">
        <v>1906</v>
      </c>
      <c r="H136" s="11" t="s">
        <v>1907</v>
      </c>
      <c r="I136" s="11" t="s">
        <v>1067</v>
      </c>
      <c r="J136" s="11" t="s">
        <v>1068</v>
      </c>
      <c r="K136" s="12" t="n">
        <v>500</v>
      </c>
      <c r="L136" s="12" t="n">
        <v>6000</v>
      </c>
      <c r="M136" s="11" t="s">
        <v>1069</v>
      </c>
      <c r="N136" s="11" t="s">
        <v>1070</v>
      </c>
      <c r="O136" s="10" t="str">
        <f aca="false">IF(COUNTA(B136:N136)=0,"",IF(OR(B136="",C136="",D136="",E136="",G136="",H136="",I136="",J136=""),"ناقص","OK"))</f>
        <v>OK</v>
      </c>
      <c r="P136" s="10" t="str">
        <f aca="false">IF(D136="","",B136&amp;" "&amp;C136&amp;" "&amp;D136&amp;" "&amp;E136&amp;" "&amp;F136&amp;" "&amp;G136)</f>
        <v>تحذيرات التابلوه الوسائد الهوائية لمبة الوسائد الهوائية (Airbag) منورة لمبة الايرباج، لمبة الوسادة، لمبة الشخص، airbag لمبة Airbag عطل حساس أو كابل أو وحدة التحكم</v>
      </c>
    </row>
    <row r="137" customFormat="false" ht="41.75" hidden="false" customHeight="false" outlineLevel="0" collapsed="false">
      <c r="A137" s="10" t="s">
        <v>1908</v>
      </c>
      <c r="B137" s="11" t="s">
        <v>1867</v>
      </c>
      <c r="C137" s="11" t="s">
        <v>1909</v>
      </c>
      <c r="D137" s="11" t="s">
        <v>1910</v>
      </c>
      <c r="E137" s="11" t="s">
        <v>1911</v>
      </c>
      <c r="F137" s="11" t="s">
        <v>1912</v>
      </c>
      <c r="G137" s="11" t="s">
        <v>1913</v>
      </c>
      <c r="H137" s="11" t="s">
        <v>1914</v>
      </c>
      <c r="I137" s="11" t="s">
        <v>1067</v>
      </c>
      <c r="J137" s="11" t="s">
        <v>1068</v>
      </c>
      <c r="K137" s="12" t="n">
        <v>500</v>
      </c>
      <c r="L137" s="12" t="n">
        <v>5000</v>
      </c>
      <c r="M137" s="11" t="s">
        <v>1069</v>
      </c>
      <c r="N137" s="11" t="s">
        <v>1070</v>
      </c>
      <c r="O137" s="10" t="str">
        <f aca="false">IF(COUNTA(B137:N137)=0,"",IF(OR(B137="",C137="",D137="",E137="",G137="",H137="",I137="",J137=""),"ناقص","OK"))</f>
        <v>OK</v>
      </c>
      <c r="P137" s="10" t="str">
        <f aca="false">IF(D137="","",B137&amp;" "&amp;C137&amp;" "&amp;D137&amp;" "&amp;E137&amp;" "&amp;F137&amp;" "&amp;G137)</f>
        <v>تحذيرات التابلوه نظام الثبات ESP لمبة ESP أو التحكم في الثبات منورة لمبة ESP، لمبة التحكم، ثبات، سيارة بتنزلق لمبة ESP عطل حساس زاوية الدركسيون أو حساس ABS</v>
      </c>
    </row>
    <row r="138" customFormat="false" ht="35.05" hidden="false" customHeight="false" outlineLevel="0" collapsed="false">
      <c r="A138" s="10" t="s">
        <v>1915</v>
      </c>
      <c r="B138" s="11" t="s">
        <v>1867</v>
      </c>
      <c r="C138" s="11" t="s">
        <v>1916</v>
      </c>
      <c r="D138" s="11" t="s">
        <v>1917</v>
      </c>
      <c r="E138" s="11" t="s">
        <v>1918</v>
      </c>
      <c r="F138" s="11" t="s">
        <v>1919</v>
      </c>
      <c r="G138" s="11" t="s">
        <v>1920</v>
      </c>
      <c r="H138" s="11" t="s">
        <v>1921</v>
      </c>
      <c r="I138" s="11" t="s">
        <v>1067</v>
      </c>
      <c r="J138" s="11" t="s">
        <v>1068</v>
      </c>
      <c r="K138" s="12" t="n">
        <v>100</v>
      </c>
      <c r="L138" s="12" t="n">
        <v>3000</v>
      </c>
      <c r="M138" s="11" t="s">
        <v>1069</v>
      </c>
      <c r="N138" s="11" t="s">
        <v>1070</v>
      </c>
      <c r="O138" s="10" t="str">
        <f aca="false">IF(COUNTA(B138:N138)=0,"",IF(OR(B138="",C138="",D138="",E138="",G138="",H138="",I138="",J138=""),"ناقص","OK"))</f>
        <v>OK</v>
      </c>
      <c r="P138" s="10" t="str">
        <f aca="false">IF(D138="","",B138&amp;" "&amp;C138&amp;" "&amp;D138&amp;" "&amp;E138&amp;" "&amp;F138&amp;" "&amp;G138)</f>
        <v>تحذيرات التابلوه الفرامل اليد / زيت الفرامل لمبة الفرامل حمرا منورة لمبة الفرامل، لمبة الفرامل اليد، لمبة حمرا لمبة الفرامل الفرامل اليد مرفوعة أو مستوى زيت الفرامل ناقص</v>
      </c>
    </row>
    <row r="139" customFormat="false" ht="35.05" hidden="false" customHeight="false" outlineLevel="0" collapsed="false">
      <c r="A139" s="10" t="s">
        <v>1922</v>
      </c>
      <c r="B139" s="11" t="s">
        <v>1867</v>
      </c>
      <c r="C139" s="11" t="s">
        <v>1923</v>
      </c>
      <c r="D139" s="11" t="s">
        <v>1924</v>
      </c>
      <c r="E139" s="11" t="s">
        <v>1925</v>
      </c>
      <c r="F139" s="11" t="s">
        <v>1926</v>
      </c>
      <c r="G139" s="11" t="s">
        <v>1927</v>
      </c>
      <c r="H139" s="11" t="s">
        <v>1928</v>
      </c>
      <c r="I139" s="11" t="s">
        <v>1096</v>
      </c>
      <c r="J139" s="11" t="s">
        <v>81</v>
      </c>
      <c r="K139" s="12" t="n">
        <v>300</v>
      </c>
      <c r="L139" s="12" t="n">
        <v>2500</v>
      </c>
      <c r="M139" s="11" t="s">
        <v>1069</v>
      </c>
      <c r="N139" s="11" t="s">
        <v>1097</v>
      </c>
      <c r="O139" s="10" t="str">
        <f aca="false">IF(COUNTA(B139:N139)=0,"",IF(OR(B139="",C139="",D139="",E139="",G139="",H139="",I139="",J139=""),"ناقص","OK"))</f>
        <v>OK</v>
      </c>
      <c r="P139" s="10" t="str">
        <f aca="false">IF(D139="","",B139&amp;" "&amp;C139&amp;" "&amp;D139&amp;" "&amp;E139&amp;" "&amp;F139&amp;" "&amp;G139)</f>
        <v>تحذيرات التابلوه نظام الصيانة لمبة الصيانة (سيرفيس) منورة لمبة السيرفيس، لمبة المفتاح، ميعاد الصيانة لمبة صيانة ميعاد الصيانة الدورية وصل</v>
      </c>
    </row>
    <row r="140" customFormat="false" ht="35.05" hidden="false" customHeight="false" outlineLevel="0" collapsed="false">
      <c r="A140" s="10" t="s">
        <v>1929</v>
      </c>
      <c r="B140" s="11" t="s">
        <v>1867</v>
      </c>
      <c r="C140" s="11" t="s">
        <v>1930</v>
      </c>
      <c r="D140" s="11" t="s">
        <v>1931</v>
      </c>
      <c r="E140" s="11" t="s">
        <v>1932</v>
      </c>
      <c r="F140" s="11" t="s">
        <v>1933</v>
      </c>
      <c r="G140" s="11" t="s">
        <v>1934</v>
      </c>
      <c r="H140" s="11" t="s">
        <v>1935</v>
      </c>
      <c r="I140" s="11" t="s">
        <v>1096</v>
      </c>
      <c r="J140" s="11" t="s">
        <v>81</v>
      </c>
      <c r="K140" s="12" t="n">
        <v>150</v>
      </c>
      <c r="L140" s="12" t="n">
        <v>1500</v>
      </c>
      <c r="M140" s="11" t="s">
        <v>1069</v>
      </c>
      <c r="N140" s="11" t="s">
        <v>1097</v>
      </c>
      <c r="O140" s="10" t="str">
        <f aca="false">IF(COUNTA(B140:N140)=0,"",IF(OR(B140="",C140="",D140="",E140="",G140="",H140="",I140="",J140=""),"ناقص","OK"))</f>
        <v>OK</v>
      </c>
      <c r="P140" s="10" t="str">
        <f aca="false">IF(D140="","",B140&amp;" "&amp;C140&amp;" "&amp;D140&amp;" "&amp;E140&amp;" "&amp;F140&amp;" "&amp;G140)</f>
        <v>تحذيرات التابلوه حزام الأمان لمبة وصوت تنبيه حزام الأمان رغم ربطه لمبة حزام الأمان، صوت تنبيه، حزام مربوط لمبة حزام الأمان عطل سويتش الحزام أو حساس المقعد</v>
      </c>
    </row>
    <row r="141" customFormat="false" ht="39.55" hidden="false" customHeight="false" outlineLevel="0" collapsed="false">
      <c r="A141" s="10" t="s">
        <v>1936</v>
      </c>
      <c r="B141" s="11" t="s">
        <v>1867</v>
      </c>
      <c r="C141" s="11" t="s">
        <v>1937</v>
      </c>
      <c r="D141" s="11" t="s">
        <v>1938</v>
      </c>
      <c r="E141" s="11" t="s">
        <v>1939</v>
      </c>
      <c r="F141" s="11" t="s">
        <v>1940</v>
      </c>
      <c r="G141" s="11" t="s">
        <v>1941</v>
      </c>
      <c r="H141" s="11" t="s">
        <v>1942</v>
      </c>
      <c r="I141" s="11" t="s">
        <v>1067</v>
      </c>
      <c r="J141" s="11" t="s">
        <v>1068</v>
      </c>
      <c r="K141" s="12" t="n">
        <v>500</v>
      </c>
      <c r="L141" s="12" t="n">
        <v>5000</v>
      </c>
      <c r="M141" s="11" t="s">
        <v>1943</v>
      </c>
      <c r="N141" s="11" t="s">
        <v>1070</v>
      </c>
      <c r="O141" s="10" t="str">
        <f aca="false">IF(COUNTA(B141:N141)=0,"",IF(OR(B141="",C141="",D141="",E141="",G141="",H141="",I141="",J141=""),"ناقص","OK"))</f>
        <v>OK</v>
      </c>
      <c r="P141" s="10" t="str">
        <f aca="false">IF(D141="","",B141&amp;" "&amp;C141&amp;" "&amp;D141&amp;" "&amp;E141&amp;" "&amp;F141&amp;" "&amp;G141)</f>
        <v>تحذيرات التابلوه نظام EPC لمبة EPC منورة والعربية على وضع الأمان EPC، لمبة EPC، وضع الأمان، قوة محدودة لمبة EPC عطل في الدواسة أو الثروتل أو الحساسات</v>
      </c>
    </row>
    <row r="142" customFormat="false" ht="41.75" hidden="false" customHeight="false" outlineLevel="0" collapsed="false">
      <c r="A142" s="10" t="s">
        <v>1944</v>
      </c>
      <c r="B142" s="11" t="s">
        <v>1867</v>
      </c>
      <c r="C142" s="11" t="s">
        <v>1945</v>
      </c>
      <c r="D142" s="11" t="s">
        <v>1946</v>
      </c>
      <c r="E142" s="11" t="s">
        <v>1947</v>
      </c>
      <c r="F142" s="11" t="s">
        <v>1948</v>
      </c>
      <c r="G142" s="11" t="s">
        <v>1949</v>
      </c>
      <c r="H142" s="11" t="s">
        <v>1950</v>
      </c>
      <c r="I142" s="11" t="s">
        <v>1067</v>
      </c>
      <c r="J142" s="11" t="s">
        <v>1068</v>
      </c>
      <c r="K142" s="12" t="n">
        <v>200</v>
      </c>
      <c r="L142" s="12" t="n">
        <v>3000</v>
      </c>
      <c r="M142" s="11" t="s">
        <v>1069</v>
      </c>
      <c r="N142" s="11" t="s">
        <v>1070</v>
      </c>
      <c r="O142" s="10" t="str">
        <f aca="false">IF(COUNTA(B142:N142)=0,"",IF(OR(B142="",C142="",D142="",E142="",G142="",H142="",I142="",J142=""),"ناقص","OK"))</f>
        <v>OK</v>
      </c>
      <c r="P142" s="10" t="str">
        <f aca="false">IF(D142="","",B142&amp;" "&amp;C142&amp;" "&amp;D142&amp;" "&amp;E142&amp;" "&amp;F142&amp;" "&amp;G142)</f>
        <v>تحذيرات التابلوه إيقاف ESP لمبة ESP OFF منورة بدون ما أضغط الزر ESP OFF، لمبة الثبات، التحكم الإلكتروني لمبة ESP OFF زر ESP عالق أو عطل الحساس</v>
      </c>
    </row>
    <row r="143" customFormat="false" ht="35.05" hidden="false" customHeight="false" outlineLevel="0" collapsed="false">
      <c r="A143" s="10" t="s">
        <v>1951</v>
      </c>
      <c r="B143" s="11" t="s">
        <v>1867</v>
      </c>
      <c r="C143" s="11" t="s">
        <v>1952</v>
      </c>
      <c r="D143" s="11" t="s">
        <v>1953</v>
      </c>
      <c r="E143" s="11" t="s">
        <v>1954</v>
      </c>
      <c r="F143" s="11" t="s">
        <v>1955</v>
      </c>
      <c r="G143" s="11" t="s">
        <v>1956</v>
      </c>
      <c r="H143" s="11" t="s">
        <v>1957</v>
      </c>
      <c r="I143" s="11" t="s">
        <v>1096</v>
      </c>
      <c r="J143" s="11" t="s">
        <v>81</v>
      </c>
      <c r="K143" s="12" t="n">
        <v>300</v>
      </c>
      <c r="L143" s="12" t="n">
        <v>3500</v>
      </c>
      <c r="M143" s="11" t="s">
        <v>1069</v>
      </c>
      <c r="N143" s="11" t="s">
        <v>1097</v>
      </c>
      <c r="O143" s="10" t="str">
        <f aca="false">IF(COUNTA(B143:N143)=0,"",IF(OR(B143="",C143="",D143="",E143="",G143="",H143="",I143="",J143=""),"ناقص","OK"))</f>
        <v>OK</v>
      </c>
      <c r="P143" s="10" t="str">
        <f aca="false">IF(D143="","",B143&amp;" "&amp;C143&amp;" "&amp;D143&amp;" "&amp;E143&amp;" "&amp;F143&amp;" "&amp;G143)</f>
        <v>تحذيرات التابلوه الحفاظ على المسار لمبة الحفاظ على المسار صفراء ولا تعمل الحفاظ على المسار، كاميرا الزجاج، لمبة المسار لمبة نظام المسار كاميرا الزجاج متسخة أو غير معايرة</v>
      </c>
    </row>
    <row r="144" customFormat="false" ht="35.05" hidden="false" customHeight="false" outlineLevel="0" collapsed="false">
      <c r="A144" s="10" t="s">
        <v>1958</v>
      </c>
      <c r="B144" s="11" t="s">
        <v>1867</v>
      </c>
      <c r="C144" s="11" t="s">
        <v>1959</v>
      </c>
      <c r="D144" s="11" t="s">
        <v>1960</v>
      </c>
      <c r="E144" s="11" t="s">
        <v>1961</v>
      </c>
      <c r="F144" s="11" t="s">
        <v>1075</v>
      </c>
      <c r="G144" s="11" t="s">
        <v>1962</v>
      </c>
      <c r="H144" s="11" t="s">
        <v>1963</v>
      </c>
      <c r="I144" s="11" t="s">
        <v>1096</v>
      </c>
      <c r="J144" s="11" t="s">
        <v>81</v>
      </c>
      <c r="K144" s="12" t="n">
        <v>300</v>
      </c>
      <c r="L144" s="12" t="n">
        <v>2500</v>
      </c>
      <c r="M144" s="11" t="s">
        <v>1069</v>
      </c>
      <c r="N144" s="11" t="s">
        <v>1097</v>
      </c>
      <c r="O144" s="10" t="str">
        <f aca="false">IF(COUNTA(B144:N144)=0,"",IF(OR(B144="",C144="",D144="",E144="",G144="",H144="",I144="",J144=""),"ناقص","OK"))</f>
        <v>OK</v>
      </c>
      <c r="P144" s="10" t="str">
        <f aca="false">IF(D144="","",B144&amp;" "&amp;C144&amp;" "&amp;D144&amp;" "&amp;E144&amp;" "&amp;F144&amp;" "&amp;G144)</f>
        <v>تحذيرات التابلوه حساس المطر المساحات لا تعمل تلقائيًا مع المطر حساس المطر، المساحات التلقائية، لمبة المطر لا توجد لمبة اتساخ أو عطل حساس المطر</v>
      </c>
    </row>
    <row r="145" customFormat="false" ht="35.05" hidden="false" customHeight="false" outlineLevel="0" collapsed="false">
      <c r="A145" s="10" t="s">
        <v>1964</v>
      </c>
      <c r="B145" s="11" t="s">
        <v>1867</v>
      </c>
      <c r="C145" s="11" t="s">
        <v>1965</v>
      </c>
      <c r="D145" s="11" t="s">
        <v>1966</v>
      </c>
      <c r="E145" s="11" t="s">
        <v>1967</v>
      </c>
      <c r="F145" s="11" t="s">
        <v>1075</v>
      </c>
      <c r="G145" s="11" t="s">
        <v>1968</v>
      </c>
      <c r="H145" s="11" t="s">
        <v>1969</v>
      </c>
      <c r="I145" s="11" t="s">
        <v>1096</v>
      </c>
      <c r="J145" s="11" t="s">
        <v>1068</v>
      </c>
      <c r="K145" s="12" t="n">
        <v>200</v>
      </c>
      <c r="L145" s="12" t="n">
        <v>2000</v>
      </c>
      <c r="M145" s="11" t="s">
        <v>1069</v>
      </c>
      <c r="N145" s="11" t="s">
        <v>1097</v>
      </c>
      <c r="O145" s="10" t="str">
        <f aca="false">IF(COUNTA(B145:N145)=0,"",IF(OR(B145="",C145="",D145="",E145="",G145="",H145="",I145="",J145=""),"ناقص","OK"))</f>
        <v>OK</v>
      </c>
      <c r="P145" s="10" t="str">
        <f aca="false">IF(D145="","",B145&amp;" "&amp;C145&amp;" "&amp;D145&amp;" "&amp;E145&amp;" "&amp;F145&amp;" "&amp;G145)</f>
        <v>تحذيرات التابلوه الإضاءة التلقائية الكشافات لا تنور تلقائيًا في العتمة إضاءة تلقائية، حساس الضوء، الكشافات مش بتنور لا توجد لمبة عطل حساس الضوء</v>
      </c>
    </row>
    <row r="146" customFormat="false" ht="35.05" hidden="false" customHeight="false" outlineLevel="0" collapsed="false">
      <c r="A146" s="10" t="s">
        <v>1970</v>
      </c>
      <c r="B146" s="11" t="s">
        <v>1867</v>
      </c>
      <c r="C146" s="11" t="s">
        <v>1971</v>
      </c>
      <c r="D146" s="11" t="s">
        <v>1972</v>
      </c>
      <c r="E146" s="11" t="s">
        <v>1973</v>
      </c>
      <c r="F146" s="11" t="s">
        <v>1974</v>
      </c>
      <c r="G146" s="11" t="s">
        <v>1975</v>
      </c>
      <c r="H146" s="11" t="s">
        <v>1976</v>
      </c>
      <c r="I146" s="11" t="s">
        <v>1096</v>
      </c>
      <c r="J146" s="11" t="s">
        <v>81</v>
      </c>
      <c r="K146" s="12" t="n">
        <v>500</v>
      </c>
      <c r="L146" s="12" t="n">
        <v>3000</v>
      </c>
      <c r="M146" s="11" t="s">
        <v>1069</v>
      </c>
      <c r="N146" s="11" t="s">
        <v>1097</v>
      </c>
      <c r="O146" s="10" t="str">
        <f aca="false">IF(COUNTA(B146:N146)=0,"",IF(OR(B146="",C146="",D146="",E146="",G146="",H146="",I146="",J146=""),"ناقص","OK"))</f>
        <v>OK</v>
      </c>
      <c r="P146" s="10" t="str">
        <f aca="false">IF(D146="","",B146&amp;" "&amp;C146&amp;" "&amp;D146&amp;" "&amp;E146&amp;" "&amp;F146&amp;" "&amp;G146)</f>
        <v>تحذيرات التابلوه لمبة البنزين المبكرة لمبة البنزين تنور وفي الخزان بنزين كتير لمبة البنزين، بتنور بدري، عائم الخزان لمبة الوقود عطل عائم الخزان أو وحدة العداد</v>
      </c>
    </row>
    <row r="147" customFormat="false" ht="35.05" hidden="false" customHeight="false" outlineLevel="0" collapsed="false">
      <c r="A147" s="10" t="s">
        <v>1977</v>
      </c>
      <c r="B147" s="11" t="s">
        <v>1867</v>
      </c>
      <c r="C147" s="11" t="s">
        <v>1978</v>
      </c>
      <c r="D147" s="11" t="s">
        <v>1979</v>
      </c>
      <c r="E147" s="11" t="s">
        <v>1980</v>
      </c>
      <c r="F147" s="11" t="s">
        <v>1839</v>
      </c>
      <c r="G147" s="11" t="s">
        <v>1981</v>
      </c>
      <c r="H147" s="11" t="s">
        <v>1859</v>
      </c>
      <c r="I147" s="11" t="s">
        <v>1096</v>
      </c>
      <c r="J147" s="11" t="s">
        <v>81</v>
      </c>
      <c r="K147" s="12" t="n">
        <v>100</v>
      </c>
      <c r="L147" s="12" t="n">
        <v>800</v>
      </c>
      <c r="M147" s="11" t="s">
        <v>1069</v>
      </c>
      <c r="N147" s="11" t="s">
        <v>1097</v>
      </c>
      <c r="O147" s="10" t="str">
        <f aca="false">IF(COUNTA(B147:N147)=0,"",IF(OR(B147="",C147="",D147="",E147="",G147="",H147="",I147="",J147=""),"ناقص","OK"))</f>
        <v>OK</v>
      </c>
      <c r="P147" s="10" t="str">
        <f aca="false">IF(D147="","",B147&amp;" "&amp;C147&amp;" "&amp;D147&amp;" "&amp;E147&amp;" "&amp;F147&amp;" "&amp;G147)</f>
        <v>تحذيرات التابلوه صندوق الشنطة لمبة الشنطة مفتوحة منورة وهي مقفولة لمبة الشنطة، باب الشنطة، سويتش الشنطة لمبة الباب عطل سويتش القفل الخلفي</v>
      </c>
    </row>
    <row r="148" customFormat="false" ht="23.85" hidden="false" customHeight="false" outlineLevel="0" collapsed="false">
      <c r="A148" s="10" t="s">
        <v>1982</v>
      </c>
      <c r="B148" s="11" t="s">
        <v>1867</v>
      </c>
      <c r="C148" s="11" t="s">
        <v>1983</v>
      </c>
      <c r="D148" s="11" t="s">
        <v>1984</v>
      </c>
      <c r="E148" s="11" t="s">
        <v>1985</v>
      </c>
      <c r="F148" s="11" t="s">
        <v>1986</v>
      </c>
      <c r="G148" s="11" t="s">
        <v>1987</v>
      </c>
      <c r="H148" s="11" t="s">
        <v>1988</v>
      </c>
      <c r="I148" s="11" t="s">
        <v>1117</v>
      </c>
      <c r="J148" s="11" t="s">
        <v>1068</v>
      </c>
      <c r="K148" s="12" t="n">
        <v>1000</v>
      </c>
      <c r="L148" s="12" t="n">
        <v>6000</v>
      </c>
      <c r="M148" s="11" t="s">
        <v>78</v>
      </c>
      <c r="N148" s="11" t="s">
        <v>1118</v>
      </c>
      <c r="O148" s="10" t="str">
        <f aca="false">IF(COUNTA(B148:N148)=0,"",IF(OR(B148="",C148="",D148="",E148="",G148="",H148="",I148="",J148=""),"ناقص","OK"))</f>
        <v>OK</v>
      </c>
      <c r="P148" s="10" t="str">
        <f aca="false">IF(D148="","",B148&amp;" "&amp;C148&amp;" "&amp;D148&amp;" "&amp;E148&amp;" "&amp;F148&amp;" "&amp;G148)</f>
        <v>تحذيرات التابلوه حرارة الجير لمبة حرارة الجير منورة حرارة الجير، لمبة الجير، جير سخن لمبة حرارة الجير زيت الجير قليل أو مبرد مسدود</v>
      </c>
    </row>
    <row r="149" customFormat="false" ht="41.75" hidden="false" customHeight="false" outlineLevel="0" collapsed="false">
      <c r="A149" s="10" t="s">
        <v>1989</v>
      </c>
      <c r="B149" s="11" t="s">
        <v>1867</v>
      </c>
      <c r="C149" s="11" t="s">
        <v>1990</v>
      </c>
      <c r="D149" s="11" t="s">
        <v>1991</v>
      </c>
      <c r="E149" s="11" t="s">
        <v>1992</v>
      </c>
      <c r="F149" s="11" t="s">
        <v>1993</v>
      </c>
      <c r="G149" s="11" t="s">
        <v>1994</v>
      </c>
      <c r="H149" s="11" t="s">
        <v>1995</v>
      </c>
      <c r="I149" s="11" t="s">
        <v>1067</v>
      </c>
      <c r="J149" s="11" t="s">
        <v>1068</v>
      </c>
      <c r="K149" s="12" t="n">
        <v>300</v>
      </c>
      <c r="L149" s="12" t="n">
        <v>5000</v>
      </c>
      <c r="M149" s="11" t="s">
        <v>464</v>
      </c>
      <c r="N149" s="11" t="s">
        <v>1070</v>
      </c>
      <c r="O149" s="10" t="str">
        <f aca="false">IF(COUNTA(B149:N149)=0,"",IF(OR(B149="",C149="",D149="",E149="",G149="",H149="",I149="",J149=""),"ناقص","OK"))</f>
        <v>OK</v>
      </c>
      <c r="P149" s="10" t="str">
        <f aca="false">IF(D149="","",B149&amp;" "&amp;C149&amp;" "&amp;D149&amp;" "&amp;E149&amp;" "&amp;F149&amp;" "&amp;G149)</f>
        <v>تحذيرات التابلوه AdBlue لمبة AdBlue منورة وعداد تنازلي للتشغيل AdBlue، اليوريا، ديزل، لمبة اليوريا لمبة AdBlue نقص سائل AdBlue أو عطل حساس</v>
      </c>
    </row>
    <row r="150" customFormat="false" ht="41.75" hidden="false" customHeight="false" outlineLevel="0" collapsed="false">
      <c r="A150" s="10" t="s">
        <v>1996</v>
      </c>
      <c r="B150" s="11" t="s">
        <v>1867</v>
      </c>
      <c r="C150" s="11" t="s">
        <v>1997</v>
      </c>
      <c r="D150" s="11" t="s">
        <v>1998</v>
      </c>
      <c r="E150" s="11" t="s">
        <v>1999</v>
      </c>
      <c r="F150" s="11" t="s">
        <v>2000</v>
      </c>
      <c r="G150" s="11" t="s">
        <v>2001</v>
      </c>
      <c r="H150" s="11" t="s">
        <v>2002</v>
      </c>
      <c r="I150" s="11" t="s">
        <v>1067</v>
      </c>
      <c r="J150" s="11" t="s">
        <v>1068</v>
      </c>
      <c r="K150" s="12" t="n">
        <v>500</v>
      </c>
      <c r="L150" s="12" t="n">
        <v>5000</v>
      </c>
      <c r="M150" s="11" t="s">
        <v>1069</v>
      </c>
      <c r="N150" s="11" t="s">
        <v>1070</v>
      </c>
      <c r="O150" s="10" t="str">
        <f aca="false">IF(COUNTA(B150:N150)=0,"",IF(OR(B150="",C150="",D150="",E150="",G150="",H150="",I150="",J150=""),"ناقص","OK"))</f>
        <v>OK</v>
      </c>
      <c r="P150" s="10" t="str">
        <f aca="false">IF(D150="","",B150&amp;" "&amp;C150&amp;" "&amp;D150&amp;" "&amp;E150&amp;" "&amp;F150&amp;" "&amp;G150)</f>
        <v>تحذيرات التابلوه التحكم في النزول HDC لمبة التحكم في النزول تفلش وتفصل HDC، التحكم في النزول، لمبة المنحدر لمبة HDC عطل وحدة ABS أو الحساسات</v>
      </c>
    </row>
    <row r="151" customFormat="false" ht="55.2" hidden="false" customHeight="false" outlineLevel="0" collapsed="false">
      <c r="A151" s="10" t="s">
        <v>2003</v>
      </c>
      <c r="B151" s="11" t="s">
        <v>1867</v>
      </c>
      <c r="C151" s="11" t="s">
        <v>2004</v>
      </c>
      <c r="D151" s="11" t="s">
        <v>2005</v>
      </c>
      <c r="E151" s="11" t="s">
        <v>2006</v>
      </c>
      <c r="F151" s="11" t="s">
        <v>2007</v>
      </c>
      <c r="G151" s="11" t="s">
        <v>2008</v>
      </c>
      <c r="H151" s="11" t="s">
        <v>2009</v>
      </c>
      <c r="I151" s="11" t="s">
        <v>1067</v>
      </c>
      <c r="J151" s="11" t="s">
        <v>1068</v>
      </c>
      <c r="K151" s="12" t="n">
        <v>500</v>
      </c>
      <c r="L151" s="12" t="n">
        <v>8000</v>
      </c>
      <c r="M151" s="11" t="s">
        <v>1069</v>
      </c>
      <c r="N151" s="11" t="s">
        <v>1070</v>
      </c>
      <c r="O151" s="10" t="str">
        <f aca="false">IF(COUNTA(B151:N151)=0,"",IF(OR(B151="",C151="",D151="",E151="",G151="",H151="",I151="",J151=""),"ناقص","OK"))</f>
        <v>OK</v>
      </c>
      <c r="P151" s="10" t="str">
        <f aca="false">IF(D151="","",B151&amp;" "&amp;C151&amp;" "&amp;D151&amp;" "&amp;E151&amp;" "&amp;F151&amp;" "&amp;G151)</f>
        <v>تحذيرات التابلوه مجموعة ABS وESP والفرامل لمبات ABS وESP والفرامل منورين مع بعض لمبات مع بعض، ABS وESP، فرامل، الثلاث لمبات لمبة ABS وESP عطل في حساس العجلة أو وحدة ABS أو جهد البطارية</v>
      </c>
    </row>
    <row r="152" customFormat="false" ht="35.05" hidden="false" customHeight="false" outlineLevel="0" collapsed="false">
      <c r="A152" s="10" t="s">
        <v>2010</v>
      </c>
      <c r="B152" s="11" t="s">
        <v>1867</v>
      </c>
      <c r="C152" s="11" t="s">
        <v>2011</v>
      </c>
      <c r="D152" s="11" t="s">
        <v>2012</v>
      </c>
      <c r="E152" s="11" t="s">
        <v>2013</v>
      </c>
      <c r="F152" s="11" t="s">
        <v>2014</v>
      </c>
      <c r="G152" s="11" t="s">
        <v>2015</v>
      </c>
      <c r="H152" s="11" t="s">
        <v>2016</v>
      </c>
      <c r="I152" s="11" t="s">
        <v>1096</v>
      </c>
      <c r="J152" s="11" t="s">
        <v>1068</v>
      </c>
      <c r="K152" s="12" t="n">
        <v>50</v>
      </c>
      <c r="L152" s="12" t="n">
        <v>500</v>
      </c>
      <c r="M152" s="11" t="s">
        <v>1069</v>
      </c>
      <c r="N152" s="11" t="s">
        <v>1097</v>
      </c>
      <c r="O152" s="10" t="str">
        <f aca="false">IF(COUNTA(B152:N152)=0,"",IF(OR(B152="",C152="",D152="",E152="",G152="",H152="",I152="",J152=""),"ناقص","OK"))</f>
        <v>OK</v>
      </c>
      <c r="P152" s="10" t="str">
        <f aca="false">IF(D152="","",B152&amp;" "&amp;C152&amp;" "&amp;D152&amp;" "&amp;E152&amp;" "&amp;F152&amp;" "&amp;G152)</f>
        <v>تحذيرات التابلوه اللمبة المحروقة لمبة تحذير تعطل مصباح خارجي لمبة تحذير المصباح، لمبة محروقة، تعطل مصباح لمبة المصباح إحدى لمبات الإضاءة الخارجية محروقة</v>
      </c>
    </row>
    <row r="153" customFormat="false" ht="35.05" hidden="false" customHeight="false" outlineLevel="0" collapsed="false">
      <c r="A153" s="10" t="s">
        <v>2017</v>
      </c>
      <c r="B153" s="11" t="s">
        <v>1867</v>
      </c>
      <c r="C153" s="11" t="s">
        <v>2018</v>
      </c>
      <c r="D153" s="11" t="s">
        <v>2019</v>
      </c>
      <c r="E153" s="11" t="s">
        <v>2020</v>
      </c>
      <c r="F153" s="11" t="s">
        <v>2021</v>
      </c>
      <c r="G153" s="11" t="s">
        <v>2022</v>
      </c>
      <c r="H153" s="11" t="s">
        <v>2023</v>
      </c>
      <c r="I153" s="11" t="s">
        <v>1096</v>
      </c>
      <c r="J153" s="11" t="s">
        <v>81</v>
      </c>
      <c r="K153" s="12" t="n">
        <v>300</v>
      </c>
      <c r="L153" s="12" t="n">
        <v>4000</v>
      </c>
      <c r="M153" s="11" t="s">
        <v>1069</v>
      </c>
      <c r="N153" s="11" t="s">
        <v>1097</v>
      </c>
      <c r="O153" s="10" t="str">
        <f aca="false">IF(COUNTA(B153:N153)=0,"",IF(OR(B153="",C153="",D153="",E153="",G153="",H153="",I153="",J153=""),"ناقص","OK"))</f>
        <v>OK</v>
      </c>
      <c r="P153" s="10" t="str">
        <f aca="false">IF(D153="","",B153&amp;" "&amp;C153&amp;" "&amp;D153&amp;" "&amp;E153&amp;" "&amp;F153&amp;" "&amp;G153)</f>
        <v>تحذيرات التابلوه ستوب ستارت نظام التوقف التلقائي لا يعمل ستوب ستارت، التوقف التلقائي، نظام التوفير لمبة الستوب ستارت بطارية ضعيفة أو حساس الفرامل</v>
      </c>
    </row>
    <row r="154" customFormat="false" ht="35.05" hidden="false" customHeight="false" outlineLevel="0" collapsed="false">
      <c r="A154" s="10" t="s">
        <v>2024</v>
      </c>
      <c r="B154" s="11" t="s">
        <v>1867</v>
      </c>
      <c r="C154" s="11" t="s">
        <v>2025</v>
      </c>
      <c r="D154" s="11" t="s">
        <v>2026</v>
      </c>
      <c r="E154" s="11" t="s">
        <v>2027</v>
      </c>
      <c r="F154" s="11" t="s">
        <v>2028</v>
      </c>
      <c r="G154" s="11" t="s">
        <v>2029</v>
      </c>
      <c r="H154" s="11" t="s">
        <v>1609</v>
      </c>
      <c r="I154" s="11" t="s">
        <v>1096</v>
      </c>
      <c r="J154" s="11" t="s">
        <v>81</v>
      </c>
      <c r="K154" s="12" t="n">
        <v>100</v>
      </c>
      <c r="L154" s="12" t="n">
        <v>800</v>
      </c>
      <c r="M154" s="11" t="s">
        <v>1069</v>
      </c>
      <c r="N154" s="11" t="s">
        <v>1097</v>
      </c>
      <c r="O154" s="10" t="str">
        <f aca="false">IF(COUNTA(B154:N154)=0,"",IF(OR(B154="",C154="",D154="",E154="",G154="",H154="",I154="",J154=""),"ناقص","OK"))</f>
        <v>OK</v>
      </c>
      <c r="P154" s="10" t="str">
        <f aca="false">IF(D154="","",B154&amp;" "&amp;C154&amp;" "&amp;D154&amp;" "&amp;E154&amp;" "&amp;F154&amp;" "&amp;G154)</f>
        <v>تحذيرات التابلوه مستوى سائل المساحات لمبة سائل الغسيل منورة بالرغم من امتلاء الخزان سائل المساحات، لمبة الغسيل، حساس السائل لمبة سائل المساحات عطل حساس مستوى السائل</v>
      </c>
    </row>
    <row r="155" customFormat="false" ht="37.3" hidden="false" customHeight="false" outlineLevel="0" collapsed="false">
      <c r="A155" s="10" t="s">
        <v>2030</v>
      </c>
      <c r="B155" s="11" t="s">
        <v>1867</v>
      </c>
      <c r="C155" s="11" t="s">
        <v>2031</v>
      </c>
      <c r="D155" s="11" t="s">
        <v>2032</v>
      </c>
      <c r="E155" s="11" t="s">
        <v>2033</v>
      </c>
      <c r="F155" s="11" t="s">
        <v>2034</v>
      </c>
      <c r="G155" s="11" t="s">
        <v>2035</v>
      </c>
      <c r="H155" s="11" t="s">
        <v>2036</v>
      </c>
      <c r="I155" s="11" t="s">
        <v>1067</v>
      </c>
      <c r="J155" s="11" t="s">
        <v>1068</v>
      </c>
      <c r="K155" s="12" t="n">
        <v>800</v>
      </c>
      <c r="L155" s="12" t="n">
        <v>6000</v>
      </c>
      <c r="M155" s="11" t="s">
        <v>1069</v>
      </c>
      <c r="N155" s="11" t="s">
        <v>1070</v>
      </c>
      <c r="O155" s="10" t="str">
        <f aca="false">IF(COUNTA(B155:N155)=0,"",IF(OR(B155="",C155="",D155="",E155="",G155="",H155="",I155="",J155=""),"ناقص","OK"))</f>
        <v>OK</v>
      </c>
      <c r="P155" s="10" t="str">
        <f aca="false">IF(D155="","",B155&amp;" "&amp;C155&amp;" "&amp;D155&amp;" "&amp;E155&amp;" "&amp;F155&amp;" "&amp;G155)</f>
        <v>تحذيرات التابلوه فرامل الركن الكهربائية لمبة فرامل الركن الكهربائية تفلش فرامل الركن الكهربائية، EPB، لمبة P لمبة فرامل الركن عطل موتور أو سويتش الفرامل الكهربائية</v>
      </c>
    </row>
    <row r="156" customFormat="false" ht="37.3" hidden="false" customHeight="false" outlineLevel="0" collapsed="false">
      <c r="A156" s="10" t="s">
        <v>2037</v>
      </c>
      <c r="B156" s="11" t="s">
        <v>1867</v>
      </c>
      <c r="C156" s="11" t="s">
        <v>2038</v>
      </c>
      <c r="D156" s="11" t="s">
        <v>2039</v>
      </c>
      <c r="E156" s="11" t="s">
        <v>2040</v>
      </c>
      <c r="F156" s="11" t="s">
        <v>2041</v>
      </c>
      <c r="G156" s="11" t="s">
        <v>2042</v>
      </c>
      <c r="H156" s="11" t="s">
        <v>2002</v>
      </c>
      <c r="I156" s="11" t="s">
        <v>1096</v>
      </c>
      <c r="J156" s="11" t="s">
        <v>1068</v>
      </c>
      <c r="K156" s="12" t="n">
        <v>300</v>
      </c>
      <c r="L156" s="12" t="n">
        <v>4000</v>
      </c>
      <c r="M156" s="11" t="s">
        <v>1069</v>
      </c>
      <c r="N156" s="11" t="s">
        <v>1097</v>
      </c>
      <c r="O156" s="10" t="str">
        <f aca="false">IF(COUNTA(B156:N156)=0,"",IF(OR(B156="",C156="",D156="",E156="",G156="",H156="",I156="",J156=""),"ناقص","OK"))</f>
        <v>OK</v>
      </c>
      <c r="P156" s="10" t="str">
        <f aca="false">IF(D156="","",B156&amp;" "&amp;C156&amp;" "&amp;D156&amp;" "&amp;E156&amp;" "&amp;F156&amp;" "&amp;G156)</f>
        <v>تحذيرات التابلوه لمبة المفتاح (مفتاح الربط) لمبة مفتاح الربط (Wrench) صفراء منورة مفتاح الربط، لمبة الصيانة الصفراء، لمبة عطل لمبة مفتاح الربط عطل بسيط في المحرك أو موعد صيانة</v>
      </c>
    </row>
    <row r="157" customFormat="false" ht="39.55" hidden="false" customHeight="false" outlineLevel="0" collapsed="false">
      <c r="A157" s="10" t="s">
        <v>2043</v>
      </c>
      <c r="B157" s="11" t="s">
        <v>1867</v>
      </c>
      <c r="C157" s="11" t="s">
        <v>2044</v>
      </c>
      <c r="D157" s="11" t="s">
        <v>2045</v>
      </c>
      <c r="E157" s="11" t="s">
        <v>2046</v>
      </c>
      <c r="F157" s="11" t="s">
        <v>2047</v>
      </c>
      <c r="G157" s="11" t="s">
        <v>2048</v>
      </c>
      <c r="H157" s="11" t="s">
        <v>2049</v>
      </c>
      <c r="I157" s="11" t="s">
        <v>1096</v>
      </c>
      <c r="J157" s="11" t="s">
        <v>81</v>
      </c>
      <c r="K157" s="12" t="n">
        <v>200</v>
      </c>
      <c r="L157" s="12" t="n">
        <v>3000</v>
      </c>
      <c r="M157" s="11" t="s">
        <v>1069</v>
      </c>
      <c r="N157" s="11" t="s">
        <v>1097</v>
      </c>
      <c r="O157" s="10" t="str">
        <f aca="false">IF(COUNTA(B157:N157)=0,"",IF(OR(B157="",C157="",D157="",E157="",G157="",H157="",I157="",J157=""),"ناقص","OK"))</f>
        <v>OK</v>
      </c>
      <c r="P157" s="10" t="str">
        <f aca="false">IF(D157="","",B157&amp;" "&amp;C157&amp;" "&amp;D157&amp;" "&amp;E157&amp;" "&amp;F157&amp;" "&amp;G157)</f>
        <v>تحذيرات التابلوه التحكم في الجر لمبة التحكم في الجر بتفلش عند التسارع التحكم في الجر، TCS، لمبة الجر، تفلش عند التسارع لمبة TCS انزلاق عجلات أو عطل الحساسات</v>
      </c>
    </row>
    <row r="158" customFormat="false" ht="35.05" hidden="false" customHeight="false" outlineLevel="0" collapsed="false">
      <c r="A158" s="10" t="s">
        <v>2050</v>
      </c>
      <c r="B158" s="11" t="s">
        <v>1867</v>
      </c>
      <c r="C158" s="11" t="s">
        <v>2051</v>
      </c>
      <c r="D158" s="11" t="s">
        <v>2052</v>
      </c>
      <c r="E158" s="11" t="s">
        <v>2053</v>
      </c>
      <c r="F158" s="11" t="s">
        <v>1826</v>
      </c>
      <c r="G158" s="11" t="s">
        <v>2054</v>
      </c>
      <c r="H158" s="11" t="s">
        <v>2055</v>
      </c>
      <c r="I158" s="11" t="s">
        <v>1096</v>
      </c>
      <c r="J158" s="11" t="s">
        <v>80</v>
      </c>
      <c r="K158" s="12" t="n">
        <v>50</v>
      </c>
      <c r="L158" s="12" t="n">
        <v>300</v>
      </c>
      <c r="M158" s="11" t="s">
        <v>2056</v>
      </c>
      <c r="N158" s="11" t="s">
        <v>1097</v>
      </c>
      <c r="O158" s="10" t="str">
        <f aca="false">IF(COUNTA(B158:N158)=0,"",IF(OR(B158="",C158="",D158="",E158="",G158="",H158="",I158="",J158=""),"ناقص","OK"))</f>
        <v>OK</v>
      </c>
      <c r="P158" s="10" t="str">
        <f aca="false">IF(D158="","",B158&amp;" "&amp;C158&amp;" "&amp;D158&amp;" "&amp;E158&amp;" "&amp;F158&amp;" "&amp;G158)</f>
        <v>تحذيرات التابلوه لمبة المفتاح الذكي لمبة المفتاح الذكي منورة والعربية ما بتتشغلش المفتاح الذكي، لمبة المفتاح، بطارية الريموت لمبة المفتاح بطارية المفتاح ضعيفة</v>
      </c>
    </row>
    <row r="159" customFormat="false" ht="23.85" hidden="false" customHeight="false" outlineLevel="0" collapsed="false">
      <c r="A159" s="10" t="s">
        <v>2057</v>
      </c>
      <c r="B159" s="11" t="s">
        <v>2058</v>
      </c>
      <c r="C159" s="11" t="s">
        <v>2059</v>
      </c>
      <c r="D159" s="11" t="s">
        <v>2060</v>
      </c>
      <c r="E159" s="11" t="s">
        <v>2061</v>
      </c>
      <c r="F159" s="11" t="s">
        <v>1075</v>
      </c>
      <c r="G159" s="11" t="s">
        <v>2062</v>
      </c>
      <c r="H159" s="11" t="s">
        <v>2063</v>
      </c>
      <c r="I159" s="11" t="s">
        <v>1067</v>
      </c>
      <c r="J159" s="11" t="s">
        <v>1068</v>
      </c>
      <c r="K159" s="12" t="n">
        <v>600</v>
      </c>
      <c r="L159" s="12" t="n">
        <v>1500</v>
      </c>
      <c r="M159" s="11" t="s">
        <v>1069</v>
      </c>
      <c r="N159" s="11" t="s">
        <v>1070</v>
      </c>
      <c r="O159" s="10" t="str">
        <f aca="false">IF(COUNTA(B159:N159)=0,"",IF(OR(B159="",C159="",D159="",E159="",G159="",H159="",I159="",J159=""),"ناقص","OK"))</f>
        <v>OK</v>
      </c>
      <c r="P159" s="10" t="str">
        <f aca="false">IF(D159="","",B159&amp;" "&amp;C159&amp;" "&amp;D159&amp;" "&amp;E159&amp;" "&amp;F159&amp;" "&amp;G159)</f>
        <v>فرامل تيل الفرامل صوت صرير عند الفرملة صرير، زيزة، صفير فرامل، تيل فرامل، دواسة الفرامل لا توجد لمبة تآكل تيل الفرامل</v>
      </c>
    </row>
    <row r="160" customFormat="false" ht="35.05" hidden="false" customHeight="false" outlineLevel="0" collapsed="false">
      <c r="A160" s="10" t="s">
        <v>2064</v>
      </c>
      <c r="B160" s="11" t="s">
        <v>2058</v>
      </c>
      <c r="C160" s="11" t="s">
        <v>2065</v>
      </c>
      <c r="D160" s="11" t="s">
        <v>2066</v>
      </c>
      <c r="E160" s="11" t="s">
        <v>2067</v>
      </c>
      <c r="F160" s="11" t="s">
        <v>1919</v>
      </c>
      <c r="G160" s="11" t="s">
        <v>2068</v>
      </c>
      <c r="H160" s="11" t="s">
        <v>2069</v>
      </c>
      <c r="I160" s="11" t="s">
        <v>1117</v>
      </c>
      <c r="J160" s="11" t="s">
        <v>80</v>
      </c>
      <c r="K160" s="12" t="n">
        <v>300</v>
      </c>
      <c r="L160" s="12" t="n">
        <v>4000</v>
      </c>
      <c r="M160" s="11" t="s">
        <v>1069</v>
      </c>
      <c r="N160" s="11" t="s">
        <v>1118</v>
      </c>
      <c r="O160" s="10" t="str">
        <f aca="false">IF(COUNTA(B160:N160)=0,"",IF(OR(B160="",C160="",D160="",E160="",G160="",H160="",I160="",J160=""),"ناقص","OK"))</f>
        <v>OK</v>
      </c>
      <c r="P160" s="10" t="str">
        <f aca="false">IF(D160="","",B160&amp;" "&amp;C160&amp;" "&amp;D160&amp;" "&amp;E160&amp;" "&amp;F160&amp;" "&amp;G160)</f>
        <v>فرامل طلمبة / زيت الفرامل دواسة الفرامل غاطسة أو طرية الفرامل بتغطس، دواسة طرية، مفيش فرامل، الفرامل ضعيفة لمبة الفرامل هواء في النظام أو تسريب زيت فرامل أو عطل طلمبة الفرامل</v>
      </c>
    </row>
    <row r="161" customFormat="false" ht="35.05" hidden="false" customHeight="false" outlineLevel="0" collapsed="false">
      <c r="A161" s="10" t="s">
        <v>2070</v>
      </c>
      <c r="B161" s="11" t="s">
        <v>2058</v>
      </c>
      <c r="C161" s="11" t="s">
        <v>2071</v>
      </c>
      <c r="D161" s="11" t="s">
        <v>2072</v>
      </c>
      <c r="E161" s="11" t="s">
        <v>2073</v>
      </c>
      <c r="F161" s="11" t="s">
        <v>1075</v>
      </c>
      <c r="G161" s="11" t="s">
        <v>2074</v>
      </c>
      <c r="H161" s="11" t="s">
        <v>2075</v>
      </c>
      <c r="I161" s="11" t="s">
        <v>1067</v>
      </c>
      <c r="J161" s="11" t="s">
        <v>1068</v>
      </c>
      <c r="K161" s="12" t="n">
        <v>800</v>
      </c>
      <c r="L161" s="12" t="n">
        <v>3500</v>
      </c>
      <c r="M161" s="11" t="s">
        <v>1069</v>
      </c>
      <c r="N161" s="11" t="s">
        <v>1070</v>
      </c>
      <c r="O161" s="10" t="str">
        <f aca="false">IF(COUNTA(B161:N161)=0,"",IF(OR(B161="",C161="",D161="",E161="",G161="",H161="",I161="",J161=""),"ناقص","OK"))</f>
        <v>OK</v>
      </c>
      <c r="P161" s="10" t="str">
        <f aca="false">IF(D161="","",B161&amp;" "&amp;C161&amp;" "&amp;D161&amp;" "&amp;E161&amp;" "&amp;F161&amp;" "&amp;G161)</f>
        <v>فرامل الأقراص (الديسكات) اهتزاز في الدركسيون عند الفرملة رعشة فرامل، الدركسيون بيهز، ديسكات، الفرامل بتهز لا توجد لمبة أقراص الفرامل معوجة بسبب الحرارة</v>
      </c>
    </row>
    <row r="162" customFormat="false" ht="35.05" hidden="false" customHeight="false" outlineLevel="0" collapsed="false">
      <c r="A162" s="10" t="s">
        <v>2076</v>
      </c>
      <c r="B162" s="11" t="s">
        <v>2058</v>
      </c>
      <c r="C162" s="11" t="s">
        <v>2077</v>
      </c>
      <c r="D162" s="11" t="s">
        <v>2078</v>
      </c>
      <c r="E162" s="11" t="s">
        <v>2079</v>
      </c>
      <c r="F162" s="11" t="s">
        <v>1075</v>
      </c>
      <c r="G162" s="11" t="s">
        <v>2080</v>
      </c>
      <c r="H162" s="11" t="s">
        <v>2081</v>
      </c>
      <c r="I162" s="11" t="s">
        <v>1067</v>
      </c>
      <c r="J162" s="11" t="s">
        <v>1068</v>
      </c>
      <c r="K162" s="12" t="n">
        <v>600</v>
      </c>
      <c r="L162" s="12" t="n">
        <v>3000</v>
      </c>
      <c r="M162" s="11" t="s">
        <v>1069</v>
      </c>
      <c r="N162" s="11" t="s">
        <v>1070</v>
      </c>
      <c r="O162" s="10" t="str">
        <f aca="false">IF(COUNTA(B162:N162)=0,"",IF(OR(B162="",C162="",D162="",E162="",G162="",H162="",I162="",J162=""),"ناقص","OK"))</f>
        <v>OK</v>
      </c>
      <c r="P162" s="10" t="str">
        <f aca="false">IF(D162="","",B162&amp;" "&amp;C162&amp;" "&amp;D162&amp;" "&amp;E162&amp;" "&amp;F162&amp;" "&amp;G162)</f>
        <v>فرامل الكاليبر / التيل العربية بتشد لجنب لما أفرمل بتشد يمين، بتشد شمال، بتسحب لجنب، الفرامل لا توجد لمبة كاليبر مشتبك أو تيل غير متساوي في التآكل</v>
      </c>
    </row>
    <row r="163" customFormat="false" ht="35.05" hidden="false" customHeight="false" outlineLevel="0" collapsed="false">
      <c r="A163" s="10" t="s">
        <v>2082</v>
      </c>
      <c r="B163" s="11" t="s">
        <v>2058</v>
      </c>
      <c r="C163" s="11" t="s">
        <v>2077</v>
      </c>
      <c r="D163" s="11" t="s">
        <v>2083</v>
      </c>
      <c r="E163" s="11" t="s">
        <v>2084</v>
      </c>
      <c r="F163" s="11" t="s">
        <v>1075</v>
      </c>
      <c r="G163" s="11" t="s">
        <v>2085</v>
      </c>
      <c r="H163" s="11" t="s">
        <v>2086</v>
      </c>
      <c r="I163" s="11" t="s">
        <v>1067</v>
      </c>
      <c r="J163" s="11" t="s">
        <v>1068</v>
      </c>
      <c r="K163" s="12" t="n">
        <v>300</v>
      </c>
      <c r="L163" s="12" t="n">
        <v>3000</v>
      </c>
      <c r="M163" s="11" t="s">
        <v>1069</v>
      </c>
      <c r="N163" s="11" t="s">
        <v>1070</v>
      </c>
      <c r="O163" s="10" t="str">
        <f aca="false">IF(COUNTA(B163:N163)=0,"",IF(OR(B163="",C163="",D163="",E163="",G163="",H163="",I163="",J163=""),"ناقص","OK"))</f>
        <v>OK</v>
      </c>
      <c r="P163" s="10" t="str">
        <f aca="false">IF(D163="","",B163&amp;" "&amp;C163&amp;" "&amp;D163&amp;" "&amp;E163&amp;" "&amp;F163&amp;" "&amp;G163)</f>
        <v>فرامل الكاليبر / التيل ريحة حريق من الفرامل ريحة حريق، فرامل سخنت، دخان من العجلة، ريحة شياط لا توجد لمبة تيل أو كاليبر مشتبك أو استخدام الفرامل بشكل حاد</v>
      </c>
    </row>
    <row r="164" customFormat="false" ht="35.05" hidden="false" customHeight="false" outlineLevel="0" collapsed="false">
      <c r="A164" s="10" t="s">
        <v>2087</v>
      </c>
      <c r="B164" s="11" t="s">
        <v>2058</v>
      </c>
      <c r="C164" s="11" t="s">
        <v>2088</v>
      </c>
      <c r="D164" s="11" t="s">
        <v>2089</v>
      </c>
      <c r="E164" s="11" t="s">
        <v>2090</v>
      </c>
      <c r="F164" s="11" t="s">
        <v>1075</v>
      </c>
      <c r="G164" s="11" t="s">
        <v>2091</v>
      </c>
      <c r="H164" s="11" t="s">
        <v>2092</v>
      </c>
      <c r="I164" s="11" t="s">
        <v>1067</v>
      </c>
      <c r="J164" s="11" t="s">
        <v>1068</v>
      </c>
      <c r="K164" s="12" t="n">
        <v>1200</v>
      </c>
      <c r="L164" s="12" t="n">
        <v>4500</v>
      </c>
      <c r="M164" s="11" t="s">
        <v>1069</v>
      </c>
      <c r="N164" s="11" t="s">
        <v>1070</v>
      </c>
      <c r="O164" s="10" t="str">
        <f aca="false">IF(COUNTA(B164:N164)=0,"",IF(OR(B164="",C164="",D164="",E164="",G164="",H164="",I164="",J164=""),"ناقص","OK"))</f>
        <v>OK</v>
      </c>
      <c r="P164" s="10" t="str">
        <f aca="false">IF(D164="","",B164&amp;" "&amp;C164&amp;" "&amp;D164&amp;" "&amp;E164&amp;" "&amp;F164&amp;" "&amp;G164)</f>
        <v>فرامل الديسكات المشطوفة حافة بارزة على الديسك واحتكاك معدني عند الفرملة ديسك مشطوف، احتكاك معدني، صوت حديد لا توجد لمبة تآكل الديسك بسبب تأخر تغيير التيل</v>
      </c>
    </row>
    <row r="165" customFormat="false" ht="35.05" hidden="false" customHeight="false" outlineLevel="0" collapsed="false">
      <c r="A165" s="10" t="s">
        <v>2093</v>
      </c>
      <c r="B165" s="11" t="s">
        <v>2058</v>
      </c>
      <c r="C165" s="11" t="s">
        <v>2094</v>
      </c>
      <c r="D165" s="11" t="s">
        <v>2095</v>
      </c>
      <c r="E165" s="11" t="s">
        <v>2096</v>
      </c>
      <c r="F165" s="11" t="s">
        <v>1075</v>
      </c>
      <c r="G165" s="11" t="s">
        <v>2097</v>
      </c>
      <c r="H165" s="11" t="s">
        <v>2098</v>
      </c>
      <c r="I165" s="11" t="s">
        <v>1067</v>
      </c>
      <c r="J165" s="11" t="s">
        <v>1068</v>
      </c>
      <c r="K165" s="12" t="n">
        <v>500</v>
      </c>
      <c r="L165" s="12" t="n">
        <v>2500</v>
      </c>
      <c r="M165" s="11" t="s">
        <v>1069</v>
      </c>
      <c r="N165" s="11" t="s">
        <v>1070</v>
      </c>
      <c r="O165" s="10" t="str">
        <f aca="false">IF(COUNTA(B165:N165)=0,"",IF(OR(B165="",C165="",D165="",E165="",G165="",H165="",I165="",J165=""),"ناقص","OK"))</f>
        <v>OK</v>
      </c>
      <c r="P165" s="10" t="str">
        <f aca="false">IF(D165="","",B165&amp;" "&amp;C165&amp;" "&amp;D165&amp;" "&amp;E165&amp;" "&amp;F165&amp;" "&amp;G165)</f>
        <v>فرامل تيل الفرامل الخلفي صوت حك من الخلف عند الفرملة فرامل خلفية، حك من الخلف، دروم، شرائح لا توجد لمبة تآكل التيل أو الشرائح الخلفية</v>
      </c>
    </row>
    <row r="166" customFormat="false" ht="35.05" hidden="false" customHeight="false" outlineLevel="0" collapsed="false">
      <c r="A166" s="10" t="s">
        <v>2099</v>
      </c>
      <c r="B166" s="11" t="s">
        <v>2058</v>
      </c>
      <c r="C166" s="11" t="s">
        <v>2100</v>
      </c>
      <c r="D166" s="11" t="s">
        <v>2101</v>
      </c>
      <c r="E166" s="11" t="s">
        <v>2102</v>
      </c>
      <c r="F166" s="11" t="s">
        <v>2103</v>
      </c>
      <c r="G166" s="11" t="s">
        <v>2104</v>
      </c>
      <c r="H166" s="11" t="s">
        <v>2105</v>
      </c>
      <c r="I166" s="11" t="s">
        <v>1067</v>
      </c>
      <c r="J166" s="11" t="s">
        <v>1068</v>
      </c>
      <c r="K166" s="12" t="n">
        <v>200</v>
      </c>
      <c r="L166" s="12" t="n">
        <v>1500</v>
      </c>
      <c r="M166" s="11" t="s">
        <v>1069</v>
      </c>
      <c r="N166" s="11" t="s">
        <v>1070</v>
      </c>
      <c r="O166" s="10" t="str">
        <f aca="false">IF(COUNTA(B166:N166)=0,"",IF(OR(B166="",C166="",D166="",E166="",G166="",H166="",I166="",J166=""),"ناقص","OK"))</f>
        <v>OK</v>
      </c>
      <c r="P166" s="10" t="str">
        <f aca="false">IF(D166="","",B166&amp;" "&amp;C166&amp;" "&amp;D166&amp;" "&amp;E166&amp;" "&amp;F166&amp;" "&amp;G166)</f>
        <v>فرامل فرامل اليد فرامل اليد مش بتمسك العربية على الطلوع فرامل اليد، مش بتمسك، كابل، طلوع لمبة الفرامل اليد كابل فرامل اليد مرتخي أو تيل ضعيف</v>
      </c>
    </row>
    <row r="167" customFormat="false" ht="35.05" hidden="false" customHeight="false" outlineLevel="0" collapsed="false">
      <c r="A167" s="10" t="s">
        <v>2106</v>
      </c>
      <c r="B167" s="11" t="s">
        <v>2058</v>
      </c>
      <c r="C167" s="11" t="s">
        <v>2107</v>
      </c>
      <c r="D167" s="11" t="s">
        <v>2108</v>
      </c>
      <c r="E167" s="11" t="s">
        <v>2109</v>
      </c>
      <c r="F167" s="11" t="s">
        <v>2103</v>
      </c>
      <c r="G167" s="11" t="s">
        <v>2110</v>
      </c>
      <c r="H167" s="11" t="s">
        <v>2111</v>
      </c>
      <c r="I167" s="11" t="s">
        <v>1067</v>
      </c>
      <c r="J167" s="11" t="s">
        <v>1068</v>
      </c>
      <c r="K167" s="12" t="n">
        <v>200</v>
      </c>
      <c r="L167" s="12" t="n">
        <v>1200</v>
      </c>
      <c r="M167" s="11" t="s">
        <v>1069</v>
      </c>
      <c r="N167" s="11" t="s">
        <v>1070</v>
      </c>
      <c r="O167" s="10" t="str">
        <f aca="false">IF(COUNTA(B167:N167)=0,"",IF(OR(B167="",C167="",D167="",E167="",G167="",H167="",I167="",J167=""),"ناقص","OK"))</f>
        <v>OK</v>
      </c>
      <c r="P167" s="10" t="str">
        <f aca="false">IF(D167="","",B167&amp;" "&amp;C167&amp;" "&amp;D167&amp;" "&amp;E167&amp;" "&amp;F167&amp;" "&amp;G167)</f>
        <v>فرامل فرامل اليد العالقة العربية تقيلة وفيها ريحة حريق بعد استعمال فرامل اليد فرامل اليد عالقة، العجلة سخنة، ريحة حريق لمبة الفرامل اليد كابل فرامل اليد عالق</v>
      </c>
    </row>
    <row r="168" customFormat="false" ht="35.05" hidden="false" customHeight="false" outlineLevel="0" collapsed="false">
      <c r="A168" s="10" t="s">
        <v>2112</v>
      </c>
      <c r="B168" s="11" t="s">
        <v>2058</v>
      </c>
      <c r="C168" s="11" t="s">
        <v>2113</v>
      </c>
      <c r="D168" s="11" t="s">
        <v>2114</v>
      </c>
      <c r="E168" s="11" t="s">
        <v>2115</v>
      </c>
      <c r="F168" s="11" t="s">
        <v>1919</v>
      </c>
      <c r="G168" s="11" t="s">
        <v>2116</v>
      </c>
      <c r="H168" s="11" t="s">
        <v>2117</v>
      </c>
      <c r="I168" s="11" t="s">
        <v>1067</v>
      </c>
      <c r="J168" s="11" t="s">
        <v>1068</v>
      </c>
      <c r="K168" s="12" t="n">
        <v>150</v>
      </c>
      <c r="L168" s="12" t="n">
        <v>600</v>
      </c>
      <c r="M168" s="11" t="s">
        <v>1069</v>
      </c>
      <c r="N168" s="11" t="s">
        <v>1070</v>
      </c>
      <c r="O168" s="10" t="str">
        <f aca="false">IF(COUNTA(B168:N168)=0,"",IF(OR(B168="",C168="",D168="",E168="",G168="",H168="",I168="",J168=""),"ناقص","OK"))</f>
        <v>OK</v>
      </c>
      <c r="P168" s="10" t="str">
        <f aca="false">IF(D168="","",B168&amp;" "&amp;C168&amp;" "&amp;D168&amp;" "&amp;E168&amp;" "&amp;F168&amp;" "&amp;G168)</f>
        <v>فرامل زيت الفرامل دواسة الفرامل بتنزل بعد فترة وزيت الفرامل لونه غامق زيت فرامل قديم، غامق، دواسة بتنزل لمبة الفرامل امتصاص رطوبة في زيت الفرامل</v>
      </c>
    </row>
    <row r="169" customFormat="false" ht="35.05" hidden="false" customHeight="false" outlineLevel="0" collapsed="false">
      <c r="A169" s="10" t="s">
        <v>2118</v>
      </c>
      <c r="B169" s="11" t="s">
        <v>2058</v>
      </c>
      <c r="C169" s="11" t="s">
        <v>2119</v>
      </c>
      <c r="D169" s="11" t="s">
        <v>2120</v>
      </c>
      <c r="E169" s="11" t="s">
        <v>2121</v>
      </c>
      <c r="F169" s="11" t="s">
        <v>1075</v>
      </c>
      <c r="G169" s="11" t="s">
        <v>2119</v>
      </c>
      <c r="H169" s="11" t="s">
        <v>2122</v>
      </c>
      <c r="I169" s="11" t="s">
        <v>1117</v>
      </c>
      <c r="J169" s="11" t="s">
        <v>80</v>
      </c>
      <c r="K169" s="12" t="n">
        <v>150</v>
      </c>
      <c r="L169" s="12" t="n">
        <v>600</v>
      </c>
      <c r="M169" s="11" t="s">
        <v>1069</v>
      </c>
      <c r="N169" s="11" t="s">
        <v>1118</v>
      </c>
      <c r="O169" s="10" t="str">
        <f aca="false">IF(COUNTA(B169:N169)=0,"",IF(OR(B169="",C169="",D169="",E169="",G169="",H169="",I169="",J169=""),"ناقص","OK"))</f>
        <v>OK</v>
      </c>
      <c r="P169" s="10" t="str">
        <f aca="false">IF(D169="","",B169&amp;" "&amp;C169&amp;" "&amp;D169&amp;" "&amp;E169&amp;" "&amp;F169&amp;" "&amp;G169)</f>
        <v>فرامل هواء في دائرة الفرامل دواسة الفرامل إسفنجية بعد فك أو تغيير قطعة دواسة إسفنجية، هواء في الفرامل، بعد التغيير لا توجد لمبة هواء في دائرة الفرامل</v>
      </c>
    </row>
    <row r="170" customFormat="false" ht="35.05" hidden="false" customHeight="false" outlineLevel="0" collapsed="false">
      <c r="A170" s="10" t="s">
        <v>2123</v>
      </c>
      <c r="B170" s="11" t="s">
        <v>2058</v>
      </c>
      <c r="C170" s="11" t="s">
        <v>2124</v>
      </c>
      <c r="D170" s="11" t="s">
        <v>2125</v>
      </c>
      <c r="E170" s="11" t="s">
        <v>2126</v>
      </c>
      <c r="F170" s="11" t="s">
        <v>1075</v>
      </c>
      <c r="G170" s="11" t="s">
        <v>2127</v>
      </c>
      <c r="H170" s="11" t="s">
        <v>2128</v>
      </c>
      <c r="I170" s="11" t="s">
        <v>1117</v>
      </c>
      <c r="J170" s="11" t="s">
        <v>80</v>
      </c>
      <c r="K170" s="12" t="n">
        <v>1500</v>
      </c>
      <c r="L170" s="12" t="n">
        <v>7000</v>
      </c>
      <c r="M170" s="11" t="s">
        <v>1069</v>
      </c>
      <c r="N170" s="11" t="s">
        <v>1118</v>
      </c>
      <c r="O170" s="10" t="str">
        <f aca="false">IF(COUNTA(B170:N170)=0,"",IF(OR(B170="",C170="",D170="",E170="",G170="",H170="",I170="",J170=""),"ناقص","OK"))</f>
        <v>OK</v>
      </c>
      <c r="P170" s="10" t="str">
        <f aca="false">IF(D170="","",B170&amp;" "&amp;C170&amp;" "&amp;D170&amp;" "&amp;E170&amp;" "&amp;F170&amp;" "&amp;G170)</f>
        <v>فرامل بوستر الفرامل دواسة الفرامل قاسية جدًا وتحتاج ضغط كبير دواسة قاسية، بوستر، فرامل تقيلة، سيرفو لا توجد لمبة تسريب فاكيوم أو عطل بوستر الفرامل</v>
      </c>
    </row>
    <row r="171" customFormat="false" ht="35.05" hidden="false" customHeight="false" outlineLevel="0" collapsed="false">
      <c r="A171" s="10" t="s">
        <v>2129</v>
      </c>
      <c r="B171" s="11" t="s">
        <v>2058</v>
      </c>
      <c r="C171" s="11" t="s">
        <v>2130</v>
      </c>
      <c r="D171" s="11" t="s">
        <v>2131</v>
      </c>
      <c r="E171" s="11" t="s">
        <v>2132</v>
      </c>
      <c r="F171" s="11" t="s">
        <v>1075</v>
      </c>
      <c r="G171" s="11" t="s">
        <v>2133</v>
      </c>
      <c r="H171" s="11" t="s">
        <v>2134</v>
      </c>
      <c r="I171" s="11" t="s">
        <v>1117</v>
      </c>
      <c r="J171" s="11" t="s">
        <v>80</v>
      </c>
      <c r="K171" s="12" t="n">
        <v>300</v>
      </c>
      <c r="L171" s="12" t="n">
        <v>1500</v>
      </c>
      <c r="M171" s="11" t="s">
        <v>1069</v>
      </c>
      <c r="N171" s="11" t="s">
        <v>1118</v>
      </c>
      <c r="O171" s="10" t="str">
        <f aca="false">IF(COUNTA(B171:N171)=0,"",IF(OR(B171="",C171="",D171="",E171="",G171="",H171="",I171="",J171=""),"ناقص","OK"))</f>
        <v>OK</v>
      </c>
      <c r="P171" s="10" t="str">
        <f aca="false">IF(D171="","",B171&amp;" "&amp;C171&amp;" "&amp;D171&amp;" "&amp;E171&amp;" "&amp;F171&amp;" "&amp;G171)</f>
        <v>فرامل خرطوم الفرامل الخرطوم منتفخ والدواسة طرية والعربية بتشد لجنب خرطوم الفرامل، منتفخ، سحب لجنب لا توجد لمبة تآكل خرطوم الفرامل المطاط</v>
      </c>
    </row>
    <row r="172" customFormat="false" ht="35.05" hidden="false" customHeight="false" outlineLevel="0" collapsed="false">
      <c r="A172" s="10" t="s">
        <v>2135</v>
      </c>
      <c r="B172" s="11" t="s">
        <v>2058</v>
      </c>
      <c r="C172" s="11" t="s">
        <v>2136</v>
      </c>
      <c r="D172" s="11" t="s">
        <v>2137</v>
      </c>
      <c r="E172" s="11" t="s">
        <v>2138</v>
      </c>
      <c r="F172" s="11" t="s">
        <v>1919</v>
      </c>
      <c r="G172" s="11" t="s">
        <v>2139</v>
      </c>
      <c r="H172" s="11" t="s">
        <v>2140</v>
      </c>
      <c r="I172" s="11" t="s">
        <v>1117</v>
      </c>
      <c r="J172" s="11" t="s">
        <v>80</v>
      </c>
      <c r="K172" s="12" t="n">
        <v>300</v>
      </c>
      <c r="L172" s="12" t="n">
        <v>2500</v>
      </c>
      <c r="M172" s="11" t="s">
        <v>1069</v>
      </c>
      <c r="N172" s="11" t="s">
        <v>1118</v>
      </c>
      <c r="O172" s="10" t="str">
        <f aca="false">IF(COUNTA(B172:N172)=0,"",IF(OR(B172="",C172="",D172="",E172="",G172="",H172="",I172="",J172=""),"ناقص","OK"))</f>
        <v>OK</v>
      </c>
      <c r="P172" s="10" t="str">
        <f aca="false">IF(D172="","",B172&amp;" "&amp;C172&amp;" "&amp;D172&amp;" "&amp;E172&amp;" "&amp;F172&amp;" "&amp;G172)</f>
        <v>فرامل مواسير الفرامل تسريب زيت فرامل من الماسورة المعدنية بسبب الصدأ ماسورة صدأ، تسريب زيت فرامل، نقص زيت لمبة الفرامل صدأ مواسير الفرامل</v>
      </c>
    </row>
    <row r="173" customFormat="false" ht="35.05" hidden="false" customHeight="false" outlineLevel="0" collapsed="false">
      <c r="A173" s="10" t="s">
        <v>2141</v>
      </c>
      <c r="B173" s="11" t="s">
        <v>2058</v>
      </c>
      <c r="C173" s="11" t="s">
        <v>2142</v>
      </c>
      <c r="D173" s="11" t="s">
        <v>2143</v>
      </c>
      <c r="E173" s="11" t="s">
        <v>2144</v>
      </c>
      <c r="F173" s="11" t="s">
        <v>1075</v>
      </c>
      <c r="G173" s="11" t="s">
        <v>2145</v>
      </c>
      <c r="H173" s="11" t="s">
        <v>2146</v>
      </c>
      <c r="I173" s="11" t="s">
        <v>1067</v>
      </c>
      <c r="J173" s="11" t="s">
        <v>1068</v>
      </c>
      <c r="K173" s="12" t="n">
        <v>600</v>
      </c>
      <c r="L173" s="12" t="n">
        <v>3000</v>
      </c>
      <c r="M173" s="11" t="s">
        <v>1069</v>
      </c>
      <c r="N173" s="11" t="s">
        <v>1070</v>
      </c>
      <c r="O173" s="10" t="str">
        <f aca="false">IF(COUNTA(B173:N173)=0,"",IF(OR(B173="",C173="",D173="",E173="",G173="",H173="",I173="",J173=""),"ناقص","OK"))</f>
        <v>OK</v>
      </c>
      <c r="P173" s="10" t="str">
        <f aca="false">IF(D173="","",B173&amp;" "&amp;C173&amp;" "&amp;D173&amp;" "&amp;E173&amp;" "&amp;F173&amp;" "&amp;G173)</f>
        <v>فرامل كاليبر الفرامل المشتبك عجلة واحدة ساخنة جدًا بعد الرحلة والعربية بتتجه لجنب عجلة سخنة، كاليبر، مشتبك، بتشد لجنب لا توجد لمبة اشتباك مكبس الكاليبر</v>
      </c>
    </row>
    <row r="174" customFormat="false" ht="23.85" hidden="false" customHeight="false" outlineLevel="0" collapsed="false">
      <c r="A174" s="10" t="s">
        <v>2147</v>
      </c>
      <c r="B174" s="11" t="s">
        <v>2058</v>
      </c>
      <c r="C174" s="11" t="s">
        <v>2148</v>
      </c>
      <c r="D174" s="11" t="s">
        <v>2149</v>
      </c>
      <c r="E174" s="11" t="s">
        <v>2150</v>
      </c>
      <c r="F174" s="11" t="s">
        <v>2151</v>
      </c>
      <c r="G174" s="11" t="s">
        <v>2152</v>
      </c>
      <c r="H174" s="11" t="s">
        <v>2153</v>
      </c>
      <c r="I174" s="11" t="s">
        <v>1067</v>
      </c>
      <c r="J174" s="11" t="s">
        <v>1068</v>
      </c>
      <c r="K174" s="12" t="n">
        <v>500</v>
      </c>
      <c r="L174" s="12" t="n">
        <v>2500</v>
      </c>
      <c r="M174" s="11" t="s">
        <v>1069</v>
      </c>
      <c r="N174" s="11" t="s">
        <v>1070</v>
      </c>
      <c r="O174" s="10" t="str">
        <f aca="false">IF(COUNTA(B174:N174)=0,"",IF(OR(B174="",C174="",D174="",E174="",G174="",H174="",I174="",J174=""),"ناقص","OK"))</f>
        <v>OK</v>
      </c>
      <c r="P174" s="10" t="str">
        <f aca="false">IF(D174="","",B174&amp;" "&amp;C174&amp;" "&amp;D174&amp;" "&amp;E174&amp;" "&amp;F174&amp;" "&amp;G174)</f>
        <v>فرامل حساس تآكل التيل لمبة تآكل التيل منورة حساس التيل، لمبة التيل، تنبيه، تآكل التيل لمبة تآكل التيل وصول التيل لحد التآكل</v>
      </c>
    </row>
    <row r="175" customFormat="false" ht="35.05" hidden="false" customHeight="false" outlineLevel="0" collapsed="false">
      <c r="A175" s="10" t="s">
        <v>2154</v>
      </c>
      <c r="B175" s="11" t="s">
        <v>2058</v>
      </c>
      <c r="C175" s="11" t="s">
        <v>2155</v>
      </c>
      <c r="D175" s="11" t="s">
        <v>2156</v>
      </c>
      <c r="E175" s="11" t="s">
        <v>2157</v>
      </c>
      <c r="F175" s="11" t="s">
        <v>1919</v>
      </c>
      <c r="G175" s="11" t="s">
        <v>2158</v>
      </c>
      <c r="H175" s="11" t="s">
        <v>2159</v>
      </c>
      <c r="I175" s="11" t="s">
        <v>1117</v>
      </c>
      <c r="J175" s="11" t="s">
        <v>80</v>
      </c>
      <c r="K175" s="12" t="n">
        <v>1500</v>
      </c>
      <c r="L175" s="12" t="n">
        <v>5000</v>
      </c>
      <c r="M175" s="11" t="s">
        <v>1069</v>
      </c>
      <c r="N175" s="11" t="s">
        <v>1118</v>
      </c>
      <c r="O175" s="10" t="str">
        <f aca="false">IF(COUNTA(B175:N175)=0,"",IF(OR(B175="",C175="",D175="",E175="",G175="",H175="",I175="",J175=""),"ناقص","OK"))</f>
        <v>OK</v>
      </c>
      <c r="P175" s="10" t="str">
        <f aca="false">IF(D175="","",B175&amp;" "&amp;C175&amp;" "&amp;D175&amp;" "&amp;E175&amp;" "&amp;F175&amp;" "&amp;G175)</f>
        <v>فرامل طلمبة الفرامل الرئيسية دواسة الفرامل بتنزل ببطء للأرضية عند الوقوف دواسة بتنزل، طلمبة الفرامل الرئيسية، تسريب داخلي لمبة الفرامل تلف سيل الطلمبة الرئيسية</v>
      </c>
    </row>
    <row r="176" customFormat="false" ht="39.55" hidden="false" customHeight="false" outlineLevel="0" collapsed="false">
      <c r="A176" s="10" t="s">
        <v>2160</v>
      </c>
      <c r="B176" s="11" t="s">
        <v>2058</v>
      </c>
      <c r="C176" s="11" t="s">
        <v>2161</v>
      </c>
      <c r="D176" s="11" t="s">
        <v>2162</v>
      </c>
      <c r="E176" s="11" t="s">
        <v>2163</v>
      </c>
      <c r="F176" s="11" t="s">
        <v>1891</v>
      </c>
      <c r="G176" s="11" t="s">
        <v>2164</v>
      </c>
      <c r="H176" s="11" t="s">
        <v>2165</v>
      </c>
      <c r="I176" s="11" t="s">
        <v>1067</v>
      </c>
      <c r="J176" s="11" t="s">
        <v>1068</v>
      </c>
      <c r="K176" s="12" t="n">
        <v>3000</v>
      </c>
      <c r="L176" s="12" t="n">
        <v>15000</v>
      </c>
      <c r="M176" s="11" t="s">
        <v>1069</v>
      </c>
      <c r="N176" s="11" t="s">
        <v>1070</v>
      </c>
      <c r="O176" s="10" t="str">
        <f aca="false">IF(COUNTA(B176:N176)=0,"",IF(OR(B176="",C176="",D176="",E176="",G176="",H176="",I176="",J176=""),"ناقص","OK"))</f>
        <v>OK</v>
      </c>
      <c r="P176" s="10" t="str">
        <f aca="false">IF(D176="","",B176&amp;" "&amp;C176&amp;" "&amp;D176&amp;" "&amp;E176&amp;" "&amp;F176&amp;" "&amp;G176)</f>
        <v>فرامل وحدة ABS لمبة ABS وESP منورين مع سلوك غير طبيعي للفرامل وحدة ABS، لمبة ABS، ESP، ثبات لمبة ABS عطل وحدة التحكم أو وصلاتها</v>
      </c>
    </row>
    <row r="177" customFormat="false" ht="35.05" hidden="false" customHeight="false" outlineLevel="0" collapsed="false">
      <c r="A177" s="10" t="s">
        <v>2166</v>
      </c>
      <c r="B177" s="11" t="s">
        <v>2058</v>
      </c>
      <c r="C177" s="11" t="s">
        <v>2167</v>
      </c>
      <c r="D177" s="11" t="s">
        <v>2168</v>
      </c>
      <c r="E177" s="11" t="s">
        <v>2169</v>
      </c>
      <c r="F177" s="11" t="s">
        <v>1075</v>
      </c>
      <c r="G177" s="11" t="s">
        <v>2170</v>
      </c>
      <c r="H177" s="11" t="s">
        <v>2171</v>
      </c>
      <c r="I177" s="11" t="s">
        <v>1096</v>
      </c>
      <c r="J177" s="11" t="s">
        <v>81</v>
      </c>
      <c r="K177" s="12" t="n">
        <v>300</v>
      </c>
      <c r="L177" s="12" t="n">
        <v>1500</v>
      </c>
      <c r="M177" s="11" t="s">
        <v>1069</v>
      </c>
      <c r="N177" s="11" t="s">
        <v>1097</v>
      </c>
      <c r="O177" s="10" t="str">
        <f aca="false">IF(COUNTA(B177:N177)=0,"",IF(OR(B177="",C177="",D177="",E177="",G177="",H177="",I177="",J177=""),"ناقص","OK"))</f>
        <v>OK</v>
      </c>
      <c r="P177" s="10" t="str">
        <f aca="false">IF(D177="","",B177&amp;" "&amp;C177&amp;" "&amp;D177&amp;" "&amp;E177&amp;" "&amp;F177&amp;" "&amp;G177)</f>
        <v>فرامل التيل الجديد الرخيص صرير قوي بعد تركيب تيل جديد رخيص تيل جديد بيزيق، تيل مقلد، صوت بعد التغيير لا توجد لمبة جودة تيل رديئة أو عدم تشحيم نقاط التلامس</v>
      </c>
    </row>
    <row r="178" customFormat="false" ht="35.05" hidden="false" customHeight="false" outlineLevel="0" collapsed="false">
      <c r="A178" s="10" t="s">
        <v>2172</v>
      </c>
      <c r="B178" s="11" t="s">
        <v>2058</v>
      </c>
      <c r="C178" s="11" t="s">
        <v>2173</v>
      </c>
      <c r="D178" s="11" t="s">
        <v>2174</v>
      </c>
      <c r="E178" s="11" t="s">
        <v>2175</v>
      </c>
      <c r="F178" s="11" t="s">
        <v>1075</v>
      </c>
      <c r="G178" s="11" t="s">
        <v>2176</v>
      </c>
      <c r="H178" s="11" t="s">
        <v>2177</v>
      </c>
      <c r="I178" s="11" t="s">
        <v>1117</v>
      </c>
      <c r="J178" s="11" t="s">
        <v>80</v>
      </c>
      <c r="K178" s="12" t="n">
        <v>500</v>
      </c>
      <c r="L178" s="12" t="n">
        <v>3000</v>
      </c>
      <c r="M178" s="11" t="s">
        <v>1069</v>
      </c>
      <c r="N178" s="11" t="s">
        <v>1118</v>
      </c>
      <c r="O178" s="10" t="str">
        <f aca="false">IF(COUNTA(B178:N178)=0,"",IF(OR(B178="",C178="",D178="",E178="",G178="",H178="",I178="",J178=""),"ناقص","OK"))</f>
        <v>OK</v>
      </c>
      <c r="P178" s="10" t="str">
        <f aca="false">IF(D178="","",B178&amp;" "&amp;C178&amp;" "&amp;D178&amp;" "&amp;E178&amp;" "&amp;F178&amp;" "&amp;G178)</f>
        <v>فرامل سخونة الفرامل (فيدينج) فقدان فعالية الفرامل بعد نزول طويل فقدان فرامل، سخونة الفرامل، نزول طويل، فيدينج لا توجد لمبة سخونة زائدة في زيت وتيل الفرامل</v>
      </c>
    </row>
    <row r="179" customFormat="false" ht="35.05" hidden="false" customHeight="false" outlineLevel="0" collapsed="false">
      <c r="A179" s="10" t="s">
        <v>2178</v>
      </c>
      <c r="B179" s="11" t="s">
        <v>2179</v>
      </c>
      <c r="C179" s="11" t="s">
        <v>2180</v>
      </c>
      <c r="D179" s="11" t="s">
        <v>2181</v>
      </c>
      <c r="E179" s="11" t="s">
        <v>2182</v>
      </c>
      <c r="F179" s="11" t="s">
        <v>1075</v>
      </c>
      <c r="G179" s="11" t="s">
        <v>2183</v>
      </c>
      <c r="H179" s="11" t="s">
        <v>2184</v>
      </c>
      <c r="I179" s="11" t="s">
        <v>1067</v>
      </c>
      <c r="J179" s="11" t="s">
        <v>1068</v>
      </c>
      <c r="K179" s="12" t="n">
        <v>600</v>
      </c>
      <c r="L179" s="12" t="n">
        <v>5000</v>
      </c>
      <c r="M179" s="11" t="s">
        <v>1069</v>
      </c>
      <c r="N179" s="11" t="s">
        <v>1070</v>
      </c>
      <c r="O179" s="10" t="str">
        <f aca="false">IF(COUNTA(B179:N179)=0,"",IF(OR(B179="",C179="",D179="",E179="",G179="",H179="",I179="",J179=""),"ناقص","OK"))</f>
        <v>OK</v>
      </c>
      <c r="P179" s="10" t="str">
        <f aca="false">IF(D179="","",B179&amp;" "&amp;C179&amp;" "&amp;D179&amp;" "&amp;E179&amp;" "&amp;F179&amp;" "&amp;G179)</f>
        <v>عفشة وتعليق المساعدين / القصبات صوت خبط من العفشة على المطبات خبط، قصبات، مساعدين، كاوتش مساعد، عفشة، المطبات لا توجد لمبة مساعدين أو قواعد أو قصبات متآكلة</v>
      </c>
    </row>
    <row r="180" customFormat="false" ht="50.7" hidden="false" customHeight="false" outlineLevel="0" collapsed="false">
      <c r="A180" s="10" t="s">
        <v>2185</v>
      </c>
      <c r="B180" s="11" t="s">
        <v>2179</v>
      </c>
      <c r="C180" s="11" t="s">
        <v>2186</v>
      </c>
      <c r="D180" s="11" t="s">
        <v>2187</v>
      </c>
      <c r="E180" s="11" t="s">
        <v>2188</v>
      </c>
      <c r="F180" s="11" t="s">
        <v>1075</v>
      </c>
      <c r="G180" s="11" t="s">
        <v>2189</v>
      </c>
      <c r="H180" s="11" t="s">
        <v>2190</v>
      </c>
      <c r="I180" s="11" t="s">
        <v>1067</v>
      </c>
      <c r="J180" s="11" t="s">
        <v>1068</v>
      </c>
      <c r="K180" s="12" t="n">
        <v>800</v>
      </c>
      <c r="L180" s="12" t="n">
        <v>4000</v>
      </c>
      <c r="M180" s="11" t="s">
        <v>1069</v>
      </c>
      <c r="N180" s="11" t="s">
        <v>1070</v>
      </c>
      <c r="O180" s="10" t="str">
        <f aca="false">IF(COUNTA(B180:N180)=0,"",IF(OR(B180="",C180="",D180="",E180="",G180="",H180="",I180="",J180=""),"ناقص","OK"))</f>
        <v>OK</v>
      </c>
      <c r="P180" s="10" t="str">
        <f aca="false">IF(D180="","",B180&amp;" "&amp;C180&amp;" "&amp;D180&amp;" "&amp;E180&amp;" "&amp;F180&amp;" "&amp;G180)</f>
        <v>عفشة وتعليق مفصل السرعة (CV joint) صوت طقطقة لما ألف الدركسيون صرير، طقطقة عند اللف، مفصل، سوستة، كاوتش المفصل لا توجد لمبة مفصل السرعة (CV joint) تالف أو شنطة المفصل مقطوعة</v>
      </c>
    </row>
    <row r="181" customFormat="false" ht="35.05" hidden="false" customHeight="false" outlineLevel="0" collapsed="false">
      <c r="A181" s="10" t="s">
        <v>2191</v>
      </c>
      <c r="B181" s="11" t="s">
        <v>2179</v>
      </c>
      <c r="C181" s="11" t="s">
        <v>2192</v>
      </c>
      <c r="D181" s="11" t="s">
        <v>2193</v>
      </c>
      <c r="E181" s="11" t="s">
        <v>2194</v>
      </c>
      <c r="F181" s="11" t="s">
        <v>1075</v>
      </c>
      <c r="G181" s="11" t="s">
        <v>2195</v>
      </c>
      <c r="H181" s="11" t="s">
        <v>2196</v>
      </c>
      <c r="I181" s="11" t="s">
        <v>1067</v>
      </c>
      <c r="J181" s="11" t="s">
        <v>1068</v>
      </c>
      <c r="K181" s="12" t="n">
        <v>300</v>
      </c>
      <c r="L181" s="12" t="n">
        <v>6000</v>
      </c>
      <c r="M181" s="11" t="s">
        <v>1069</v>
      </c>
      <c r="N181" s="11" t="s">
        <v>1070</v>
      </c>
      <c r="O181" s="10" t="str">
        <f aca="false">IF(COUNTA(B181:N181)=0,"",IF(OR(B181="",C181="",D181="",E181="",G181="",H181="",I181="",J181=""),"ناقص","OK"))</f>
        <v>OK</v>
      </c>
      <c r="P181" s="10" t="str">
        <f aca="false">IF(D181="","",B181&amp;" "&amp;C181&amp;" "&amp;D181&amp;" "&amp;E181&amp;" "&amp;F181&amp;" "&amp;G181)</f>
        <v>عفشة وتعليق طلمبة باور / زيت الباور الدركسيون تقيل أو في صوت عند اللف دركسيون تقيل، باور، زيت باور، صرير لا توجد لمبة نقص زيت الباور أو ضعف الطلمبة</v>
      </c>
    </row>
    <row r="182" customFormat="false" ht="35.05" hidden="false" customHeight="false" outlineLevel="0" collapsed="false">
      <c r="A182" s="10" t="s">
        <v>2197</v>
      </c>
      <c r="B182" s="11" t="s">
        <v>2179</v>
      </c>
      <c r="C182" s="11" t="s">
        <v>2198</v>
      </c>
      <c r="D182" s="11" t="s">
        <v>2199</v>
      </c>
      <c r="E182" s="11" t="s">
        <v>2200</v>
      </c>
      <c r="F182" s="11" t="s">
        <v>1075</v>
      </c>
      <c r="G182" s="11" t="s">
        <v>2201</v>
      </c>
      <c r="H182" s="11" t="s">
        <v>2202</v>
      </c>
      <c r="I182" s="11" t="s">
        <v>1067</v>
      </c>
      <c r="J182" s="11" t="s">
        <v>1068</v>
      </c>
      <c r="K182" s="12" t="n">
        <v>800</v>
      </c>
      <c r="L182" s="12" t="n">
        <v>3000</v>
      </c>
      <c r="M182" s="11" t="s">
        <v>1069</v>
      </c>
      <c r="N182" s="11" t="s">
        <v>1070</v>
      </c>
      <c r="O182" s="10" t="str">
        <f aca="false">IF(COUNTA(B182:N182)=0,"",IF(OR(B182="",C182="",D182="",E182="",G182="",H182="",I182="",J182=""),"ناقص","OK"))</f>
        <v>OK</v>
      </c>
      <c r="P182" s="10" t="str">
        <f aca="false">IF(D182="","",B182&amp;" "&amp;C182&amp;" "&amp;D182&amp;" "&amp;E182&amp;" "&amp;F182&amp;" "&amp;G182)</f>
        <v>عفشة وتعليق قواعد المساعدين خبطة من الأمام عند المطبات مع صوت مطاط قواعد المساعدين، خبطة مقدمة، قاعدة لا توجد لمبة تآكل قواعد أو رولمان المساعد الأمامي</v>
      </c>
    </row>
    <row r="183" customFormat="false" ht="35.05" hidden="false" customHeight="false" outlineLevel="0" collapsed="false">
      <c r="A183" s="10" t="s">
        <v>2203</v>
      </c>
      <c r="B183" s="11" t="s">
        <v>2179</v>
      </c>
      <c r="C183" s="11" t="s">
        <v>2204</v>
      </c>
      <c r="D183" s="11" t="s">
        <v>2205</v>
      </c>
      <c r="E183" s="11" t="s">
        <v>2206</v>
      </c>
      <c r="F183" s="11" t="s">
        <v>1075</v>
      </c>
      <c r="G183" s="11" t="s">
        <v>2207</v>
      </c>
      <c r="H183" s="11" t="s">
        <v>2208</v>
      </c>
      <c r="I183" s="11" t="s">
        <v>1067</v>
      </c>
      <c r="J183" s="11" t="s">
        <v>1068</v>
      </c>
      <c r="K183" s="12" t="n">
        <v>1500</v>
      </c>
      <c r="L183" s="12" t="n">
        <v>6000</v>
      </c>
      <c r="M183" s="11" t="s">
        <v>1069</v>
      </c>
      <c r="N183" s="11" t="s">
        <v>1070</v>
      </c>
      <c r="O183" s="10" t="str">
        <f aca="false">IF(COUNTA(B183:N183)=0,"",IF(OR(B183="",C183="",D183="",E183="",G183="",H183="",I183="",J183=""),"ناقص","OK"))</f>
        <v>OK</v>
      </c>
      <c r="P183" s="10" t="str">
        <f aca="false">IF(D183="","",B183&amp;" "&amp;C183&amp;" "&amp;D183&amp;" "&amp;E183&amp;" "&amp;F183&amp;" "&amp;G183)</f>
        <v>عفشة وتعليق المساعدين الخلفيين ارتداد زائد للعربية بعد المطبات (تتنطط) ارتداد، تتنطط، مساعد، تهتز بعد المطب لا توجد لمبة ضعف المساعدين أو تسريب زيت منهم</v>
      </c>
    </row>
    <row r="184" customFormat="false" ht="23.85" hidden="false" customHeight="false" outlineLevel="0" collapsed="false">
      <c r="A184" s="10" t="s">
        <v>2209</v>
      </c>
      <c r="B184" s="11" t="s">
        <v>2179</v>
      </c>
      <c r="C184" s="11" t="s">
        <v>2210</v>
      </c>
      <c r="D184" s="11" t="s">
        <v>2211</v>
      </c>
      <c r="E184" s="11" t="s">
        <v>2212</v>
      </c>
      <c r="F184" s="11" t="s">
        <v>1075</v>
      </c>
      <c r="G184" s="11" t="s">
        <v>2213</v>
      </c>
      <c r="H184" s="11" t="s">
        <v>2214</v>
      </c>
      <c r="I184" s="11" t="s">
        <v>1067</v>
      </c>
      <c r="J184" s="11" t="s">
        <v>1068</v>
      </c>
      <c r="K184" s="12" t="n">
        <v>1200</v>
      </c>
      <c r="L184" s="12" t="n">
        <v>4000</v>
      </c>
      <c r="M184" s="11" t="s">
        <v>1069</v>
      </c>
      <c r="N184" s="11" t="s">
        <v>1070</v>
      </c>
      <c r="O184" s="10" t="str">
        <f aca="false">IF(COUNTA(B184:N184)=0,"",IF(OR(B184="",C184="",D184="",E184="",G184="",H184="",I184="",J184=""),"ناقص","OK"))</f>
        <v>OK</v>
      </c>
      <c r="P184" s="10" t="str">
        <f aca="false">IF(D184="","",B184&amp;" "&amp;C184&amp;" "&amp;D184&amp;" "&amp;E184&amp;" "&amp;F184&amp;" "&amp;G184)</f>
        <v>عفشة وتعليق ياي التعليق العربية مايلة من ناحية والياي مكسور ياي مكسور، العربية مايلة، ناحية أوطى لا توجد لمبة كسر في ياي التعليق</v>
      </c>
    </row>
    <row r="185" customFormat="false" ht="37.3" hidden="false" customHeight="false" outlineLevel="0" collapsed="false">
      <c r="A185" s="10" t="s">
        <v>2215</v>
      </c>
      <c r="B185" s="11" t="s">
        <v>2179</v>
      </c>
      <c r="C185" s="11" t="s">
        <v>2216</v>
      </c>
      <c r="D185" s="11" t="s">
        <v>2217</v>
      </c>
      <c r="E185" s="11" t="s">
        <v>2218</v>
      </c>
      <c r="F185" s="11" t="s">
        <v>1075</v>
      </c>
      <c r="G185" s="11" t="s">
        <v>2219</v>
      </c>
      <c r="H185" s="11" t="s">
        <v>2220</v>
      </c>
      <c r="I185" s="11" t="s">
        <v>1117</v>
      </c>
      <c r="J185" s="11" t="s">
        <v>1068</v>
      </c>
      <c r="K185" s="12" t="n">
        <v>600</v>
      </c>
      <c r="L185" s="12" t="n">
        <v>3000</v>
      </c>
      <c r="M185" s="11" t="s">
        <v>1069</v>
      </c>
      <c r="N185" s="11" t="s">
        <v>1118</v>
      </c>
      <c r="O185" s="10" t="str">
        <f aca="false">IF(COUNTA(B185:N185)=0,"",IF(OR(B185="",C185="",D185="",E185="",G185="",H185="",I185="",J185=""),"ناقص","OK"))</f>
        <v>OK</v>
      </c>
      <c r="P185" s="10" t="str">
        <f aca="false">IF(D185="","",B185&amp;" "&amp;C185&amp;" "&amp;D185&amp;" "&amp;E185&amp;" "&amp;F185&amp;" "&amp;G185)</f>
        <v>عفشة وتعليق البلية (Ball joint) طقطقة من العجلة عند التحويلة وبعد المطبات بلية، رولمان بلية، طقطقة العجلة، ركن لا توجد لمبة تآكل البلية السفلية</v>
      </c>
    </row>
    <row r="186" customFormat="false" ht="35.05" hidden="false" customHeight="false" outlineLevel="0" collapsed="false">
      <c r="A186" s="10" t="s">
        <v>2221</v>
      </c>
      <c r="B186" s="11" t="s">
        <v>2179</v>
      </c>
      <c r="C186" s="11" t="s">
        <v>2222</v>
      </c>
      <c r="D186" s="11" t="s">
        <v>2223</v>
      </c>
      <c r="E186" s="11" t="s">
        <v>2224</v>
      </c>
      <c r="F186" s="11" t="s">
        <v>1075</v>
      </c>
      <c r="G186" s="11" t="s">
        <v>2225</v>
      </c>
      <c r="H186" s="11" t="s">
        <v>2226</v>
      </c>
      <c r="I186" s="11" t="s">
        <v>1067</v>
      </c>
      <c r="J186" s="11" t="s">
        <v>1068</v>
      </c>
      <c r="K186" s="12" t="n">
        <v>600</v>
      </c>
      <c r="L186" s="12" t="n">
        <v>4000</v>
      </c>
      <c r="M186" s="11" t="s">
        <v>1069</v>
      </c>
      <c r="N186" s="11" t="s">
        <v>1070</v>
      </c>
      <c r="O186" s="10" t="str">
        <f aca="false">IF(COUNTA(B186:N186)=0,"",IF(OR(B186="",C186="",D186="",E186="",G186="",H186="",I186="",J186=""),"ناقص","OK"))</f>
        <v>OK</v>
      </c>
      <c r="P186" s="10" t="str">
        <f aca="false">IF(D186="","",B186&amp;" "&amp;C186&amp;" "&amp;D186&amp;" "&amp;E186&amp;" "&amp;F186&amp;" "&amp;G186)</f>
        <v>عفشة وتعليق المقص (ذراع التحكم) خبط متكرر مع اهتزاز الدركسيون وسحب لجنب مقص، ذراع التحكم، اهتزاز، سحب لا توجد لمبة بطانات المقص تالفة أو الذراع مثني</v>
      </c>
    </row>
    <row r="187" customFormat="false" ht="35.05" hidden="false" customHeight="false" outlineLevel="0" collapsed="false">
      <c r="A187" s="10" t="s">
        <v>2227</v>
      </c>
      <c r="B187" s="11" t="s">
        <v>2179</v>
      </c>
      <c r="C187" s="11" t="s">
        <v>2228</v>
      </c>
      <c r="D187" s="11" t="s">
        <v>2229</v>
      </c>
      <c r="E187" s="11" t="s">
        <v>2230</v>
      </c>
      <c r="F187" s="11" t="s">
        <v>1075</v>
      </c>
      <c r="G187" s="11" t="s">
        <v>2231</v>
      </c>
      <c r="H187" s="11" t="s">
        <v>2232</v>
      </c>
      <c r="I187" s="11" t="s">
        <v>1117</v>
      </c>
      <c r="J187" s="11" t="s">
        <v>1068</v>
      </c>
      <c r="K187" s="12" t="n">
        <v>400</v>
      </c>
      <c r="L187" s="12" t="n">
        <v>2500</v>
      </c>
      <c r="M187" s="11" t="s">
        <v>1069</v>
      </c>
      <c r="N187" s="11" t="s">
        <v>1118</v>
      </c>
      <c r="O187" s="10" t="str">
        <f aca="false">IF(COUNTA(B187:N187)=0,"",IF(OR(B187="",C187="",D187="",E187="",G187="",H187="",I187="",J187=""),"ناقص","OK"))</f>
        <v>OK</v>
      </c>
      <c r="P187" s="10" t="str">
        <f aca="false">IF(D187="","",B187&amp;" "&amp;C187&amp;" "&amp;D187&amp;" "&amp;E187&amp;" "&amp;F187&amp;" "&amp;G187)</f>
        <v>عفشة وتعليق قصبة الدركسيون فُسحة كبيرة في الدركسيون وصوت تكتكة قصبة الدركسيون، فسحة، تكتكة الدركسيون لا توجد لمبة تآكل رأس القصبة</v>
      </c>
    </row>
    <row r="188" customFormat="false" ht="35.05" hidden="false" customHeight="false" outlineLevel="0" collapsed="false">
      <c r="A188" s="10" t="s">
        <v>2233</v>
      </c>
      <c r="B188" s="11" t="s">
        <v>2179</v>
      </c>
      <c r="C188" s="11" t="s">
        <v>2234</v>
      </c>
      <c r="D188" s="11" t="s">
        <v>2235</v>
      </c>
      <c r="E188" s="11" t="s">
        <v>2236</v>
      </c>
      <c r="F188" s="11" t="s">
        <v>1075</v>
      </c>
      <c r="G188" s="11" t="s">
        <v>2237</v>
      </c>
      <c r="H188" s="11" t="s">
        <v>2238</v>
      </c>
      <c r="I188" s="11" t="s">
        <v>1067</v>
      </c>
      <c r="J188" s="11" t="s">
        <v>1068</v>
      </c>
      <c r="K188" s="12" t="n">
        <v>3000</v>
      </c>
      <c r="L188" s="12" t="n">
        <v>12000</v>
      </c>
      <c r="M188" s="11" t="s">
        <v>1069</v>
      </c>
      <c r="N188" s="11" t="s">
        <v>1070</v>
      </c>
      <c r="O188" s="10" t="str">
        <f aca="false">IF(COUNTA(B188:N188)=0,"",IF(OR(B188="",C188="",D188="",E188="",G188="",H188="",I188="",J188=""),"ناقص","OK"))</f>
        <v>OK</v>
      </c>
      <c r="P188" s="10" t="str">
        <f aca="false">IF(D188="","",B188&amp;" "&amp;C188&amp;" "&amp;D188&amp;" "&amp;E188&amp;" "&amp;F188&amp;" "&amp;G188)</f>
        <v>عفشة وتعليق جريدة الدركسيون تسريب زيت من الجريدة وفسحة في المقود جريدة الدركسيون، تسريب، فسحة، لقلقة لا توجد لمبة تلف جلد الجريدة</v>
      </c>
    </row>
    <row r="189" customFormat="false" ht="35.05" hidden="false" customHeight="false" outlineLevel="0" collapsed="false">
      <c r="A189" s="10" t="s">
        <v>2239</v>
      </c>
      <c r="B189" s="11" t="s">
        <v>2179</v>
      </c>
      <c r="C189" s="11" t="s">
        <v>2240</v>
      </c>
      <c r="D189" s="11" t="s">
        <v>2241</v>
      </c>
      <c r="E189" s="11" t="s">
        <v>2242</v>
      </c>
      <c r="F189" s="11" t="s">
        <v>2243</v>
      </c>
      <c r="G189" s="11" t="s">
        <v>2244</v>
      </c>
      <c r="H189" s="11" t="s">
        <v>2245</v>
      </c>
      <c r="I189" s="11" t="s">
        <v>1067</v>
      </c>
      <c r="J189" s="11" t="s">
        <v>1068</v>
      </c>
      <c r="K189" s="12" t="n">
        <v>3000</v>
      </c>
      <c r="L189" s="12" t="n">
        <v>15000</v>
      </c>
      <c r="M189" s="11" t="s">
        <v>2246</v>
      </c>
      <c r="N189" s="11" t="s">
        <v>1070</v>
      </c>
      <c r="O189" s="10" t="str">
        <f aca="false">IF(COUNTA(B189:N189)=0,"",IF(OR(B189="",C189="",D189="",E189="",G189="",H189="",I189="",J189=""),"ناقص","OK"))</f>
        <v>OK</v>
      </c>
      <c r="P189" s="10" t="str">
        <f aca="false">IF(D189="","",B189&amp;" "&amp;C189&amp;" "&amp;D189&amp;" "&amp;E189&amp;" "&amp;F189&amp;" "&amp;G189)</f>
        <v>عفشة وتعليق الدركسيون الكهربائي لمبة الدركسيون منورة والدركسيون تقيل فجأة دركسيون كهربائي، تقيل، لمبة الدركسيون لمبة الدركسيون عطل موتور أو حساس عزم الدركسيون</v>
      </c>
    </row>
    <row r="190" customFormat="false" ht="35.05" hidden="false" customHeight="false" outlineLevel="0" collapsed="false">
      <c r="A190" s="10" t="s">
        <v>2247</v>
      </c>
      <c r="B190" s="11" t="s">
        <v>2179</v>
      </c>
      <c r="C190" s="11" t="s">
        <v>2248</v>
      </c>
      <c r="D190" s="11" t="s">
        <v>2249</v>
      </c>
      <c r="E190" s="11" t="s">
        <v>2250</v>
      </c>
      <c r="F190" s="11" t="s">
        <v>1075</v>
      </c>
      <c r="G190" s="11" t="s">
        <v>2251</v>
      </c>
      <c r="H190" s="11" t="s">
        <v>2252</v>
      </c>
      <c r="I190" s="11" t="s">
        <v>1096</v>
      </c>
      <c r="J190" s="11" t="s">
        <v>81</v>
      </c>
      <c r="K190" s="12" t="n">
        <v>200</v>
      </c>
      <c r="L190" s="12" t="n">
        <v>1200</v>
      </c>
      <c r="M190" s="11" t="s">
        <v>1069</v>
      </c>
      <c r="N190" s="11" t="s">
        <v>1097</v>
      </c>
      <c r="O190" s="10" t="str">
        <f aca="false">IF(COUNTA(B190:N190)=0,"",IF(OR(B190="",C190="",D190="",E190="",G190="",H190="",I190="",J190=""),"ناقص","OK"))</f>
        <v>OK</v>
      </c>
      <c r="P190" s="10" t="str">
        <f aca="false">IF(D190="","",B190&amp;" "&amp;C190&amp;" "&amp;D190&amp;" "&amp;E190&amp;" "&amp;F190&amp;" "&amp;G190)</f>
        <v>عفشة وتعليق وصلات ميزان الاتزان طقطقة خفيفة عند اللف على المطبات وصلة الميزان، استابلايزر، طقطقة خفيفة، مطبات لا توجد لمبة تآكل وصلات ميزان الاتزان</v>
      </c>
    </row>
    <row r="191" customFormat="false" ht="35.05" hidden="false" customHeight="false" outlineLevel="0" collapsed="false">
      <c r="A191" s="10" t="s">
        <v>2253</v>
      </c>
      <c r="B191" s="11" t="s">
        <v>2179</v>
      </c>
      <c r="C191" s="11" t="s">
        <v>2254</v>
      </c>
      <c r="D191" s="11" t="s">
        <v>2255</v>
      </c>
      <c r="E191" s="11" t="s">
        <v>2256</v>
      </c>
      <c r="F191" s="11" t="s">
        <v>1075</v>
      </c>
      <c r="G191" s="11" t="s">
        <v>2257</v>
      </c>
      <c r="H191" s="11" t="s">
        <v>2258</v>
      </c>
      <c r="I191" s="11" t="s">
        <v>1096</v>
      </c>
      <c r="J191" s="11" t="s">
        <v>81</v>
      </c>
      <c r="K191" s="12" t="n">
        <v>150</v>
      </c>
      <c r="L191" s="12" t="n">
        <v>800</v>
      </c>
      <c r="M191" s="11" t="s">
        <v>1069</v>
      </c>
      <c r="N191" s="11" t="s">
        <v>1097</v>
      </c>
      <c r="O191" s="10" t="str">
        <f aca="false">IF(COUNTA(B191:N191)=0,"",IF(OR(B191="",C191="",D191="",E191="",G191="",H191="",I191="",J191=""),"ناقص","OK"))</f>
        <v>OK</v>
      </c>
      <c r="P191" s="10" t="str">
        <f aca="false">IF(D191="","",B191&amp;" "&amp;C191&amp;" "&amp;D191&amp;" "&amp;E191&amp;" "&amp;F191&amp;" "&amp;G191)</f>
        <v>عفشة وتعليق بطانات الميزان صوت صرير من الجنب في المطبات بطانات الميزان، صرير، استابلايزر لا توجد لمبة جفاف أو تلف بطانات الميزان</v>
      </c>
    </row>
    <row r="192" customFormat="false" ht="35.05" hidden="false" customHeight="false" outlineLevel="0" collapsed="false">
      <c r="A192" s="10" t="s">
        <v>2259</v>
      </c>
      <c r="B192" s="11" t="s">
        <v>2179</v>
      </c>
      <c r="C192" s="11" t="s">
        <v>2260</v>
      </c>
      <c r="D192" s="11" t="s">
        <v>2261</v>
      </c>
      <c r="E192" s="11" t="s">
        <v>2262</v>
      </c>
      <c r="F192" s="11" t="s">
        <v>1075</v>
      </c>
      <c r="G192" s="11" t="s">
        <v>2263</v>
      </c>
      <c r="H192" s="11" t="s">
        <v>2264</v>
      </c>
      <c r="I192" s="11" t="s">
        <v>1117</v>
      </c>
      <c r="J192" s="11" t="s">
        <v>1068</v>
      </c>
      <c r="K192" s="12" t="n">
        <v>600</v>
      </c>
      <c r="L192" s="12" t="n">
        <v>3000</v>
      </c>
      <c r="M192" s="11" t="s">
        <v>1069</v>
      </c>
      <c r="N192" s="11" t="s">
        <v>1118</v>
      </c>
      <c r="O192" s="10" t="str">
        <f aca="false">IF(COUNTA(B192:N192)=0,"",IF(OR(B192="",C192="",D192="",E192="",G192="",H192="",I192="",J192=""),"ناقص","OK"))</f>
        <v>OK</v>
      </c>
      <c r="P192" s="10" t="str">
        <f aca="false">IF(D192="","",B192&amp;" "&amp;C192&amp;" "&amp;D192&amp;" "&amp;E192&amp;" "&amp;F192&amp;" "&amp;G192)</f>
        <v>عفشة وتعليق رولمان العجلة همهمة تزيد مع السرعة وتتغير عند اللف رولمان العجلة، همهمة، زنة، صوت من العجل لا توجد لمبة تآكل رولمان العجلة</v>
      </c>
    </row>
    <row r="193" customFormat="false" ht="35.05" hidden="false" customHeight="false" outlineLevel="0" collapsed="false">
      <c r="A193" s="10" t="s">
        <v>2265</v>
      </c>
      <c r="B193" s="11" t="s">
        <v>2179</v>
      </c>
      <c r="C193" s="11" t="s">
        <v>2266</v>
      </c>
      <c r="D193" s="11" t="s">
        <v>2267</v>
      </c>
      <c r="E193" s="11" t="s">
        <v>2268</v>
      </c>
      <c r="F193" s="11" t="s">
        <v>1075</v>
      </c>
      <c r="G193" s="11" t="s">
        <v>2269</v>
      </c>
      <c r="H193" s="11" t="s">
        <v>2258</v>
      </c>
      <c r="I193" s="11" t="s">
        <v>1067</v>
      </c>
      <c r="J193" s="11" t="s">
        <v>1068</v>
      </c>
      <c r="K193" s="12" t="n">
        <v>600</v>
      </c>
      <c r="L193" s="12" t="n">
        <v>3000</v>
      </c>
      <c r="M193" s="11" t="s">
        <v>1069</v>
      </c>
      <c r="N193" s="11" t="s">
        <v>1070</v>
      </c>
      <c r="O193" s="10" t="str">
        <f aca="false">IF(COUNTA(B193:N193)=0,"",IF(OR(B193="",C193="",D193="",E193="",G193="",H193="",I193="",J193=""),"ناقص","OK"))</f>
        <v>OK</v>
      </c>
      <c r="P193" s="10" t="str">
        <f aca="false">IF(D193="","",B193&amp;" "&amp;C193&amp;" "&amp;D193&amp;" "&amp;E193&amp;" "&amp;F193&amp;" "&amp;G193)</f>
        <v>عفشة وتعليق التعليق الخلفي العربية بتتمايل من الخلف على الطريق المقص الخلفي، تمايل، خلف العربية لا توجد لمبة تآكل بطانات التعليق الخلفي</v>
      </c>
    </row>
    <row r="194" customFormat="false" ht="23.85" hidden="false" customHeight="false" outlineLevel="0" collapsed="false">
      <c r="A194" s="10" t="s">
        <v>2270</v>
      </c>
      <c r="B194" s="11" t="s">
        <v>2179</v>
      </c>
      <c r="C194" s="11" t="s">
        <v>2271</v>
      </c>
      <c r="D194" s="11" t="s">
        <v>2272</v>
      </c>
      <c r="E194" s="11" t="s">
        <v>2273</v>
      </c>
      <c r="F194" s="11" t="s">
        <v>1075</v>
      </c>
      <c r="G194" s="11" t="s">
        <v>2274</v>
      </c>
      <c r="H194" s="11" t="s">
        <v>2275</v>
      </c>
      <c r="I194" s="11" t="s">
        <v>1067</v>
      </c>
      <c r="J194" s="11" t="s">
        <v>1068</v>
      </c>
      <c r="K194" s="12" t="n">
        <v>500</v>
      </c>
      <c r="L194" s="12" t="n">
        <v>2500</v>
      </c>
      <c r="M194" s="11" t="s">
        <v>1069</v>
      </c>
      <c r="N194" s="11" t="s">
        <v>1070</v>
      </c>
      <c r="O194" s="10" t="str">
        <f aca="false">IF(COUNTA(B194:N194)=0,"",IF(OR(B194="",C194="",D194="",E194="",G194="",H194="",I194="",J194=""),"ناقص","OK"))</f>
        <v>OK</v>
      </c>
      <c r="P194" s="10" t="str">
        <f aca="false">IF(D194="","",B194&amp;" "&amp;C194&amp;" "&amp;D194&amp;" "&amp;E194&amp;" "&amp;F194&amp;" "&amp;G194)</f>
        <v>عفشة وتعليق قاعدة المحرك الأمامية اهتزاز عند الضغط على الفرامل والتسارع دوغ بون، قاعدة، اهتزاز مع الفرامل لا توجد لمبة تلف القاعدة</v>
      </c>
    </row>
    <row r="195" customFormat="false" ht="35.05" hidden="false" customHeight="false" outlineLevel="0" collapsed="false">
      <c r="A195" s="10" t="s">
        <v>2276</v>
      </c>
      <c r="B195" s="11" t="s">
        <v>2179</v>
      </c>
      <c r="C195" s="11" t="s">
        <v>2277</v>
      </c>
      <c r="D195" s="11" t="s">
        <v>2278</v>
      </c>
      <c r="E195" s="11" t="s">
        <v>2279</v>
      </c>
      <c r="F195" s="11" t="s">
        <v>1075</v>
      </c>
      <c r="G195" s="11" t="s">
        <v>2280</v>
      </c>
      <c r="H195" s="11" t="s">
        <v>2264</v>
      </c>
      <c r="I195" s="11" t="s">
        <v>1067</v>
      </c>
      <c r="J195" s="11" t="s">
        <v>1068</v>
      </c>
      <c r="K195" s="12" t="n">
        <v>400</v>
      </c>
      <c r="L195" s="12" t="n">
        <v>1800</v>
      </c>
      <c r="M195" s="11" t="s">
        <v>1069</v>
      </c>
      <c r="N195" s="11" t="s">
        <v>1070</v>
      </c>
      <c r="O195" s="10" t="str">
        <f aca="false">IF(COUNTA(B195:N195)=0,"",IF(OR(B195="",C195="",D195="",E195="",G195="",H195="",I195="",J195=""),"ناقص","OK"))</f>
        <v>OK</v>
      </c>
      <c r="P195" s="10" t="str">
        <f aca="false">IF(D195="","",B195&amp;" "&amp;C195&amp;" "&amp;D195&amp;" "&amp;E195&amp;" "&amp;F195&amp;" "&amp;G195)</f>
        <v>عفشة وتعليق قاعدة المساعد العلوية صوت خبط فوق العجلة عند لف الدركسيون للآخر رولمان القاعدة، دق عند اللف، قاعدة المساعد العلوية لا توجد لمبة تلف رولمان القاعدة العلوية</v>
      </c>
    </row>
    <row r="196" customFormat="false" ht="35.05" hidden="false" customHeight="false" outlineLevel="0" collapsed="false">
      <c r="A196" s="10" t="s">
        <v>2281</v>
      </c>
      <c r="B196" s="11" t="s">
        <v>2179</v>
      </c>
      <c r="C196" s="11" t="s">
        <v>2282</v>
      </c>
      <c r="D196" s="11" t="s">
        <v>2283</v>
      </c>
      <c r="E196" s="11" t="s">
        <v>2284</v>
      </c>
      <c r="F196" s="11" t="s">
        <v>1075</v>
      </c>
      <c r="G196" s="11" t="s">
        <v>2285</v>
      </c>
      <c r="H196" s="11" t="s">
        <v>2286</v>
      </c>
      <c r="I196" s="11" t="s">
        <v>1096</v>
      </c>
      <c r="J196" s="11" t="s">
        <v>81</v>
      </c>
      <c r="K196" s="12" t="n">
        <v>100</v>
      </c>
      <c r="L196" s="12" t="n">
        <v>800</v>
      </c>
      <c r="M196" s="11" t="s">
        <v>1069</v>
      </c>
      <c r="N196" s="11" t="s">
        <v>1097</v>
      </c>
      <c r="O196" s="10" t="str">
        <f aca="false">IF(COUNTA(B196:N196)=0,"",IF(OR(B196="",C196="",D196="",E196="",G196="",H196="",I196="",J196=""),"ناقص","OK"))</f>
        <v>OK</v>
      </c>
      <c r="P196" s="10" t="str">
        <f aca="false">IF(D196="","",B196&amp;" "&amp;C196&amp;" "&amp;D196&amp;" "&amp;E196&amp;" "&amp;F196&amp;" "&amp;G196)</f>
        <v>عفشة وتعليق الجلدة المطاطية صوت زيزة في العفشة بعد غسيل العربية زيزة، جلدة، شنطة المقص، تجفيف لا توجد لمبة جفاف البطانات المطاطية</v>
      </c>
    </row>
    <row r="197" customFormat="false" ht="35.05" hidden="false" customHeight="false" outlineLevel="0" collapsed="false">
      <c r="A197" s="10" t="s">
        <v>2287</v>
      </c>
      <c r="B197" s="11" t="s">
        <v>2179</v>
      </c>
      <c r="C197" s="11" t="s">
        <v>2288</v>
      </c>
      <c r="D197" s="11" t="s">
        <v>2289</v>
      </c>
      <c r="E197" s="11" t="s">
        <v>2290</v>
      </c>
      <c r="F197" s="11" t="s">
        <v>2291</v>
      </c>
      <c r="G197" s="11" t="s">
        <v>2292</v>
      </c>
      <c r="H197" s="11" t="s">
        <v>2293</v>
      </c>
      <c r="I197" s="11" t="s">
        <v>1067</v>
      </c>
      <c r="J197" s="11" t="s">
        <v>1068</v>
      </c>
      <c r="K197" s="12" t="n">
        <v>5000</v>
      </c>
      <c r="L197" s="12" t="n">
        <v>40000</v>
      </c>
      <c r="M197" s="11" t="s">
        <v>2294</v>
      </c>
      <c r="N197" s="11" t="s">
        <v>1070</v>
      </c>
      <c r="O197" s="10" t="str">
        <f aca="false">IF(COUNTA(B197:N197)=0,"",IF(OR(B197="",C197="",D197="",E197="",G197="",H197="",I197="",J197=""),"ناقص","OK"))</f>
        <v>OK</v>
      </c>
      <c r="P197" s="10" t="str">
        <f aca="false">IF(D197="","",B197&amp;" "&amp;C197&amp;" "&amp;D197&amp;" "&amp;E197&amp;" "&amp;F197&amp;" "&amp;G197)</f>
        <v>عفشة وتعليق التعليق الهوائي العربية بتنزل على الأرض بعد الوقوف الطويل تعليق هوائي، العربية بتنزل، مضخة الهواء لمبة التعليق تسريب في المخدات الهوائية</v>
      </c>
    </row>
    <row r="198" customFormat="false" ht="23.85" hidden="false" customHeight="false" outlineLevel="0" collapsed="false">
      <c r="A198" s="10" t="s">
        <v>2295</v>
      </c>
      <c r="B198" s="11" t="s">
        <v>2179</v>
      </c>
      <c r="C198" s="11" t="s">
        <v>2296</v>
      </c>
      <c r="D198" s="11" t="s">
        <v>2297</v>
      </c>
      <c r="E198" s="11" t="s">
        <v>2298</v>
      </c>
      <c r="F198" s="11" t="s">
        <v>1075</v>
      </c>
      <c r="G198" s="11" t="s">
        <v>2299</v>
      </c>
      <c r="H198" s="11" t="s">
        <v>2300</v>
      </c>
      <c r="I198" s="11" t="s">
        <v>1067</v>
      </c>
      <c r="J198" s="11" t="s">
        <v>1068</v>
      </c>
      <c r="K198" s="12" t="n">
        <v>700</v>
      </c>
      <c r="L198" s="12" t="n">
        <v>4000</v>
      </c>
      <c r="M198" s="11" t="s">
        <v>2301</v>
      </c>
      <c r="N198" s="11" t="s">
        <v>1070</v>
      </c>
      <c r="O198" s="10" t="str">
        <f aca="false">IF(COUNTA(B198:N198)=0,"",IF(OR(B198="",C198="",D198="",E198="",G198="",H198="",I198="",J198=""),"ناقص","OK"))</f>
        <v>OK</v>
      </c>
      <c r="P198" s="10" t="str">
        <f aca="false">IF(D198="","",B198&amp;" "&amp;C198&amp;" "&amp;D198&amp;" "&amp;E198&amp;" "&amp;F198&amp;" "&amp;G198)</f>
        <v>عفشة وتعليق عمود الكردان اهتزاز من تحت العربية عند السرعة عمود الكردان، اهتزاز، رباعي، الصليبة لا توجد لمبة تآكل صليبة الكردان</v>
      </c>
    </row>
    <row r="199" customFormat="false" ht="35.05" hidden="false" customHeight="false" outlineLevel="0" collapsed="false">
      <c r="A199" s="10" t="s">
        <v>2302</v>
      </c>
      <c r="B199" s="11" t="s">
        <v>2179</v>
      </c>
      <c r="C199" s="11" t="s">
        <v>2303</v>
      </c>
      <c r="D199" s="11" t="s">
        <v>2304</v>
      </c>
      <c r="E199" s="11" t="s">
        <v>2305</v>
      </c>
      <c r="F199" s="11" t="s">
        <v>1075</v>
      </c>
      <c r="G199" s="11" t="s">
        <v>2306</v>
      </c>
      <c r="H199" s="11" t="s">
        <v>2307</v>
      </c>
      <c r="I199" s="11" t="s">
        <v>1067</v>
      </c>
      <c r="J199" s="11" t="s">
        <v>1068</v>
      </c>
      <c r="K199" s="12" t="n">
        <v>800</v>
      </c>
      <c r="L199" s="12" t="n">
        <v>3500</v>
      </c>
      <c r="M199" s="11" t="s">
        <v>1069</v>
      </c>
      <c r="N199" s="11" t="s">
        <v>1070</v>
      </c>
      <c r="O199" s="10" t="str">
        <f aca="false">IF(COUNTA(B199:N199)=0,"",IF(OR(B199="",C199="",D199="",E199="",G199="",H199="",I199="",J199=""),"ناقص","OK"))</f>
        <v>OK</v>
      </c>
      <c r="P199" s="10" t="str">
        <f aca="false">IF(D199="","",B199&amp;" "&amp;C199&amp;" "&amp;D199&amp;" "&amp;E199&amp;" "&amp;F199&amp;" "&amp;G199)</f>
        <v>عفشة وتعليق المفصل الداخلي للسرعة طقطقة عند الانطلاق من الأمام طقطقة عند الانطلاق، المفصل الداخلي، الكاردان لا توجد لمبة تآكل مفصل السرعة الداخلي</v>
      </c>
    </row>
    <row r="200" customFormat="false" ht="37.3" hidden="false" customHeight="false" outlineLevel="0" collapsed="false">
      <c r="A200" s="10" t="s">
        <v>2308</v>
      </c>
      <c r="B200" s="11" t="s">
        <v>2179</v>
      </c>
      <c r="C200" s="11" t="s">
        <v>2309</v>
      </c>
      <c r="D200" s="11" t="s">
        <v>2310</v>
      </c>
      <c r="E200" s="11" t="s">
        <v>2311</v>
      </c>
      <c r="F200" s="11" t="s">
        <v>1075</v>
      </c>
      <c r="G200" s="11" t="s">
        <v>2312</v>
      </c>
      <c r="H200" s="11" t="s">
        <v>2313</v>
      </c>
      <c r="I200" s="11" t="s">
        <v>1096</v>
      </c>
      <c r="J200" s="11" t="s">
        <v>81</v>
      </c>
      <c r="K200" s="12" t="n">
        <v>150</v>
      </c>
      <c r="L200" s="12" t="n">
        <v>800</v>
      </c>
      <c r="M200" s="11" t="s">
        <v>1069</v>
      </c>
      <c r="N200" s="11" t="s">
        <v>1097</v>
      </c>
      <c r="O200" s="10" t="str">
        <f aca="false">IF(COUNTA(B200:N200)=0,"",IF(OR(B200="",C200="",D200="",E200="",G200="",H200="",I200="",J200=""),"ناقص","OK"))</f>
        <v>OK</v>
      </c>
      <c r="P200" s="10" t="str">
        <f aca="false">IF(D200="","",B200&amp;" "&amp;C200&amp;" "&amp;D200&amp;" "&amp;E200&amp;" "&amp;F200&amp;" "&amp;G200)</f>
        <v>عفشة وتعليق مطاط التصادم (Bump stop) خبط شديد على الحفر رغم المساعدين الجدد خبط، حفر، باف ستوب، مطاط التعليق لا توجد لمبة تلف مطاط التصادم</v>
      </c>
    </row>
    <row r="201" customFormat="false" ht="23.85" hidden="false" customHeight="false" outlineLevel="0" collapsed="false">
      <c r="A201" s="10" t="s">
        <v>2314</v>
      </c>
      <c r="B201" s="11" t="s">
        <v>2179</v>
      </c>
      <c r="C201" s="11" t="s">
        <v>2315</v>
      </c>
      <c r="D201" s="11" t="s">
        <v>2316</v>
      </c>
      <c r="E201" s="11" t="s">
        <v>2317</v>
      </c>
      <c r="F201" s="11" t="s">
        <v>1075</v>
      </c>
      <c r="G201" s="11" t="s">
        <v>2318</v>
      </c>
      <c r="H201" s="11" t="s">
        <v>2319</v>
      </c>
      <c r="I201" s="11" t="s">
        <v>1067</v>
      </c>
      <c r="J201" s="11" t="s">
        <v>1068</v>
      </c>
      <c r="K201" s="12" t="n">
        <v>300</v>
      </c>
      <c r="L201" s="12" t="n">
        <v>4000</v>
      </c>
      <c r="M201" s="11" t="s">
        <v>1069</v>
      </c>
      <c r="N201" s="11" t="s">
        <v>1070</v>
      </c>
      <c r="O201" s="10" t="str">
        <f aca="false">IF(COUNTA(B201:N201)=0,"",IF(OR(B201="",C201="",D201="",E201="",G201="",H201="",I201="",J201=""),"ناقص","OK"))</f>
        <v>OK</v>
      </c>
      <c r="P201" s="10" t="str">
        <f aca="false">IF(D201="","",B201&amp;" "&amp;C201&amp;" "&amp;D201&amp;" "&amp;E201&amp;" "&amp;F201&amp;" "&amp;G201)</f>
        <v>عفشة وتعليق الجنوط اهتزاز بعد حفرة والجنط متفرط جنط، متفرط، ضربة حفرة، اهتزاز بعد الحفرة لا توجد لمبة التواء الجنط</v>
      </c>
    </row>
    <row r="202" customFormat="false" ht="23.85" hidden="false" customHeight="false" outlineLevel="0" collapsed="false">
      <c r="A202" s="10" t="s">
        <v>2320</v>
      </c>
      <c r="B202" s="11" t="s">
        <v>2179</v>
      </c>
      <c r="C202" s="11" t="s">
        <v>2321</v>
      </c>
      <c r="D202" s="11" t="s">
        <v>2322</v>
      </c>
      <c r="E202" s="11" t="s">
        <v>2323</v>
      </c>
      <c r="F202" s="11" t="s">
        <v>1075</v>
      </c>
      <c r="G202" s="11" t="s">
        <v>2324</v>
      </c>
      <c r="H202" s="11" t="s">
        <v>2325</v>
      </c>
      <c r="I202" s="11" t="s">
        <v>1117</v>
      </c>
      <c r="J202" s="11" t="s">
        <v>1068</v>
      </c>
      <c r="K202" s="12" t="n">
        <v>2000</v>
      </c>
      <c r="L202" s="12" t="n">
        <v>20000</v>
      </c>
      <c r="M202" s="11" t="s">
        <v>1069</v>
      </c>
      <c r="N202" s="11" t="s">
        <v>1118</v>
      </c>
      <c r="O202" s="10" t="str">
        <f aca="false">IF(COUNTA(B202:N202)=0,"",IF(OR(B202="",C202="",D202="",E202="",G202="",H202="",I202="",J202=""),"ناقص","OK"))</f>
        <v>OK</v>
      </c>
      <c r="P202" s="10" t="str">
        <f aca="false">IF(D202="","",B202&amp;" "&amp;C202&amp;" "&amp;D202&amp;" "&amp;E202&amp;" "&amp;F202&amp;" "&amp;G202)</f>
        <v>عفشة وتعليق الشاسيه العربية بعد حادثة بتشد وتتمايل بعد حادثة، شاسيه، العربية ملتوية، شد لا توجد لمبة التواء الهيكل أو الشاسيه</v>
      </c>
    </row>
    <row r="203" customFormat="false" ht="35.05" hidden="false" customHeight="false" outlineLevel="0" collapsed="false">
      <c r="A203" s="10" t="s">
        <v>2326</v>
      </c>
      <c r="B203" s="11" t="s">
        <v>2179</v>
      </c>
      <c r="C203" s="11" t="s">
        <v>2327</v>
      </c>
      <c r="D203" s="11" t="s">
        <v>2328</v>
      </c>
      <c r="E203" s="11" t="s">
        <v>2329</v>
      </c>
      <c r="F203" s="11" t="s">
        <v>1075</v>
      </c>
      <c r="G203" s="11" t="s">
        <v>2330</v>
      </c>
      <c r="H203" s="11" t="s">
        <v>2258</v>
      </c>
      <c r="I203" s="11" t="s">
        <v>1096</v>
      </c>
      <c r="J203" s="11" t="s">
        <v>81</v>
      </c>
      <c r="K203" s="12" t="n">
        <v>300</v>
      </c>
      <c r="L203" s="12" t="n">
        <v>1500</v>
      </c>
      <c r="M203" s="11" t="s">
        <v>1069</v>
      </c>
      <c r="N203" s="11" t="s">
        <v>1097</v>
      </c>
      <c r="O203" s="10" t="str">
        <f aca="false">IF(COUNTA(B203:N203)=0,"",IF(OR(B203="",C203="",D203="",E203="",G203="",H203="",I203="",J203=""),"ناقص","OK"))</f>
        <v>OK</v>
      </c>
      <c r="P203" s="10" t="str">
        <f aca="false">IF(D203="","",B203&amp;" "&amp;C203&amp;" "&amp;D203&amp;" "&amp;E203&amp;" "&amp;F203&amp;" "&amp;G203)</f>
        <v>عفشة وتعليق مقص الذراع الخلفي طقطقة من الخلف عند الفرملة وعلى المطبات طقطقة من الخلف، ذراع خلفي، بطانة خلفية لا توجد لمبة تآكل بطانات الذراع الخلفي</v>
      </c>
    </row>
    <row r="204" customFormat="false" ht="35.05" hidden="false" customHeight="false" outlineLevel="0" collapsed="false">
      <c r="A204" s="10" t="s">
        <v>2331</v>
      </c>
      <c r="B204" s="11" t="s">
        <v>2179</v>
      </c>
      <c r="C204" s="11" t="s">
        <v>2332</v>
      </c>
      <c r="D204" s="11" t="s">
        <v>2333</v>
      </c>
      <c r="E204" s="11" t="s">
        <v>2334</v>
      </c>
      <c r="F204" s="11" t="s">
        <v>1075</v>
      </c>
      <c r="G204" s="11" t="s">
        <v>2335</v>
      </c>
      <c r="H204" s="11" t="s">
        <v>2336</v>
      </c>
      <c r="I204" s="11" t="s">
        <v>1096</v>
      </c>
      <c r="J204" s="11" t="s">
        <v>81</v>
      </c>
      <c r="K204" s="12" t="n">
        <v>100</v>
      </c>
      <c r="L204" s="12" t="n">
        <v>800</v>
      </c>
      <c r="M204" s="11" t="s">
        <v>1069</v>
      </c>
      <c r="N204" s="11" t="s">
        <v>1097</v>
      </c>
      <c r="O204" s="10" t="str">
        <f aca="false">IF(COUNTA(B204:N204)=0,"",IF(OR(B204="",C204="",D204="",E204="",G204="",H204="",I204="",J204=""),"ناقص","OK"))</f>
        <v>OK</v>
      </c>
      <c r="P204" s="10" t="str">
        <f aca="false">IF(D204="","",B204&amp;" "&amp;C204&amp;" "&amp;D204&amp;" "&amp;E204&amp;" "&amp;F204&amp;" "&amp;G204)</f>
        <v>عفشة وتعليق حامل الشنطة الخلفي خبط من الشنطة الخلفية على المطبات خبط من الخلف، شنطة، دعامة، مطبات لا توجد لمبة ارتخاء دعامة الشنطة</v>
      </c>
    </row>
    <row r="205" customFormat="false" ht="35.05" hidden="false" customHeight="false" outlineLevel="0" collapsed="false">
      <c r="A205" s="10" t="s">
        <v>2337</v>
      </c>
      <c r="B205" s="11" t="s">
        <v>2179</v>
      </c>
      <c r="C205" s="11" t="s">
        <v>2338</v>
      </c>
      <c r="D205" s="11" t="s">
        <v>2339</v>
      </c>
      <c r="E205" s="11" t="s">
        <v>2340</v>
      </c>
      <c r="F205" s="11" t="s">
        <v>1075</v>
      </c>
      <c r="G205" s="11" t="s">
        <v>2341</v>
      </c>
      <c r="H205" s="11" t="s">
        <v>2258</v>
      </c>
      <c r="I205" s="11" t="s">
        <v>1067</v>
      </c>
      <c r="J205" s="11" t="s">
        <v>1068</v>
      </c>
      <c r="K205" s="12" t="n">
        <v>300</v>
      </c>
      <c r="L205" s="12" t="n">
        <v>1500</v>
      </c>
      <c r="M205" s="11" t="s">
        <v>1069</v>
      </c>
      <c r="N205" s="11" t="s">
        <v>1070</v>
      </c>
      <c r="O205" s="10" t="str">
        <f aca="false">IF(COUNTA(B205:N205)=0,"",IF(OR(B205="",C205="",D205="",E205="",G205="",H205="",I205="",J205=""),"ناقص","OK"))</f>
        <v>OK</v>
      </c>
      <c r="P205" s="10" t="str">
        <f aca="false">IF(D205="","",B205&amp;" "&amp;C205&amp;" "&amp;D205&amp;" "&amp;E205&amp;" "&amp;F205&amp;" "&amp;G205)</f>
        <v>عفشة وتعليق بطانة الجريدة صوت دق عند لف الدركسيون ببطء دق عند اللف، بطانة الجريدة، دركسيون يدق لا توجد لمبة تلف بطانات الجريدة</v>
      </c>
    </row>
    <row r="206" customFormat="false" ht="35.05" hidden="false" customHeight="false" outlineLevel="0" collapsed="false">
      <c r="A206" s="10" t="s">
        <v>2342</v>
      </c>
      <c r="B206" s="11" t="s">
        <v>2179</v>
      </c>
      <c r="C206" s="11" t="s">
        <v>2343</v>
      </c>
      <c r="D206" s="11" t="s">
        <v>2344</v>
      </c>
      <c r="E206" s="11" t="s">
        <v>2345</v>
      </c>
      <c r="F206" s="11" t="s">
        <v>1075</v>
      </c>
      <c r="G206" s="11" t="s">
        <v>2346</v>
      </c>
      <c r="H206" s="11" t="s">
        <v>2347</v>
      </c>
      <c r="I206" s="11" t="s">
        <v>1067</v>
      </c>
      <c r="J206" s="11" t="s">
        <v>81</v>
      </c>
      <c r="K206" s="12" t="n">
        <v>200</v>
      </c>
      <c r="L206" s="12" t="n">
        <v>1000</v>
      </c>
      <c r="M206" s="11" t="s">
        <v>1069</v>
      </c>
      <c r="N206" s="11" t="s">
        <v>1070</v>
      </c>
      <c r="O206" s="10" t="str">
        <f aca="false">IF(COUNTA(B206:N206)=0,"",IF(OR(B206="",C206="",D206="",E206="",G206="",H206="",I206="",J206=""),"ناقص","OK"))</f>
        <v>OK</v>
      </c>
      <c r="P206" s="10" t="str">
        <f aca="false">IF(D206="","",B206&amp;" "&amp;C206&amp;" "&amp;D206&amp;" "&amp;E206&amp;" "&amp;F206&amp;" "&amp;G206)</f>
        <v>عفشة وتعليق ضبط الكامبر تآكل زائد في حافة الكاوتش من الداخل كامبر، حافة الكاوتش، تآكل داخلي، ضبط زوايا لا توجد لمبة اختلال زاوية الكامبر بعد ارتطام</v>
      </c>
    </row>
    <row r="207" customFormat="false" ht="35.05" hidden="false" customHeight="false" outlineLevel="0" collapsed="false">
      <c r="A207" s="10" t="s">
        <v>2348</v>
      </c>
      <c r="B207" s="11" t="s">
        <v>2349</v>
      </c>
      <c r="C207" s="11" t="s">
        <v>2350</v>
      </c>
      <c r="D207" s="11" t="s">
        <v>2351</v>
      </c>
      <c r="E207" s="11" t="s">
        <v>2352</v>
      </c>
      <c r="F207" s="11" t="s">
        <v>1075</v>
      </c>
      <c r="G207" s="11" t="s">
        <v>2353</v>
      </c>
      <c r="H207" s="11" t="s">
        <v>2354</v>
      </c>
      <c r="I207" s="11" t="s">
        <v>1096</v>
      </c>
      <c r="J207" s="11" t="s">
        <v>81</v>
      </c>
      <c r="K207" s="12" t="n">
        <v>150</v>
      </c>
      <c r="L207" s="12" t="n">
        <v>600</v>
      </c>
      <c r="M207" s="11" t="s">
        <v>1069</v>
      </c>
      <c r="N207" s="11" t="s">
        <v>1097</v>
      </c>
      <c r="O207" s="10" t="str">
        <f aca="false">IF(COUNTA(B207:N207)=0,"",IF(OR(B207="",C207="",D207="",E207="",G207="",H207="",I207="",J207=""),"ناقص","OK"))</f>
        <v>OK</v>
      </c>
      <c r="P207" s="10" t="str">
        <f aca="false">IF(D207="","",B207&amp;" "&amp;C207&amp;" "&amp;D207&amp;" "&amp;E207&amp;" "&amp;F207&amp;" "&amp;G207)</f>
        <v>إطارات زوايا العجل العربية بتشد يمين أو شمال بتشد، فرمتة، ظبط زوايا، ظبط الدركسيون، بتسحب لا توجد لمبة زوايا العجل غير مضبوطة أو فرق ضغط الكاوتش</v>
      </c>
    </row>
    <row r="208" customFormat="false" ht="35.05" hidden="false" customHeight="false" outlineLevel="0" collapsed="false">
      <c r="A208" s="10" t="s">
        <v>2355</v>
      </c>
      <c r="B208" s="11" t="s">
        <v>2349</v>
      </c>
      <c r="C208" s="11" t="s">
        <v>2356</v>
      </c>
      <c r="D208" s="11" t="s">
        <v>2357</v>
      </c>
      <c r="E208" s="11" t="s">
        <v>2358</v>
      </c>
      <c r="F208" s="11" t="s">
        <v>1075</v>
      </c>
      <c r="G208" s="11" t="s">
        <v>2359</v>
      </c>
      <c r="H208" s="11" t="s">
        <v>2360</v>
      </c>
      <c r="I208" s="11" t="s">
        <v>1096</v>
      </c>
      <c r="J208" s="11" t="s">
        <v>81</v>
      </c>
      <c r="K208" s="12" t="n">
        <v>100</v>
      </c>
      <c r="L208" s="12" t="n">
        <v>400</v>
      </c>
      <c r="M208" s="11" t="s">
        <v>1069</v>
      </c>
      <c r="N208" s="11" t="s">
        <v>1097</v>
      </c>
      <c r="O208" s="10" t="str">
        <f aca="false">IF(COUNTA(B208:N208)=0,"",IF(OR(B208="",C208="",D208="",E208="",G208="",H208="",I208="",J208=""),"ناقص","OK"))</f>
        <v>OK</v>
      </c>
      <c r="P208" s="10" t="str">
        <f aca="false">IF(D208="","",B208&amp;" "&amp;C208&amp;" "&amp;D208&amp;" "&amp;E208&amp;" "&amp;F208&amp;" "&amp;G208)</f>
        <v>إطارات ميزان الكاوتش اهتزاز الدركسيون على سرعة 80 إلى 100 رعشة، زنقة، بالانس، ميزان كاوتش، الدركسيون بيهز لا توجد لمبة ميزان الكاوتش (البالانس) غير مضبوط أو كاوتش مشوه</v>
      </c>
    </row>
    <row r="209" customFormat="false" ht="35.05" hidden="false" customHeight="false" outlineLevel="0" collapsed="false">
      <c r="A209" s="10" t="s">
        <v>2361</v>
      </c>
      <c r="B209" s="11" t="s">
        <v>2349</v>
      </c>
      <c r="C209" s="11" t="s">
        <v>2362</v>
      </c>
      <c r="D209" s="11" t="s">
        <v>2363</v>
      </c>
      <c r="E209" s="11" t="s">
        <v>2364</v>
      </c>
      <c r="F209" s="11" t="s">
        <v>1075</v>
      </c>
      <c r="G209" s="11" t="s">
        <v>2365</v>
      </c>
      <c r="H209" s="11" t="s">
        <v>2366</v>
      </c>
      <c r="I209" s="11" t="s">
        <v>1096</v>
      </c>
      <c r="J209" s="11" t="s">
        <v>81</v>
      </c>
      <c r="K209" s="12" t="n">
        <v>150</v>
      </c>
      <c r="L209" s="12" t="n">
        <v>800</v>
      </c>
      <c r="M209" s="11" t="s">
        <v>1069</v>
      </c>
      <c r="N209" s="11" t="s">
        <v>1097</v>
      </c>
      <c r="O209" s="10" t="str">
        <f aca="false">IF(COUNTA(B209:N209)=0,"",IF(OR(B209="",C209="",D209="",E209="",G209="",H209="",I209="",J209=""),"ناقص","OK"))</f>
        <v>OK</v>
      </c>
      <c r="P209" s="10" t="str">
        <f aca="false">IF(D209="","",B209&amp;" "&amp;C209&amp;" "&amp;D209&amp;" "&amp;E209&amp;" "&amp;F209&amp;" "&amp;G209)</f>
        <v>إطارات الكاوتش كاوتش بيتآكل من ناحية واحدة تآكل، كاوتش بيخلص، فرمتة، ناحية واحدة لا توجد لمبة زوايا غير مضبوطة أو مشكلة في العفشة</v>
      </c>
    </row>
    <row r="210" customFormat="false" ht="23.85" hidden="false" customHeight="false" outlineLevel="0" collapsed="false">
      <c r="A210" s="10" t="s">
        <v>2367</v>
      </c>
      <c r="B210" s="11" t="s">
        <v>2349</v>
      </c>
      <c r="C210" s="11" t="s">
        <v>2362</v>
      </c>
      <c r="D210" s="11" t="s">
        <v>2368</v>
      </c>
      <c r="E210" s="11" t="s">
        <v>2369</v>
      </c>
      <c r="F210" s="11" t="s">
        <v>2370</v>
      </c>
      <c r="G210" s="11" t="s">
        <v>2371</v>
      </c>
      <c r="H210" s="11" t="s">
        <v>2372</v>
      </c>
      <c r="I210" s="11" t="s">
        <v>1067</v>
      </c>
      <c r="J210" s="11" t="s">
        <v>80</v>
      </c>
      <c r="K210" s="12" t="n">
        <v>50</v>
      </c>
      <c r="L210" s="12" t="n">
        <v>300</v>
      </c>
      <c r="M210" s="11" t="s">
        <v>1069</v>
      </c>
      <c r="N210" s="11" t="s">
        <v>1070</v>
      </c>
      <c r="O210" s="10" t="str">
        <f aca="false">IF(COUNTA(B210:N210)=0,"",IF(OR(B210="",C210="",D210="",E210="",G210="",H210="",I210="",J210=""),"ناقص","OK"))</f>
        <v>OK</v>
      </c>
      <c r="P210" s="10" t="str">
        <f aca="false">IF(D210="","",B210&amp;" "&amp;C210&amp;" "&amp;D210&amp;" "&amp;E210&amp;" "&amp;F210&amp;" "&amp;G210)</f>
        <v>إطارات الكاوتش كاوتش نايم أو بيفقد هواء كاوتش نايم، مسمار، بنشر، هواء بيخرج لمبة ضغط الكاوتش مسمار أو تسريب من الصمام أو الجنط</v>
      </c>
    </row>
    <row r="211" customFormat="false" ht="23.85" hidden="false" customHeight="false" outlineLevel="0" collapsed="false">
      <c r="A211" s="10" t="s">
        <v>2373</v>
      </c>
      <c r="B211" s="11" t="s">
        <v>2349</v>
      </c>
      <c r="C211" s="11" t="s">
        <v>2374</v>
      </c>
      <c r="D211" s="11" t="s">
        <v>2375</v>
      </c>
      <c r="E211" s="11" t="s">
        <v>2376</v>
      </c>
      <c r="F211" s="11" t="s">
        <v>1075</v>
      </c>
      <c r="G211" s="11" t="s">
        <v>2377</v>
      </c>
      <c r="H211" s="11" t="s">
        <v>2378</v>
      </c>
      <c r="I211" s="11" t="s">
        <v>1096</v>
      </c>
      <c r="J211" s="11" t="s">
        <v>81</v>
      </c>
      <c r="K211" s="12" t="n">
        <v>50</v>
      </c>
      <c r="L211" s="12" t="n">
        <v>3000</v>
      </c>
      <c r="M211" s="11" t="s">
        <v>1069</v>
      </c>
      <c r="N211" s="11" t="s">
        <v>1097</v>
      </c>
      <c r="O211" s="10" t="str">
        <f aca="false">IF(COUNTA(B211:N211)=0,"",IF(OR(B211="",C211="",D211="",E211="",G211="",H211="",I211="",J211=""),"ناقص","OK"))</f>
        <v>OK</v>
      </c>
      <c r="P211" s="10" t="str">
        <f aca="false">IF(D211="","",B211&amp;" "&amp;C211&amp;" "&amp;D211&amp;" "&amp;E211&amp;" "&amp;F211&amp;" "&amp;G211)</f>
        <v>إطارات ضغط الكاوتش الزائد تآكل في منتصف الكاوتش فقط تآكل المنتصف، ضغط عالي، كاوتش مسطح لا توجد لمبة ضغط هواء زائد</v>
      </c>
    </row>
    <row r="212" customFormat="false" ht="23.85" hidden="false" customHeight="false" outlineLevel="0" collapsed="false">
      <c r="A212" s="10" t="s">
        <v>2379</v>
      </c>
      <c r="B212" s="11" t="s">
        <v>2349</v>
      </c>
      <c r="C212" s="11" t="s">
        <v>2380</v>
      </c>
      <c r="D212" s="11" t="s">
        <v>2381</v>
      </c>
      <c r="E212" s="11" t="s">
        <v>2382</v>
      </c>
      <c r="F212" s="11" t="s">
        <v>1075</v>
      </c>
      <c r="G212" s="11" t="s">
        <v>2383</v>
      </c>
      <c r="H212" s="11" t="s">
        <v>2384</v>
      </c>
      <c r="I212" s="11" t="s">
        <v>1096</v>
      </c>
      <c r="J212" s="11" t="s">
        <v>81</v>
      </c>
      <c r="K212" s="12" t="n">
        <v>50</v>
      </c>
      <c r="L212" s="12" t="n">
        <v>3000</v>
      </c>
      <c r="M212" s="11" t="s">
        <v>1069</v>
      </c>
      <c r="N212" s="11" t="s">
        <v>1097</v>
      </c>
      <c r="O212" s="10" t="str">
        <f aca="false">IF(COUNTA(B212:N212)=0,"",IF(OR(B212="",C212="",D212="",E212="",G212="",H212="",I212="",J212=""),"ناقص","OK"))</f>
        <v>OK</v>
      </c>
      <c r="P212" s="10" t="str">
        <f aca="false">IF(D212="","",B212&amp;" "&amp;C212&amp;" "&amp;D212&amp;" "&amp;E212&amp;" "&amp;F212&amp;" "&amp;G212)</f>
        <v>إطارات ضغط الكاوتش الناقص تآكل في حواف الكاوتش من الجانبين تآكل الحواف، ضغط ناقص، كاوتش مفرطح لا توجد لمبة ضغط هواء قليل</v>
      </c>
    </row>
    <row r="213" customFormat="false" ht="35.05" hidden="false" customHeight="false" outlineLevel="0" collapsed="false">
      <c r="A213" s="10" t="s">
        <v>2385</v>
      </c>
      <c r="B213" s="11" t="s">
        <v>2349</v>
      </c>
      <c r="C213" s="11" t="s">
        <v>2386</v>
      </c>
      <c r="D213" s="11" t="s">
        <v>2387</v>
      </c>
      <c r="E213" s="11" t="s">
        <v>2388</v>
      </c>
      <c r="F213" s="11" t="s">
        <v>1075</v>
      </c>
      <c r="G213" s="11" t="s">
        <v>2389</v>
      </c>
      <c r="H213" s="11" t="s">
        <v>2390</v>
      </c>
      <c r="I213" s="11" t="s">
        <v>1067</v>
      </c>
      <c r="J213" s="11" t="s">
        <v>1068</v>
      </c>
      <c r="K213" s="12" t="n">
        <v>300</v>
      </c>
      <c r="L213" s="12" t="n">
        <v>3500</v>
      </c>
      <c r="M213" s="11" t="s">
        <v>1069</v>
      </c>
      <c r="N213" s="11" t="s">
        <v>1070</v>
      </c>
      <c r="O213" s="10" t="str">
        <f aca="false">IF(COUNTA(B213:N213)=0,"",IF(OR(B213="",C213="",D213="",E213="",G213="",H213="",I213="",J213=""),"ناقص","OK"))</f>
        <v>OK</v>
      </c>
      <c r="P213" s="10" t="str">
        <f aca="false">IF(D213="","",B213&amp;" "&amp;C213&amp;" "&amp;D213&amp;" "&amp;E213&amp;" "&amp;F213&amp;" "&amp;G213)</f>
        <v>إطارات التآكل المسنن الكاوتش بيعمل همهمة والسطح عليه تآكل مسنن تآكل مسنن، همهمة الكاوتش، كاوتش رخامي لا توجد لمبة مساعدين ضعيفة أو ميزان غير مضبوط</v>
      </c>
    </row>
    <row r="214" customFormat="false" ht="35.05" hidden="false" customHeight="false" outlineLevel="0" collapsed="false">
      <c r="A214" s="10" t="s">
        <v>2391</v>
      </c>
      <c r="B214" s="11" t="s">
        <v>2349</v>
      </c>
      <c r="C214" s="11" t="s">
        <v>2392</v>
      </c>
      <c r="D214" s="11" t="s">
        <v>2393</v>
      </c>
      <c r="E214" s="11" t="s">
        <v>2394</v>
      </c>
      <c r="F214" s="11" t="s">
        <v>1075</v>
      </c>
      <c r="G214" s="11" t="s">
        <v>2395</v>
      </c>
      <c r="H214" s="11" t="s">
        <v>2396</v>
      </c>
      <c r="I214" s="11" t="s">
        <v>1067</v>
      </c>
      <c r="J214" s="11" t="s">
        <v>1068</v>
      </c>
      <c r="K214" s="12" t="n">
        <v>2000</v>
      </c>
      <c r="L214" s="12" t="n">
        <v>10000</v>
      </c>
      <c r="M214" s="11" t="s">
        <v>1069</v>
      </c>
      <c r="N214" s="11" t="s">
        <v>1070</v>
      </c>
      <c r="O214" s="10" t="str">
        <f aca="false">IF(COUNTA(B214:N214)=0,"",IF(OR(B214="",C214="",D214="",E214="",G214="",H214="",I214="",J214=""),"ناقص","OK"))</f>
        <v>OK</v>
      </c>
      <c r="P214" s="10" t="str">
        <f aca="false">IF(D214="","",B214&amp;" "&amp;C214&amp;" "&amp;D214&amp;" "&amp;E214&amp;" "&amp;F214&amp;" "&amp;G214)</f>
        <v>إطارات الكاوتش القديم شروخ صغيرة على جانب الكاوتش والكاوتش عمره 5 سنين شروخ الكاوتش، كاوتش قديم، تاريخ الصنع، جانب الكاوتش لا توجد لمبة تقادم المطاط مع الزمن</v>
      </c>
    </row>
    <row r="215" customFormat="false" ht="35.05" hidden="false" customHeight="false" outlineLevel="0" collapsed="false">
      <c r="A215" s="10" t="s">
        <v>2397</v>
      </c>
      <c r="B215" s="11" t="s">
        <v>2349</v>
      </c>
      <c r="C215" s="11" t="s">
        <v>2398</v>
      </c>
      <c r="D215" s="11" t="s">
        <v>2399</v>
      </c>
      <c r="E215" s="11" t="s">
        <v>2400</v>
      </c>
      <c r="F215" s="11" t="s">
        <v>1075</v>
      </c>
      <c r="G215" s="11" t="s">
        <v>2401</v>
      </c>
      <c r="H215" s="11" t="s">
        <v>2402</v>
      </c>
      <c r="I215" s="11" t="s">
        <v>1117</v>
      </c>
      <c r="J215" s="11" t="s">
        <v>80</v>
      </c>
      <c r="K215" s="12" t="n">
        <v>1000</v>
      </c>
      <c r="L215" s="12" t="n">
        <v>5000</v>
      </c>
      <c r="M215" s="11" t="s">
        <v>1069</v>
      </c>
      <c r="N215" s="11" t="s">
        <v>1118</v>
      </c>
      <c r="O215" s="10" t="str">
        <f aca="false">IF(COUNTA(B215:N215)=0,"",IF(OR(B215="",C215="",D215="",E215="",G215="",H215="",I215="",J215=""),"ناقص","OK"))</f>
        <v>OK</v>
      </c>
      <c r="P215" s="10" t="str">
        <f aca="false">IF(D215="","",B215&amp;" "&amp;C215&amp;" "&amp;D215&amp;" "&amp;E215&amp;" "&amp;F215&amp;" "&amp;G215)</f>
        <v>إطارات انتفاخ جانب الكاوتش انتفاخ (بيضة) على جانب الكاوتش بعد ضربة بيضة في الكاوتش، انتفاخ، ضربة رصيف، جانب الكاوتش لا توجد لمبة تلف الطبقة الداخلية للكاوتش</v>
      </c>
    </row>
    <row r="216" customFormat="false" ht="35.05" hidden="false" customHeight="false" outlineLevel="0" collapsed="false">
      <c r="A216" s="10" t="s">
        <v>2403</v>
      </c>
      <c r="B216" s="11" t="s">
        <v>2349</v>
      </c>
      <c r="C216" s="11" t="s">
        <v>2404</v>
      </c>
      <c r="D216" s="11" t="s">
        <v>2405</v>
      </c>
      <c r="E216" s="11" t="s">
        <v>2406</v>
      </c>
      <c r="F216" s="11" t="s">
        <v>1075</v>
      </c>
      <c r="G216" s="11" t="s">
        <v>2407</v>
      </c>
      <c r="H216" s="11" t="s">
        <v>2408</v>
      </c>
      <c r="I216" s="11" t="s">
        <v>1096</v>
      </c>
      <c r="J216" s="11" t="s">
        <v>81</v>
      </c>
      <c r="K216" s="12" t="n">
        <v>20</v>
      </c>
      <c r="L216" s="12" t="n">
        <v>200</v>
      </c>
      <c r="M216" s="11" t="s">
        <v>1069</v>
      </c>
      <c r="N216" s="11" t="s">
        <v>1097</v>
      </c>
      <c r="O216" s="10" t="str">
        <f aca="false">IF(COUNTA(B216:N216)=0,"",IF(OR(B216="",C216="",D216="",E216="",G216="",H216="",I216="",J216=""),"ناقص","OK"))</f>
        <v>OK</v>
      </c>
      <c r="P216" s="10" t="str">
        <f aca="false">IF(D216="","",B216&amp;" "&amp;C216&amp;" "&amp;D216&amp;" "&amp;E216&amp;" "&amp;F216&amp;" "&amp;G216)</f>
        <v>إطارات صمام الكاوتش الكاوتش بينزل هواء ببطء بدون مسمار صمام الكاوتش، هواء بيخرج، بنشر بطيء، بلف لا توجد لمبة تسريب صمام الهواء</v>
      </c>
    </row>
    <row r="217" customFormat="false" ht="35.05" hidden="false" customHeight="false" outlineLevel="0" collapsed="false">
      <c r="A217" s="10" t="s">
        <v>2409</v>
      </c>
      <c r="B217" s="11" t="s">
        <v>2349</v>
      </c>
      <c r="C217" s="11" t="s">
        <v>2410</v>
      </c>
      <c r="D217" s="11" t="s">
        <v>2411</v>
      </c>
      <c r="E217" s="11" t="s">
        <v>2412</v>
      </c>
      <c r="F217" s="11" t="s">
        <v>1075</v>
      </c>
      <c r="G217" s="11" t="s">
        <v>2413</v>
      </c>
      <c r="H217" s="11" t="s">
        <v>2414</v>
      </c>
      <c r="I217" s="11" t="s">
        <v>1096</v>
      </c>
      <c r="J217" s="11" t="s">
        <v>1068</v>
      </c>
      <c r="K217" s="12" t="n">
        <v>100</v>
      </c>
      <c r="L217" s="12" t="n">
        <v>8000</v>
      </c>
      <c r="M217" s="11" t="s">
        <v>1069</v>
      </c>
      <c r="N217" s="11" t="s">
        <v>1097</v>
      </c>
      <c r="O217" s="10" t="str">
        <f aca="false">IF(COUNTA(B217:N217)=0,"",IF(OR(B217="",C217="",D217="",E217="",G217="",H217="",I217="",J217=""),"ناقص","OK"))</f>
        <v>OK</v>
      </c>
      <c r="P217" s="10" t="str">
        <f aca="false">IF(D217="","",B217&amp;" "&amp;C217&amp;" "&amp;D217&amp;" "&amp;E217&amp;" "&amp;F217&amp;" "&amp;G217)</f>
        <v>إطارات مقاس الكاوتش العربية بتتصرف غريب بعد تغيير مقاس الكاوتش مقاس الكاوتش، تغيير الكاوتش، عداد السرعة غلط، احتكاك لا توجد لمبة مقاس غير مناسب للعربية</v>
      </c>
    </row>
    <row r="218" customFormat="false" ht="35.05" hidden="false" customHeight="false" outlineLevel="0" collapsed="false">
      <c r="A218" s="10" t="s">
        <v>2415</v>
      </c>
      <c r="B218" s="11" t="s">
        <v>2349</v>
      </c>
      <c r="C218" s="11" t="s">
        <v>2416</v>
      </c>
      <c r="D218" s="11" t="s">
        <v>2417</v>
      </c>
      <c r="E218" s="11" t="s">
        <v>2418</v>
      </c>
      <c r="F218" s="11" t="s">
        <v>1075</v>
      </c>
      <c r="G218" s="11" t="s">
        <v>2419</v>
      </c>
      <c r="H218" s="11" t="s">
        <v>2420</v>
      </c>
      <c r="I218" s="11" t="s">
        <v>1096</v>
      </c>
      <c r="J218" s="11" t="s">
        <v>81</v>
      </c>
      <c r="K218" s="12" t="n">
        <v>100</v>
      </c>
      <c r="L218" s="12" t="n">
        <v>8000</v>
      </c>
      <c r="M218" s="11" t="s">
        <v>1069</v>
      </c>
      <c r="N218" s="11" t="s">
        <v>1097</v>
      </c>
      <c r="O218" s="10" t="str">
        <f aca="false">IF(COUNTA(B218:N218)=0,"",IF(OR(B218="",C218="",D218="",E218="",G218="",H218="",I218="",J218=""),"ناقص","OK"))</f>
        <v>OK</v>
      </c>
      <c r="P218" s="10" t="str">
        <f aca="false">IF(D218="","",B218&amp;" "&amp;C218&amp;" "&amp;D218&amp;" "&amp;E218&amp;" "&amp;F218&amp;" "&amp;G218)</f>
        <v>إطارات الكاوتش المطاطي الخلفي ضجة عالية من الكاوتش على الأسفلت الخشن ضجة الكاوتش، همهمة، أسفلت، كاوتش عالي الصوت لا توجد لمبة نوع كاوتش أو تآكل غير متساوي</v>
      </c>
    </row>
    <row r="219" customFormat="false" ht="35.05" hidden="false" customHeight="false" outlineLevel="0" collapsed="false">
      <c r="A219" s="10" t="s">
        <v>2421</v>
      </c>
      <c r="B219" s="11" t="s">
        <v>2349</v>
      </c>
      <c r="C219" s="11" t="s">
        <v>2422</v>
      </c>
      <c r="D219" s="11" t="s">
        <v>2423</v>
      </c>
      <c r="E219" s="11" t="s">
        <v>2424</v>
      </c>
      <c r="F219" s="11" t="s">
        <v>1075</v>
      </c>
      <c r="G219" s="11" t="s">
        <v>2425</v>
      </c>
      <c r="H219" s="11" t="s">
        <v>2426</v>
      </c>
      <c r="I219" s="11" t="s">
        <v>1096</v>
      </c>
      <c r="J219" s="11" t="s">
        <v>81</v>
      </c>
      <c r="K219" s="12" t="n">
        <v>20</v>
      </c>
      <c r="L219" s="12" t="n">
        <v>200</v>
      </c>
      <c r="M219" s="11" t="s">
        <v>1069</v>
      </c>
      <c r="N219" s="11" t="s">
        <v>1097</v>
      </c>
      <c r="O219" s="10" t="str">
        <f aca="false">IF(COUNTA(B219:N219)=0,"",IF(OR(B219="",C219="",D219="",E219="",G219="",H219="",I219="",J219=""),"ناقص","OK"))</f>
        <v>OK</v>
      </c>
      <c r="P219" s="10" t="str">
        <f aca="false">IF(D219="","",B219&amp;" "&amp;C219&amp;" "&amp;D219&amp;" "&amp;E219&amp;" "&amp;F219&amp;" "&amp;G219)</f>
        <v>إطارات الإستبن الاستبن ضغطه ناقص أو عمره قديم وقت الاحتياج استبن، كاوتش احتياطي، ضغط الاستبن لا توجد لمبة إهمال فحص الاستبن</v>
      </c>
    </row>
    <row r="220" customFormat="false" ht="35.05" hidden="false" customHeight="false" outlineLevel="0" collapsed="false">
      <c r="A220" s="10" t="s">
        <v>2427</v>
      </c>
      <c r="B220" s="11" t="s">
        <v>2349</v>
      </c>
      <c r="C220" s="11" t="s">
        <v>2428</v>
      </c>
      <c r="D220" s="11" t="s">
        <v>2429</v>
      </c>
      <c r="E220" s="11" t="s">
        <v>2430</v>
      </c>
      <c r="F220" s="11" t="s">
        <v>1075</v>
      </c>
      <c r="G220" s="11" t="s">
        <v>2431</v>
      </c>
      <c r="H220" s="11" t="s">
        <v>2432</v>
      </c>
      <c r="I220" s="11" t="s">
        <v>1067</v>
      </c>
      <c r="J220" s="11" t="s">
        <v>1068</v>
      </c>
      <c r="K220" s="12" t="n">
        <v>300</v>
      </c>
      <c r="L220" s="12" t="n">
        <v>4000</v>
      </c>
      <c r="M220" s="11" t="s">
        <v>1069</v>
      </c>
      <c r="N220" s="11" t="s">
        <v>1070</v>
      </c>
      <c r="O220" s="10" t="str">
        <f aca="false">IF(COUNTA(B220:N220)=0,"",IF(OR(B220="",C220="",D220="",E220="",G220="",H220="",I220="",J220=""),"ناقص","OK"))</f>
        <v>OK</v>
      </c>
      <c r="P220" s="10" t="str">
        <f aca="false">IF(D220="","",B220&amp;" "&amp;C220&amp;" "&amp;D220&amp;" "&amp;E220&amp;" "&amp;F220&amp;" "&amp;G220)</f>
        <v>إطارات الجنط المثني اهتزاز مع تسريب هواء بطيء من الجنط جنط مثني، تسريب من الجنط، ضربة، هواء بيخرج لا توجد لمبة التواء حافة الجنط بعد حفرة</v>
      </c>
    </row>
    <row r="221" customFormat="false" ht="35.05" hidden="false" customHeight="false" outlineLevel="0" collapsed="false">
      <c r="A221" s="10" t="s">
        <v>2433</v>
      </c>
      <c r="B221" s="11" t="s">
        <v>2349</v>
      </c>
      <c r="C221" s="11" t="s">
        <v>2434</v>
      </c>
      <c r="D221" s="11" t="s">
        <v>2435</v>
      </c>
      <c r="E221" s="11" t="s">
        <v>2436</v>
      </c>
      <c r="F221" s="11" t="s">
        <v>1075</v>
      </c>
      <c r="G221" s="11" t="s">
        <v>2437</v>
      </c>
      <c r="H221" s="11" t="s">
        <v>2438</v>
      </c>
      <c r="I221" s="11" t="s">
        <v>1096</v>
      </c>
      <c r="J221" s="11" t="s">
        <v>81</v>
      </c>
      <c r="K221" s="12" t="n">
        <v>50</v>
      </c>
      <c r="L221" s="12" t="n">
        <v>300</v>
      </c>
      <c r="M221" s="11" t="s">
        <v>1069</v>
      </c>
      <c r="N221" s="11" t="s">
        <v>1097</v>
      </c>
      <c r="O221" s="10" t="str">
        <f aca="false">IF(COUNTA(B221:N221)=0,"",IF(OR(B221="",C221="",D221="",E221="",G221="",H221="",I221="",J221=""),"ناقص","OK"))</f>
        <v>OK</v>
      </c>
      <c r="P221" s="10" t="str">
        <f aca="false">IF(D221="","",B221&amp;" "&amp;C221&amp;" "&amp;D221&amp;" "&amp;E221&amp;" "&amp;F221&amp;" "&amp;G221)</f>
        <v>إطارات عدم تدوير الكاوتش تآكل مختلف بين الكاوتش الأمامي والخلفي تدوير الكاوتش، تآكل مختلف، أمامي وخلفي لا توجد لمبة عدم تدوير الكاوتش دوريًا</v>
      </c>
    </row>
    <row r="222" customFormat="false" ht="35.05" hidden="false" customHeight="false" outlineLevel="0" collapsed="false">
      <c r="A222" s="10" t="s">
        <v>2439</v>
      </c>
      <c r="B222" s="11" t="s">
        <v>2440</v>
      </c>
      <c r="C222" s="11" t="s">
        <v>2441</v>
      </c>
      <c r="D222" s="11" t="s">
        <v>2442</v>
      </c>
      <c r="E222" s="11" t="s">
        <v>2443</v>
      </c>
      <c r="F222" s="11" t="s">
        <v>1075</v>
      </c>
      <c r="G222" s="11" t="s">
        <v>2444</v>
      </c>
      <c r="H222" s="11" t="s">
        <v>2445</v>
      </c>
      <c r="I222" s="11" t="s">
        <v>1067</v>
      </c>
      <c r="J222" s="11" t="s">
        <v>1068</v>
      </c>
      <c r="K222" s="12" t="n">
        <v>1500</v>
      </c>
      <c r="L222" s="12" t="n">
        <v>20000</v>
      </c>
      <c r="M222" s="11" t="s">
        <v>78</v>
      </c>
      <c r="N222" s="11" t="s">
        <v>1070</v>
      </c>
      <c r="O222" s="10" t="str">
        <f aca="false">IF(COUNTA(B222:N222)=0,"",IF(OR(B222="",C222="",D222="",E222="",G222="",H222="",I222="",J222=""),"ناقص","OK"))</f>
        <v>OK</v>
      </c>
      <c r="P222" s="10" t="str">
        <f aca="false">IF(D222="","",B222&amp;" "&amp;C222&amp;" "&amp;D222&amp;" "&amp;E222&amp;" "&amp;F222&amp;" "&amp;G222)</f>
        <v>ناقل حركة الجير الأوتوماتيك الجير الأوتوماتيك بيخبط أو بيتأخر في التعشيق جير، مش بيعشق، خبطة، تأخير، الأوتوماتيك لا توجد لمبة زيت جير قديم أو عطل صمامات أو حساسات</v>
      </c>
    </row>
    <row r="223" customFormat="false" ht="39.55" hidden="false" customHeight="false" outlineLevel="0" collapsed="false">
      <c r="A223" s="10" t="s">
        <v>2446</v>
      </c>
      <c r="B223" s="11" t="s">
        <v>2440</v>
      </c>
      <c r="C223" s="11" t="s">
        <v>2447</v>
      </c>
      <c r="D223" s="11" t="s">
        <v>2448</v>
      </c>
      <c r="E223" s="11" t="s">
        <v>2449</v>
      </c>
      <c r="F223" s="11" t="s">
        <v>1075</v>
      </c>
      <c r="G223" s="11" t="s">
        <v>2450</v>
      </c>
      <c r="H223" s="11" t="s">
        <v>2451</v>
      </c>
      <c r="I223" s="11" t="s">
        <v>1067</v>
      </c>
      <c r="J223" s="11" t="s">
        <v>1068</v>
      </c>
      <c r="K223" s="12" t="n">
        <v>3000</v>
      </c>
      <c r="L223" s="12" t="n">
        <v>25000</v>
      </c>
      <c r="M223" s="11" t="s">
        <v>135</v>
      </c>
      <c r="N223" s="11" t="s">
        <v>1070</v>
      </c>
      <c r="O223" s="10" t="str">
        <f aca="false">IF(COUNTA(B223:N223)=0,"",IF(OR(B223="",C223="",D223="",E223="",G223="",H223="",I223="",J223=""),"ناقص","OK"))</f>
        <v>OK</v>
      </c>
      <c r="P223" s="10" t="str">
        <f aca="false">IF(D223="","",B223&amp;" "&amp;C223&amp;" "&amp;D223&amp;" "&amp;E223&amp;" "&amp;F223&amp;" "&amp;G223)</f>
        <v>ناقل حركة كلتش DCT / DSG رعشة عند الانطلاق في الجير DCT رعشة عند الانطلاق، DSG، دبل كلتش، الجير بيهز لا توجد لمبة تآكل الكلتش أو وحدة التحكم</v>
      </c>
    </row>
    <row r="224" customFormat="false" ht="35.05" hidden="false" customHeight="false" outlineLevel="0" collapsed="false">
      <c r="A224" s="10" t="s">
        <v>2452</v>
      </c>
      <c r="B224" s="11" t="s">
        <v>2440</v>
      </c>
      <c r="C224" s="11" t="s">
        <v>2453</v>
      </c>
      <c r="D224" s="11" t="s">
        <v>2454</v>
      </c>
      <c r="E224" s="11" t="s">
        <v>2455</v>
      </c>
      <c r="F224" s="11" t="s">
        <v>1075</v>
      </c>
      <c r="G224" s="11" t="s">
        <v>2456</v>
      </c>
      <c r="H224" s="11" t="s">
        <v>2457</v>
      </c>
      <c r="I224" s="11" t="s">
        <v>1067</v>
      </c>
      <c r="J224" s="11" t="s">
        <v>1068</v>
      </c>
      <c r="K224" s="12" t="n">
        <v>2500</v>
      </c>
      <c r="L224" s="12" t="n">
        <v>9000</v>
      </c>
      <c r="M224" s="11" t="s">
        <v>250</v>
      </c>
      <c r="N224" s="11" t="s">
        <v>1070</v>
      </c>
      <c r="O224" s="10" t="str">
        <f aca="false">IF(COUNTA(B224:N224)=0,"",IF(OR(B224="",C224="",D224="",E224="",G224="",H224="",I224="",J224=""),"ناقص","OK"))</f>
        <v>OK</v>
      </c>
      <c r="P224" s="10" t="str">
        <f aca="false">IF(D224="","",B224&amp;" "&amp;C224&amp;" "&amp;D224&amp;" "&amp;E224&amp;" "&amp;F224&amp;" "&amp;G224)</f>
        <v>ناقل حركة الدبرياج (الكلتش) الدبرياج بينزلق والدوران بيعلى والسرعة لأ دبرياج، الكلتش بيحرق، بينزلق، الدوران بيعلى لا توجد لمبة تآكل الدبرياج</v>
      </c>
    </row>
    <row r="225" customFormat="false" ht="23.85" hidden="false" customHeight="false" outlineLevel="0" collapsed="false">
      <c r="A225" s="10" t="s">
        <v>2458</v>
      </c>
      <c r="B225" s="11" t="s">
        <v>2440</v>
      </c>
      <c r="C225" s="11" t="s">
        <v>2459</v>
      </c>
      <c r="D225" s="11" t="s">
        <v>2460</v>
      </c>
      <c r="E225" s="11" t="s">
        <v>2461</v>
      </c>
      <c r="F225" s="11" t="s">
        <v>1075</v>
      </c>
      <c r="G225" s="11" t="s">
        <v>2462</v>
      </c>
      <c r="H225" s="11" t="s">
        <v>2463</v>
      </c>
      <c r="I225" s="11" t="s">
        <v>1067</v>
      </c>
      <c r="J225" s="11" t="s">
        <v>1068</v>
      </c>
      <c r="K225" s="12" t="n">
        <v>500</v>
      </c>
      <c r="L225" s="12" t="n">
        <v>5000</v>
      </c>
      <c r="M225" s="11" t="s">
        <v>250</v>
      </c>
      <c r="N225" s="11" t="s">
        <v>1070</v>
      </c>
      <c r="O225" s="10" t="str">
        <f aca="false">IF(COUNTA(B225:N225)=0,"",IF(OR(B225="",C225="",D225="",E225="",G225="",H225="",I225="",J225=""),"ناقص","OK"))</f>
        <v>OK</v>
      </c>
      <c r="P225" s="10" t="str">
        <f aca="false">IF(D225="","",B225&amp;" "&amp;C225&amp;" "&amp;D225&amp;" "&amp;E225&amp;" "&amp;F225&amp;" "&amp;G225)</f>
        <v>ناقل حركة الجير المانيوال صعوبة تعشيق الجير المانيوال الجير مش بيدخل، بيزيق، عشق صعب لا توجد لمبة زيت جير أو كابل أو دبرياج</v>
      </c>
    </row>
    <row r="226" customFormat="false" ht="23.85" hidden="false" customHeight="false" outlineLevel="0" collapsed="false">
      <c r="A226" s="10" t="s">
        <v>2464</v>
      </c>
      <c r="B226" s="11" t="s">
        <v>2440</v>
      </c>
      <c r="C226" s="11" t="s">
        <v>2465</v>
      </c>
      <c r="D226" s="11" t="s">
        <v>2466</v>
      </c>
      <c r="E226" s="11" t="s">
        <v>2467</v>
      </c>
      <c r="F226" s="11" t="s">
        <v>1075</v>
      </c>
      <c r="G226" s="11" t="s">
        <v>2468</v>
      </c>
      <c r="H226" s="11" t="s">
        <v>2469</v>
      </c>
      <c r="I226" s="11" t="s">
        <v>1067</v>
      </c>
      <c r="J226" s="11" t="s">
        <v>1068</v>
      </c>
      <c r="K226" s="12" t="n">
        <v>500</v>
      </c>
      <c r="L226" s="12" t="n">
        <v>4000</v>
      </c>
      <c r="M226" s="11" t="s">
        <v>1069</v>
      </c>
      <c r="N226" s="11" t="s">
        <v>1070</v>
      </c>
      <c r="O226" s="10" t="str">
        <f aca="false">IF(COUNTA(B226:N226)=0,"",IF(OR(B226="",C226="",D226="",E226="",G226="",H226="",I226="",J226=""),"ناقص","OK"))</f>
        <v>OK</v>
      </c>
      <c r="P226" s="10" t="str">
        <f aca="false">IF(D226="","",B226&amp;" "&amp;C226&amp;" "&amp;D226&amp;" "&amp;E226&amp;" "&amp;F226&amp;" "&amp;G226)</f>
        <v>ناقل حركة جوانات الجير تسريب زيت تحت الجير زيت أحمر، بقعة، تسريب جير لا توجد لمبة تلف جوانات أو سيل الجير</v>
      </c>
    </row>
    <row r="227" customFormat="false" ht="35.05" hidden="false" customHeight="false" outlineLevel="0" collapsed="false">
      <c r="A227" s="10" t="s">
        <v>2470</v>
      </c>
      <c r="B227" s="11" t="s">
        <v>2440</v>
      </c>
      <c r="C227" s="11" t="s">
        <v>2471</v>
      </c>
      <c r="D227" s="11" t="s">
        <v>2472</v>
      </c>
      <c r="E227" s="11" t="s">
        <v>2473</v>
      </c>
      <c r="F227" s="11" t="s">
        <v>1075</v>
      </c>
      <c r="G227" s="11" t="s">
        <v>2474</v>
      </c>
      <c r="H227" s="11" t="s">
        <v>2475</v>
      </c>
      <c r="I227" s="11" t="s">
        <v>1067</v>
      </c>
      <c r="J227" s="11" t="s">
        <v>1068</v>
      </c>
      <c r="K227" s="12" t="n">
        <v>1200</v>
      </c>
      <c r="L227" s="12" t="n">
        <v>5000</v>
      </c>
      <c r="M227" s="11" t="s">
        <v>78</v>
      </c>
      <c r="N227" s="11" t="s">
        <v>1070</v>
      </c>
      <c r="O227" s="10" t="str">
        <f aca="false">IF(COUNTA(B227:N227)=0,"",IF(OR(B227="",C227="",D227="",E227="",G227="",H227="",I227="",J227=""),"ناقص","OK"))</f>
        <v>OK</v>
      </c>
      <c r="P227" s="10" t="str">
        <f aca="false">IF(D227="","",B227&amp;" "&amp;C227&amp;" "&amp;D227&amp;" "&amp;E227&amp;" "&amp;F227&amp;" "&amp;G227)</f>
        <v>ناقل حركة زيت الجير الأوتوماتيك ريحة محروقة من زيت الجير والتعشيق بطيء ريحة محروقة، زيت الجير، جير بيسخن، تعشيق بطيء لا توجد لمبة زيت قديم أو مستواه ناقص أو سخونة</v>
      </c>
    </row>
    <row r="228" customFormat="false" ht="35.05" hidden="false" customHeight="false" outlineLevel="0" collapsed="false">
      <c r="A228" s="10" t="s">
        <v>2476</v>
      </c>
      <c r="B228" s="11" t="s">
        <v>2440</v>
      </c>
      <c r="C228" s="11" t="s">
        <v>2477</v>
      </c>
      <c r="D228" s="11" t="s">
        <v>2478</v>
      </c>
      <c r="E228" s="11" t="s">
        <v>2479</v>
      </c>
      <c r="F228" s="11" t="s">
        <v>1075</v>
      </c>
      <c r="G228" s="11" t="s">
        <v>2480</v>
      </c>
      <c r="H228" s="11" t="s">
        <v>2481</v>
      </c>
      <c r="I228" s="11" t="s">
        <v>1117</v>
      </c>
      <c r="J228" s="11" t="s">
        <v>1068</v>
      </c>
      <c r="K228" s="12" t="n">
        <v>8000</v>
      </c>
      <c r="L228" s="12" t="n">
        <v>35000</v>
      </c>
      <c r="M228" s="11" t="s">
        <v>78</v>
      </c>
      <c r="N228" s="11" t="s">
        <v>1118</v>
      </c>
      <c r="O228" s="10" t="str">
        <f aca="false">IF(COUNTA(B228:N228)=0,"",IF(OR(B228="",C228="",D228="",E228="",G228="",H228="",I228="",J228=""),"ناقص","OK"))</f>
        <v>OK</v>
      </c>
      <c r="P228" s="10" t="str">
        <f aca="false">IF(D228="","",B228&amp;" "&amp;C228&amp;" "&amp;D228&amp;" "&amp;E228&amp;" "&amp;F228&amp;" "&amp;G228)</f>
        <v>ناقل حركة الجير الأوتوماتيك (الانزلاق) الدوران يعلى والسرعة ما تزيدش الجير بينزلق، الدوران يعلى، مفيش سرعة، تزحلق لا توجد لمبة تآكل أقراص الجير أو ضغط زيت منخفض</v>
      </c>
    </row>
    <row r="229" customFormat="false" ht="39.55" hidden="false" customHeight="false" outlineLevel="0" collapsed="false">
      <c r="A229" s="10" t="s">
        <v>2482</v>
      </c>
      <c r="B229" s="11" t="s">
        <v>2440</v>
      </c>
      <c r="C229" s="11" t="s">
        <v>2483</v>
      </c>
      <c r="D229" s="11" t="s">
        <v>2484</v>
      </c>
      <c r="E229" s="11" t="s">
        <v>2485</v>
      </c>
      <c r="F229" s="11" t="s">
        <v>1075</v>
      </c>
      <c r="G229" s="11" t="s">
        <v>2486</v>
      </c>
      <c r="H229" s="11" t="s">
        <v>2487</v>
      </c>
      <c r="I229" s="11" t="s">
        <v>1067</v>
      </c>
      <c r="J229" s="11" t="s">
        <v>1068</v>
      </c>
      <c r="K229" s="12" t="n">
        <v>1500</v>
      </c>
      <c r="L229" s="12" t="n">
        <v>12000</v>
      </c>
      <c r="M229" s="11" t="s">
        <v>78</v>
      </c>
      <c r="N229" s="11" t="s">
        <v>1070</v>
      </c>
      <c r="O229" s="10" t="str">
        <f aca="false">IF(COUNTA(B229:N229)=0,"",IF(OR(B229="",C229="",D229="",E229="",G229="",H229="",I229="",J229=""),"ناقص","OK"))</f>
        <v>OK</v>
      </c>
      <c r="P229" s="10" t="str">
        <f aca="false">IF(D229="","",B229&amp;" "&amp;C229&amp;" "&amp;D229&amp;" "&amp;E229&amp;" "&amp;F229&amp;" "&amp;G229)</f>
        <v>ناقل حركة تعشيق D و R تأخير ثانيتين قبل ما العربية تتحرك لما أنقل D أو R تأخير التعشيق، D و R، الجير بطيء، ماشي بعد ثانية لا توجد لمبة ضغط زيت منخفض أو عطل صمامات</v>
      </c>
    </row>
    <row r="230" customFormat="false" ht="35.05" hidden="false" customHeight="false" outlineLevel="0" collapsed="false">
      <c r="A230" s="10" t="s">
        <v>2488</v>
      </c>
      <c r="B230" s="11" t="s">
        <v>2440</v>
      </c>
      <c r="C230" s="11" t="s">
        <v>2489</v>
      </c>
      <c r="D230" s="11" t="s">
        <v>2490</v>
      </c>
      <c r="E230" s="11" t="s">
        <v>2491</v>
      </c>
      <c r="F230" s="11" t="s">
        <v>2492</v>
      </c>
      <c r="G230" s="11" t="s">
        <v>2493</v>
      </c>
      <c r="H230" s="11" t="s">
        <v>2494</v>
      </c>
      <c r="I230" s="11" t="s">
        <v>1117</v>
      </c>
      <c r="J230" s="11" t="s">
        <v>1068</v>
      </c>
      <c r="K230" s="12" t="n">
        <v>1000</v>
      </c>
      <c r="L230" s="12" t="n">
        <v>15000</v>
      </c>
      <c r="M230" s="11" t="s">
        <v>78</v>
      </c>
      <c r="N230" s="11" t="s">
        <v>1118</v>
      </c>
      <c r="O230" s="10" t="str">
        <f aca="false">IF(COUNTA(B230:N230)=0,"",IF(OR(B230="",C230="",D230="",E230="",G230="",H230="",I230="",J230=""),"ناقص","OK"))</f>
        <v>OK</v>
      </c>
      <c r="P230" s="10" t="str">
        <f aca="false">IF(D230="","",B230&amp;" "&amp;C230&amp;" "&amp;D230&amp;" "&amp;E230&amp;" "&amp;F230&amp;" "&amp;G230)</f>
        <v>ناقل حركة وضع الأمان للجير لمبة الجير منورة والعربية على سرعة واحدة فقط وضع الأمان، الجير على سرعة واحدة، لمبة الجير لمبة الجير عطل حساس أو سولينويد أو وحدة التحكم</v>
      </c>
    </row>
    <row r="231" customFormat="false" ht="35.05" hidden="false" customHeight="false" outlineLevel="0" collapsed="false">
      <c r="A231" s="10" t="s">
        <v>2495</v>
      </c>
      <c r="B231" s="11" t="s">
        <v>2440</v>
      </c>
      <c r="C231" s="11" t="s">
        <v>2496</v>
      </c>
      <c r="D231" s="11" t="s">
        <v>2497</v>
      </c>
      <c r="E231" s="11" t="s">
        <v>2498</v>
      </c>
      <c r="F231" s="11" t="s">
        <v>2492</v>
      </c>
      <c r="G231" s="11" t="s">
        <v>2499</v>
      </c>
      <c r="H231" s="11" t="s">
        <v>1609</v>
      </c>
      <c r="I231" s="11" t="s">
        <v>1067</v>
      </c>
      <c r="J231" s="11" t="s">
        <v>1068</v>
      </c>
      <c r="K231" s="12" t="n">
        <v>500</v>
      </c>
      <c r="L231" s="12" t="n">
        <v>3000</v>
      </c>
      <c r="M231" s="11" t="s">
        <v>78</v>
      </c>
      <c r="N231" s="11" t="s">
        <v>1070</v>
      </c>
      <c r="O231" s="10" t="str">
        <f aca="false">IF(COUNTA(B231:N231)=0,"",IF(OR(B231="",C231="",D231="",E231="",G231="",H231="",I231="",J231=""),"ناقص","OK"))</f>
        <v>OK</v>
      </c>
      <c r="P231" s="10" t="str">
        <f aca="false">IF(D231="","",B231&amp;" "&amp;C231&amp;" "&amp;D231&amp;" "&amp;E231&amp;" "&amp;F231&amp;" "&amp;G231)</f>
        <v>ناقل حركة حساس سرعة الجير عداد السرعة مش دقيق وتغيير السرعات عشوائي حساس سرعة الجير، عداد السرعة، تغيير عشوائي لمبة الجير عطل حساس سرعة الدخول أو الخروج</v>
      </c>
    </row>
    <row r="232" customFormat="false" ht="23.85" hidden="false" customHeight="false" outlineLevel="0" collapsed="false">
      <c r="A232" s="10" t="s">
        <v>2500</v>
      </c>
      <c r="B232" s="11" t="s">
        <v>2440</v>
      </c>
      <c r="C232" s="11" t="s">
        <v>2501</v>
      </c>
      <c r="D232" s="11" t="s">
        <v>2502</v>
      </c>
      <c r="E232" s="11" t="s">
        <v>2503</v>
      </c>
      <c r="F232" s="11" t="s">
        <v>1075</v>
      </c>
      <c r="G232" s="11" t="s">
        <v>2504</v>
      </c>
      <c r="H232" s="11" t="s">
        <v>2505</v>
      </c>
      <c r="I232" s="11" t="s">
        <v>1067</v>
      </c>
      <c r="J232" s="11" t="s">
        <v>1068</v>
      </c>
      <c r="K232" s="12" t="n">
        <v>800</v>
      </c>
      <c r="L232" s="12" t="n">
        <v>3500</v>
      </c>
      <c r="M232" s="11" t="s">
        <v>78</v>
      </c>
      <c r="N232" s="11" t="s">
        <v>1070</v>
      </c>
      <c r="O232" s="10" t="str">
        <f aca="false">IF(COUNTA(B232:N232)=0,"",IF(OR(B232="",C232="",D232="",E232="",G232="",H232="",I232="",J232=""),"ناقص","OK"))</f>
        <v>OK</v>
      </c>
      <c r="P232" s="10" t="str">
        <f aca="false">IF(D232="","",B232&amp;" "&amp;C232&amp;" "&amp;D232&amp;" "&amp;E232&amp;" "&amp;F232&amp;" "&amp;G232)</f>
        <v>ناقل حركة فلتر الجير الجير بيعمل صوت أزيز وبيسخن بعد فترة قيادة أزيز الجير، فلتر الجير، سخونة الجير لا توجد لمبة انسداد فلتر الجير</v>
      </c>
    </row>
    <row r="233" customFormat="false" ht="35.05" hidden="false" customHeight="false" outlineLevel="0" collapsed="false">
      <c r="A233" s="10" t="s">
        <v>2506</v>
      </c>
      <c r="B233" s="11" t="s">
        <v>2440</v>
      </c>
      <c r="C233" s="11" t="s">
        <v>2507</v>
      </c>
      <c r="D233" s="11" t="s">
        <v>2508</v>
      </c>
      <c r="E233" s="11" t="s">
        <v>2509</v>
      </c>
      <c r="F233" s="11" t="s">
        <v>1075</v>
      </c>
      <c r="G233" s="11" t="s">
        <v>2510</v>
      </c>
      <c r="H233" s="11" t="s">
        <v>2511</v>
      </c>
      <c r="I233" s="11" t="s">
        <v>1067</v>
      </c>
      <c r="J233" s="11" t="s">
        <v>1068</v>
      </c>
      <c r="K233" s="12" t="n">
        <v>500</v>
      </c>
      <c r="L233" s="12" t="n">
        <v>4000</v>
      </c>
      <c r="M233" s="11" t="s">
        <v>78</v>
      </c>
      <c r="N233" s="11" t="s">
        <v>1070</v>
      </c>
      <c r="O233" s="10" t="str">
        <f aca="false">IF(COUNTA(B233:N233)=0,"",IF(OR(B233="",C233="",D233="",E233="",G233="",H233="",I233="",J233=""),"ناقص","OK"))</f>
        <v>OK</v>
      </c>
      <c r="P233" s="10" t="str">
        <f aca="false">IF(D233="","",B233&amp;" "&amp;C233&amp;" "&amp;D233&amp;" "&amp;E233&amp;" "&amp;F233&amp;" "&amp;G233)</f>
        <v>ناقل حركة مبرد زيت الجير تسريب زيت أحمر من الأمام زيت أحمر، مبرد الجير، تسريب من الأمام، خرطوم الجير لا توجد لمبة تسريب مبرد أو خرطوم زيت الجير</v>
      </c>
    </row>
    <row r="234" customFormat="false" ht="37.3" hidden="false" customHeight="false" outlineLevel="0" collapsed="false">
      <c r="A234" s="10" t="s">
        <v>2512</v>
      </c>
      <c r="B234" s="11" t="s">
        <v>2440</v>
      </c>
      <c r="C234" s="11" t="s">
        <v>2513</v>
      </c>
      <c r="D234" s="11" t="s">
        <v>2514</v>
      </c>
      <c r="E234" s="11" t="s">
        <v>2515</v>
      </c>
      <c r="F234" s="11" t="s">
        <v>1075</v>
      </c>
      <c r="G234" s="11" t="s">
        <v>2516</v>
      </c>
      <c r="H234" s="11" t="s">
        <v>2517</v>
      </c>
      <c r="I234" s="11" t="s">
        <v>1117</v>
      </c>
      <c r="J234" s="11" t="s">
        <v>1068</v>
      </c>
      <c r="K234" s="12" t="n">
        <v>4000</v>
      </c>
      <c r="L234" s="12" t="n">
        <v>20000</v>
      </c>
      <c r="M234" s="11" t="s">
        <v>78</v>
      </c>
      <c r="N234" s="11" t="s">
        <v>1118</v>
      </c>
      <c r="O234" s="10" t="str">
        <f aca="false">IF(COUNTA(B234:N234)=0,"",IF(OR(B234="",C234="",D234="",E234="",G234="",H234="",I234="",J234=""),"ناقص","OK"))</f>
        <v>OK</v>
      </c>
      <c r="P234" s="10" t="str">
        <f aca="false">IF(D234="","",B234&amp;" "&amp;C234&amp;" "&amp;D234&amp;" "&amp;E234&amp;" "&amp;F234&amp;" "&amp;G234)</f>
        <v>ناقل حركة محول العزم (Torque converter) رعشة عند السرعة 40 إلى 60 كم/س رعشة 40 إلى 60، محول العزم، تورك كونفرتر لا توجد لمبة تلف قفل محول العزم</v>
      </c>
    </row>
    <row r="235" customFormat="false" ht="35.05" hidden="false" customHeight="false" outlineLevel="0" collapsed="false">
      <c r="A235" s="10" t="s">
        <v>2518</v>
      </c>
      <c r="B235" s="11" t="s">
        <v>2440</v>
      </c>
      <c r="C235" s="11" t="s">
        <v>2519</v>
      </c>
      <c r="D235" s="11" t="s">
        <v>2520</v>
      </c>
      <c r="E235" s="11" t="s">
        <v>2521</v>
      </c>
      <c r="F235" s="11" t="s">
        <v>2492</v>
      </c>
      <c r="G235" s="11" t="s">
        <v>2522</v>
      </c>
      <c r="H235" s="11" t="s">
        <v>2523</v>
      </c>
      <c r="I235" s="11" t="s">
        <v>1067</v>
      </c>
      <c r="J235" s="11" t="s">
        <v>1068</v>
      </c>
      <c r="K235" s="12" t="n">
        <v>2500</v>
      </c>
      <c r="L235" s="12" t="n">
        <v>12000</v>
      </c>
      <c r="M235" s="11" t="s">
        <v>78</v>
      </c>
      <c r="N235" s="11" t="s">
        <v>1070</v>
      </c>
      <c r="O235" s="10" t="str">
        <f aca="false">IF(COUNTA(B235:N235)=0,"",IF(OR(B235="",C235="",D235="",E235="",G235="",H235="",I235="",J235=""),"ناقص","OK"))</f>
        <v>OK</v>
      </c>
      <c r="P235" s="10" t="str">
        <f aca="false">IF(D235="","",B235&amp;" "&amp;C235&amp;" "&amp;D235&amp;" "&amp;E235&amp;" "&amp;F235&amp;" "&amp;G235)</f>
        <v>ناقل حركة سولينويد الجير الجير بيعشق عنيف أو بيتأخر في بعض السرعات سولينويد، تعشيق عنيف، تأخر في السرعات، صمام الجير لمبة الجير عطل سولينويد في وحدة الصمامات</v>
      </c>
    </row>
    <row r="236" customFormat="false" ht="39.55" hidden="false" customHeight="false" outlineLevel="0" collapsed="false">
      <c r="A236" s="10" t="s">
        <v>2524</v>
      </c>
      <c r="B236" s="11" t="s">
        <v>2440</v>
      </c>
      <c r="C236" s="11" t="s">
        <v>2525</v>
      </c>
      <c r="D236" s="11" t="s">
        <v>2526</v>
      </c>
      <c r="E236" s="11" t="s">
        <v>2527</v>
      </c>
      <c r="F236" s="11" t="s">
        <v>2492</v>
      </c>
      <c r="G236" s="11" t="s">
        <v>2528</v>
      </c>
      <c r="H236" s="11" t="s">
        <v>2529</v>
      </c>
      <c r="I236" s="11" t="s">
        <v>1117</v>
      </c>
      <c r="J236" s="11" t="s">
        <v>1068</v>
      </c>
      <c r="K236" s="12" t="n">
        <v>6000</v>
      </c>
      <c r="L236" s="12" t="n">
        <v>30000</v>
      </c>
      <c r="M236" s="11" t="s">
        <v>135</v>
      </c>
      <c r="N236" s="11" t="s">
        <v>1118</v>
      </c>
      <c r="O236" s="10" t="str">
        <f aca="false">IF(COUNTA(B236:N236)=0,"",IF(OR(B236="",C236="",D236="",E236="",G236="",H236="",I236="",J236=""),"ناقص","OK"))</f>
        <v>OK</v>
      </c>
      <c r="P236" s="10" t="str">
        <f aca="false">IF(D236="","",B236&amp;" "&amp;C236&amp;" "&amp;D236&amp;" "&amp;E236&amp;" "&amp;F236&amp;" "&amp;G236)</f>
        <v>ناقل حركة الميكاترونيك (DCT) لمبة الجير وتعشيق خشن في الجير DCT ميكاترونيك، DCT، تعشيق خشن، لمبة الجير لمبة الجير عطل وحدة الميكاترونيك</v>
      </c>
    </row>
    <row r="237" customFormat="false" ht="28.35" hidden="false" customHeight="false" outlineLevel="0" collapsed="false">
      <c r="A237" s="10" t="s">
        <v>2530</v>
      </c>
      <c r="B237" s="11" t="s">
        <v>2440</v>
      </c>
      <c r="C237" s="11" t="s">
        <v>2531</v>
      </c>
      <c r="D237" s="11" t="s">
        <v>2532</v>
      </c>
      <c r="E237" s="11" t="s">
        <v>2533</v>
      </c>
      <c r="F237" s="11" t="s">
        <v>2492</v>
      </c>
      <c r="G237" s="11" t="s">
        <v>2534</v>
      </c>
      <c r="H237" s="11" t="s">
        <v>2535</v>
      </c>
      <c r="I237" s="11" t="s">
        <v>1067</v>
      </c>
      <c r="J237" s="11" t="s">
        <v>1068</v>
      </c>
      <c r="K237" s="12" t="n">
        <v>1500</v>
      </c>
      <c r="L237" s="12" t="n">
        <v>25000</v>
      </c>
      <c r="M237" s="11" t="s">
        <v>230</v>
      </c>
      <c r="N237" s="11" t="s">
        <v>1070</v>
      </c>
      <c r="O237" s="10" t="str">
        <f aca="false">IF(COUNTA(B237:N237)=0,"",IF(OR(B237="",C237="",D237="",E237="",G237="",H237="",I237="",J237=""),"ناقص","OK"))</f>
        <v>OK</v>
      </c>
      <c r="P237" s="10" t="str">
        <f aca="false">IF(D237="","",B237&amp;" "&amp;C237&amp;" "&amp;D237&amp;" "&amp;E237&amp;" "&amp;F237&amp;" "&amp;G237)</f>
        <v>ناقل حركة جير CVT أزيز وبطء استجابة في جير CVT CVT، أزيز، بطء، جير أوتوماتيك مستمر لمبة الجير زيت CVT قديم أو تآكل السير</v>
      </c>
    </row>
    <row r="238" customFormat="false" ht="39.55" hidden="false" customHeight="false" outlineLevel="0" collapsed="false">
      <c r="A238" s="10" t="s">
        <v>2536</v>
      </c>
      <c r="B238" s="11" t="s">
        <v>2440</v>
      </c>
      <c r="C238" s="11" t="s">
        <v>2537</v>
      </c>
      <c r="D238" s="11" t="s">
        <v>2538</v>
      </c>
      <c r="E238" s="11" t="s">
        <v>2539</v>
      </c>
      <c r="F238" s="11" t="s">
        <v>2492</v>
      </c>
      <c r="G238" s="11" t="s">
        <v>2540</v>
      </c>
      <c r="H238" s="11" t="s">
        <v>2541</v>
      </c>
      <c r="I238" s="11" t="s">
        <v>1117</v>
      </c>
      <c r="J238" s="11" t="s">
        <v>1068</v>
      </c>
      <c r="K238" s="12" t="n">
        <v>8000</v>
      </c>
      <c r="L238" s="12" t="n">
        <v>40000</v>
      </c>
      <c r="M238" s="11" t="s">
        <v>230</v>
      </c>
      <c r="N238" s="11" t="s">
        <v>1118</v>
      </c>
      <c r="O238" s="10" t="str">
        <f aca="false">IF(COUNTA(B238:N238)=0,"",IF(OR(B238="",C238="",D238="",E238="",G238="",H238="",I238="",J238=""),"ناقص","OK"))</f>
        <v>OK</v>
      </c>
      <c r="P238" s="10" t="str">
        <f aca="false">IF(D238="","",B238&amp;" "&amp;C238&amp;" "&amp;D238&amp;" "&amp;E238&amp;" "&amp;F238&amp;" "&amp;G238)</f>
        <v>ناقل حركة سير CVT العربية بتتزحلق وبتفقد القوة مع عطل CVT سير CVT، بتتزحلق، فقد قوة، تقطيع جير لمبة الجير تآكل السير أو البكرات</v>
      </c>
    </row>
    <row r="239" customFormat="false" ht="35.05" hidden="false" customHeight="false" outlineLevel="0" collapsed="false">
      <c r="A239" s="10" t="s">
        <v>2542</v>
      </c>
      <c r="B239" s="11" t="s">
        <v>2440</v>
      </c>
      <c r="C239" s="11" t="s">
        <v>2543</v>
      </c>
      <c r="D239" s="11" t="s">
        <v>2544</v>
      </c>
      <c r="E239" s="11" t="s">
        <v>2545</v>
      </c>
      <c r="F239" s="11" t="s">
        <v>1075</v>
      </c>
      <c r="G239" s="11" t="s">
        <v>2546</v>
      </c>
      <c r="H239" s="11" t="s">
        <v>2105</v>
      </c>
      <c r="I239" s="11" t="s">
        <v>1067</v>
      </c>
      <c r="J239" s="11" t="s">
        <v>1068</v>
      </c>
      <c r="K239" s="12" t="n">
        <v>300</v>
      </c>
      <c r="L239" s="12" t="n">
        <v>1500</v>
      </c>
      <c r="M239" s="11" t="s">
        <v>250</v>
      </c>
      <c r="N239" s="11" t="s">
        <v>1070</v>
      </c>
      <c r="O239" s="10" t="str">
        <f aca="false">IF(COUNTA(B239:N239)=0,"",IF(OR(B239="",C239="",D239="",E239="",G239="",H239="",I239="",J239=""),"ناقص","OK"))</f>
        <v>OK</v>
      </c>
      <c r="P239" s="10" t="str">
        <f aca="false">IF(D239="","",B239&amp;" "&amp;C239&amp;" "&amp;D239&amp;" "&amp;E239&amp;" "&amp;F239&amp;" "&amp;G239)</f>
        <v>ناقل حركة كابل الجير ناقل الحركة مش بيدخل الغيارات بسهولة كابل الجير، الغيارات صعبة، كابل مرتخي لا توجد لمبة تمدد أو انفلات كابل التعشيق</v>
      </c>
    </row>
    <row r="240" customFormat="false" ht="35.05" hidden="false" customHeight="false" outlineLevel="0" collapsed="false">
      <c r="A240" s="10" t="s">
        <v>2547</v>
      </c>
      <c r="B240" s="11" t="s">
        <v>2440</v>
      </c>
      <c r="C240" s="11" t="s">
        <v>2548</v>
      </c>
      <c r="D240" s="11" t="s">
        <v>2549</v>
      </c>
      <c r="E240" s="11" t="s">
        <v>2550</v>
      </c>
      <c r="F240" s="11" t="s">
        <v>1075</v>
      </c>
      <c r="G240" s="11" t="s">
        <v>2551</v>
      </c>
      <c r="H240" s="11" t="s">
        <v>2552</v>
      </c>
      <c r="I240" s="11" t="s">
        <v>1067</v>
      </c>
      <c r="J240" s="11" t="s">
        <v>1068</v>
      </c>
      <c r="K240" s="12" t="n">
        <v>2500</v>
      </c>
      <c r="L240" s="12" t="n">
        <v>7000</v>
      </c>
      <c r="M240" s="11" t="s">
        <v>250</v>
      </c>
      <c r="N240" s="11" t="s">
        <v>1070</v>
      </c>
      <c r="O240" s="10" t="str">
        <f aca="false">IF(COUNTA(B240:N240)=0,"",IF(OR(B240="",C240="",D240="",E240="",G240="",H240="",I240="",J240=""),"ناقص","OK"))</f>
        <v>OK</v>
      </c>
      <c r="P240" s="10" t="str">
        <f aca="false">IF(D240="","",B240&amp;" "&amp;C240&amp;" "&amp;D240&amp;" "&amp;E240&amp;" "&amp;F240&amp;" "&amp;G240)</f>
        <v>ناقل حركة رولمان الدبرياج صوت صفير عند الضغط على الدبرياج رولمان الدبرياج، صفير مع الدبرياج، صوت عند الضغط لا توجد لمبة تآكل رولمان فصل الدبرياج</v>
      </c>
    </row>
    <row r="241" customFormat="false" ht="23.85" hidden="false" customHeight="false" outlineLevel="0" collapsed="false">
      <c r="A241" s="10" t="s">
        <v>2553</v>
      </c>
      <c r="B241" s="11" t="s">
        <v>2440</v>
      </c>
      <c r="C241" s="11" t="s">
        <v>2554</v>
      </c>
      <c r="D241" s="11" t="s">
        <v>2555</v>
      </c>
      <c r="E241" s="11" t="s">
        <v>2556</v>
      </c>
      <c r="F241" s="11" t="s">
        <v>1075</v>
      </c>
      <c r="G241" s="11" t="s">
        <v>2557</v>
      </c>
      <c r="H241" s="11" t="s">
        <v>2558</v>
      </c>
      <c r="I241" s="11" t="s">
        <v>1067</v>
      </c>
      <c r="J241" s="11" t="s">
        <v>1068</v>
      </c>
      <c r="K241" s="12" t="n">
        <v>700</v>
      </c>
      <c r="L241" s="12" t="n">
        <v>3500</v>
      </c>
      <c r="M241" s="11" t="s">
        <v>250</v>
      </c>
      <c r="N241" s="11" t="s">
        <v>1070</v>
      </c>
      <c r="O241" s="10" t="str">
        <f aca="false">IF(COUNTA(B241:N241)=0,"",IF(OR(B241="",C241="",D241="",E241="",G241="",H241="",I241="",J241=""),"ناقص","OK"))</f>
        <v>OK</v>
      </c>
      <c r="P241" s="10" t="str">
        <f aca="false">IF(D241="","",B241&amp;" "&amp;C241&amp;" "&amp;D241&amp;" "&amp;E241&amp;" "&amp;F241&amp;" "&amp;G241)</f>
        <v>ناقل حركة الدبرياج التقيل دواسة الدبرياج تقيلة جدًا دبرياج تقيل، دواسة صعبة، قدمي بتوجع لا توجد لمبة عطل الطلمبة السفلية أو البريشر</v>
      </c>
    </row>
    <row r="242" customFormat="false" ht="35.05" hidden="false" customHeight="false" outlineLevel="0" collapsed="false">
      <c r="A242" s="10" t="s">
        <v>2559</v>
      </c>
      <c r="B242" s="11" t="s">
        <v>2440</v>
      </c>
      <c r="C242" s="11" t="s">
        <v>2560</v>
      </c>
      <c r="D242" s="11" t="s">
        <v>2561</v>
      </c>
      <c r="E242" s="11" t="s">
        <v>2562</v>
      </c>
      <c r="F242" s="11" t="s">
        <v>1075</v>
      </c>
      <c r="G242" s="11" t="s">
        <v>2563</v>
      </c>
      <c r="H242" s="11" t="s">
        <v>2564</v>
      </c>
      <c r="I242" s="11" t="s">
        <v>1067</v>
      </c>
      <c r="J242" s="11" t="s">
        <v>80</v>
      </c>
      <c r="K242" s="12" t="n">
        <v>800</v>
      </c>
      <c r="L242" s="12" t="n">
        <v>3000</v>
      </c>
      <c r="M242" s="11" t="s">
        <v>250</v>
      </c>
      <c r="N242" s="11" t="s">
        <v>1070</v>
      </c>
      <c r="O242" s="10" t="str">
        <f aca="false">IF(COUNTA(B242:N242)=0,"",IF(OR(B242="",C242="",D242="",E242="",G242="",H242="",I242="",J242=""),"ناقص","OK"))</f>
        <v>OK</v>
      </c>
      <c r="P242" s="10" t="str">
        <f aca="false">IF(D242="","",B242&amp;" "&amp;C242&amp;" "&amp;D242&amp;" "&amp;E242&amp;" "&amp;F242&amp;" "&amp;G242)</f>
        <v>ناقل حركة طلمبة الدبرياج دواسة الدبرياج بتنزل ومش بترجع دبرياج بيغطس، زيت الدبرياج، تسريب لا توجد لمبة تلف الطلمبة العلوية أو السفلية</v>
      </c>
    </row>
    <row r="243" customFormat="false" ht="35.05" hidden="false" customHeight="false" outlineLevel="0" collapsed="false">
      <c r="A243" s="10" t="s">
        <v>2565</v>
      </c>
      <c r="B243" s="11" t="s">
        <v>2440</v>
      </c>
      <c r="C243" s="11" t="s">
        <v>2566</v>
      </c>
      <c r="D243" s="11" t="s">
        <v>2567</v>
      </c>
      <c r="E243" s="11" t="s">
        <v>2568</v>
      </c>
      <c r="F243" s="11" t="s">
        <v>1075</v>
      </c>
      <c r="G243" s="11" t="s">
        <v>2569</v>
      </c>
      <c r="H243" s="11" t="s">
        <v>2570</v>
      </c>
      <c r="I243" s="11" t="s">
        <v>1067</v>
      </c>
      <c r="J243" s="11" t="s">
        <v>1068</v>
      </c>
      <c r="K243" s="12" t="n">
        <v>4000</v>
      </c>
      <c r="L243" s="12" t="n">
        <v>15000</v>
      </c>
      <c r="M243" s="11" t="s">
        <v>250</v>
      </c>
      <c r="N243" s="11" t="s">
        <v>1070</v>
      </c>
      <c r="O243" s="10" t="str">
        <f aca="false">IF(COUNTA(B243:N243)=0,"",IF(OR(B243="",C243="",D243="",E243="",G243="",H243="",I243="",J243=""),"ناقص","OK"))</f>
        <v>OK</v>
      </c>
      <c r="P243" s="10" t="str">
        <f aca="false">IF(D243="","",B243&amp;" "&amp;C243&amp;" "&amp;D243&amp;" "&amp;E243&amp;" "&amp;F243&amp;" "&amp;G243)</f>
        <v>ناقل حركة الفلايويل مزدوج الكتلة طقطقة وقت التشغيل أو الإطفاء فلايويل، طقطقة، مزدوج الكتلة، رجة عند الإطفاء لا توجد لمبة تآكل الفلايويل المزدوج</v>
      </c>
    </row>
    <row r="244" customFormat="false" ht="35.05" hidden="false" customHeight="false" outlineLevel="0" collapsed="false">
      <c r="A244" s="10" t="s">
        <v>2571</v>
      </c>
      <c r="B244" s="11" t="s">
        <v>2440</v>
      </c>
      <c r="C244" s="11" t="s">
        <v>2572</v>
      </c>
      <c r="D244" s="11" t="s">
        <v>2573</v>
      </c>
      <c r="E244" s="11" t="s">
        <v>2574</v>
      </c>
      <c r="F244" s="11" t="s">
        <v>1075</v>
      </c>
      <c r="G244" s="11" t="s">
        <v>2575</v>
      </c>
      <c r="H244" s="11" t="s">
        <v>2576</v>
      </c>
      <c r="I244" s="11" t="s">
        <v>1117</v>
      </c>
      <c r="J244" s="11" t="s">
        <v>1068</v>
      </c>
      <c r="K244" s="12" t="n">
        <v>3000</v>
      </c>
      <c r="L244" s="12" t="n">
        <v>12000</v>
      </c>
      <c r="M244" s="11" t="s">
        <v>250</v>
      </c>
      <c r="N244" s="11" t="s">
        <v>1118</v>
      </c>
      <c r="O244" s="10" t="str">
        <f aca="false">IF(COUNTA(B244:N244)=0,"",IF(OR(B244="",C244="",D244="",E244="",G244="",H244="",I244="",J244=""),"ناقص","OK"))</f>
        <v>OK</v>
      </c>
      <c r="P244" s="10" t="str">
        <f aca="false">IF(D244="","",B244&amp;" "&amp;C244&amp;" "&amp;D244&amp;" "&amp;E244&amp;" "&amp;F244&amp;" "&amp;G244)</f>
        <v>ناقل حركة جلبة التعشيق الجير المانيوال بيطلع من السرعة لوحده بيطلع من السرعة، جير بيفصل، جلبة التعشيق لا توجد لمبة تآكل جلبة أو شوكة التعشيق</v>
      </c>
    </row>
    <row r="245" customFormat="false" ht="35.05" hidden="false" customHeight="false" outlineLevel="0" collapsed="false">
      <c r="A245" s="10" t="s">
        <v>2577</v>
      </c>
      <c r="B245" s="11" t="s">
        <v>2440</v>
      </c>
      <c r="C245" s="11" t="s">
        <v>2578</v>
      </c>
      <c r="D245" s="11" t="s">
        <v>2579</v>
      </c>
      <c r="E245" s="11" t="s">
        <v>2580</v>
      </c>
      <c r="F245" s="11" t="s">
        <v>1075</v>
      </c>
      <c r="G245" s="11" t="s">
        <v>2581</v>
      </c>
      <c r="H245" s="11" t="s">
        <v>2582</v>
      </c>
      <c r="I245" s="11" t="s">
        <v>1067</v>
      </c>
      <c r="J245" s="11" t="s">
        <v>1068</v>
      </c>
      <c r="K245" s="12" t="n">
        <v>600</v>
      </c>
      <c r="L245" s="12" t="n">
        <v>8000</v>
      </c>
      <c r="M245" s="11" t="s">
        <v>2583</v>
      </c>
      <c r="N245" s="11" t="s">
        <v>1070</v>
      </c>
      <c r="O245" s="10" t="str">
        <f aca="false">IF(COUNTA(B245:N245)=0,"",IF(OR(B245="",C245="",D245="",E245="",G245="",H245="",I245="",J245=""),"ناقص","OK"))</f>
        <v>OK</v>
      </c>
      <c r="P245" s="10" t="str">
        <f aca="false">IF(D245="","",B245&amp;" "&amp;C245&amp;" "&amp;D245&amp;" "&amp;E245&amp;" "&amp;F245&amp;" "&amp;G245)</f>
        <v>ناقل حركة الترانسفر (الدفع الرباعي) صوت أزيز أو اهتزاز في الدفع الرباعي الترانسفر، دفع رباعي، أزيز، اهتزاز لا توجد لمبة زيت الترانسفر ناقص أو تآكل التروس</v>
      </c>
    </row>
    <row r="246" customFormat="false" ht="39.55" hidden="false" customHeight="false" outlineLevel="0" collapsed="false">
      <c r="A246" s="10" t="s">
        <v>2584</v>
      </c>
      <c r="B246" s="11" t="s">
        <v>2440</v>
      </c>
      <c r="C246" s="11" t="s">
        <v>2585</v>
      </c>
      <c r="D246" s="11" t="s">
        <v>2586</v>
      </c>
      <c r="E246" s="11" t="s">
        <v>2587</v>
      </c>
      <c r="F246" s="11" t="s">
        <v>1075</v>
      </c>
      <c r="G246" s="11" t="s">
        <v>2588</v>
      </c>
      <c r="H246" s="11" t="s">
        <v>1859</v>
      </c>
      <c r="I246" s="11" t="s">
        <v>1067</v>
      </c>
      <c r="J246" s="11" t="s">
        <v>80</v>
      </c>
      <c r="K246" s="12" t="n">
        <v>300</v>
      </c>
      <c r="L246" s="12" t="n">
        <v>2500</v>
      </c>
      <c r="M246" s="11" t="s">
        <v>78</v>
      </c>
      <c r="N246" s="11" t="s">
        <v>1070</v>
      </c>
      <c r="O246" s="10" t="str">
        <f aca="false">IF(COUNTA(B246:N246)=0,"",IF(OR(B246="",C246="",D246="",E246="",G246="",H246="",I246="",J246=""),"ناقص","OK"))</f>
        <v>OK</v>
      </c>
      <c r="P246" s="10" t="str">
        <f aca="false">IF(D246="","",B246&amp;" "&amp;C246&amp;" "&amp;D246&amp;" "&amp;E246&amp;" "&amp;F246&amp;" "&amp;G246)</f>
        <v>ناقل حركة حساس وضع الركن P العربية مش بتدور ولا بتتحرك من وضع P وضع P، مش بتدور، سويتش الركن، حساس الرافعة لا توجد لمبة عطل حساس الرافعة أو سويتش الاتصال</v>
      </c>
    </row>
    <row r="247" customFormat="false" ht="35.05" hidden="false" customHeight="false" outlineLevel="0" collapsed="false">
      <c r="A247" s="10" t="s">
        <v>2589</v>
      </c>
      <c r="B247" s="11" t="s">
        <v>2590</v>
      </c>
      <c r="C247" s="11" t="s">
        <v>2591</v>
      </c>
      <c r="D247" s="11" t="s">
        <v>2592</v>
      </c>
      <c r="E247" s="11" t="s">
        <v>2593</v>
      </c>
      <c r="F247" s="11" t="s">
        <v>1075</v>
      </c>
      <c r="G247" s="11" t="s">
        <v>2594</v>
      </c>
      <c r="H247" s="11" t="s">
        <v>2595</v>
      </c>
      <c r="I247" s="11" t="s">
        <v>1096</v>
      </c>
      <c r="J247" s="11" t="s">
        <v>81</v>
      </c>
      <c r="K247" s="12" t="n">
        <v>400</v>
      </c>
      <c r="L247" s="12" t="n">
        <v>5000</v>
      </c>
      <c r="M247" s="11" t="s">
        <v>1069</v>
      </c>
      <c r="N247" s="11" t="s">
        <v>1097</v>
      </c>
      <c r="O247" s="10" t="str">
        <f aca="false">IF(COUNTA(B247:N247)=0,"",IF(OR(B247="",C247="",D247="",E247="",G247="",H247="",I247="",J247=""),"ناقص","OK"))</f>
        <v>OK</v>
      </c>
      <c r="P247" s="10" t="str">
        <f aca="false">IF(D247="","",B247&amp;" "&amp;C247&amp;" "&amp;D247&amp;" "&amp;E247&amp;" "&amp;F247&amp;" "&amp;G247)</f>
        <v>تكييف الفريون / الكمبروسر التكييف مش بيبرد تكييف، مبيبردش، سخن، فريون، مكيف لا توجد لمبة نقص فريون أو عطل كمبروسر أو كوندنسر مسدود أو فلتر</v>
      </c>
    </row>
    <row r="248" customFormat="false" ht="35.05" hidden="false" customHeight="false" outlineLevel="0" collapsed="false">
      <c r="A248" s="10" t="s">
        <v>2596</v>
      </c>
      <c r="B248" s="11" t="s">
        <v>2590</v>
      </c>
      <c r="C248" s="11" t="s">
        <v>2597</v>
      </c>
      <c r="D248" s="11" t="s">
        <v>2598</v>
      </c>
      <c r="E248" s="11" t="s">
        <v>2599</v>
      </c>
      <c r="F248" s="11" t="s">
        <v>1075</v>
      </c>
      <c r="G248" s="11" t="s">
        <v>2600</v>
      </c>
      <c r="H248" s="11" t="s">
        <v>2601</v>
      </c>
      <c r="I248" s="11" t="s">
        <v>1096</v>
      </c>
      <c r="J248" s="11" t="s">
        <v>81</v>
      </c>
      <c r="K248" s="12" t="n">
        <v>400</v>
      </c>
      <c r="L248" s="12" t="n">
        <v>4000</v>
      </c>
      <c r="M248" s="11" t="s">
        <v>1069</v>
      </c>
      <c r="N248" s="11" t="s">
        <v>1097</v>
      </c>
      <c r="O248" s="10" t="str">
        <f aca="false">IF(COUNTA(B248:N248)=0,"",IF(OR(B248="",C248="",D248="",E248="",G248="",H248="",I248="",J248=""),"ناقص","OK"))</f>
        <v>OK</v>
      </c>
      <c r="P248" s="10" t="str">
        <f aca="false">IF(D248="","",B248&amp;" "&amp;C248&amp;" "&amp;D248&amp;" "&amp;E248&amp;" "&amp;F248&amp;" "&amp;G248)</f>
        <v>تكييف المبخر / الكلتش التكييف بيبرد وبعدين يسخن يبرد ويسخن، التكييف بيقطع، تجمد لا توجد لمبة تجمد المبخر أو عطل كلتش الكمبروسر أو ريليه</v>
      </c>
    </row>
    <row r="249" customFormat="false" ht="35.05" hidden="false" customHeight="false" outlineLevel="0" collapsed="false">
      <c r="A249" s="10" t="s">
        <v>2602</v>
      </c>
      <c r="B249" s="11" t="s">
        <v>2590</v>
      </c>
      <c r="C249" s="11" t="s">
        <v>2603</v>
      </c>
      <c r="D249" s="11" t="s">
        <v>2604</v>
      </c>
      <c r="E249" s="11" t="s">
        <v>2605</v>
      </c>
      <c r="F249" s="11" t="s">
        <v>1075</v>
      </c>
      <c r="G249" s="11" t="s">
        <v>2606</v>
      </c>
      <c r="H249" s="11" t="s">
        <v>2607</v>
      </c>
      <c r="I249" s="11" t="s">
        <v>1096</v>
      </c>
      <c r="J249" s="11" t="s">
        <v>81</v>
      </c>
      <c r="K249" s="12" t="n">
        <v>150</v>
      </c>
      <c r="L249" s="12" t="n">
        <v>800</v>
      </c>
      <c r="M249" s="11" t="s">
        <v>1069</v>
      </c>
      <c r="N249" s="11" t="s">
        <v>1097</v>
      </c>
      <c r="O249" s="10" t="str">
        <f aca="false">IF(COUNTA(B249:N249)=0,"",IF(OR(B249="",C249="",D249="",E249="",G249="",H249="",I249="",J249=""),"ناقص","OK"))</f>
        <v>OK</v>
      </c>
      <c r="P249" s="10" t="str">
        <f aca="false">IF(D249="","",B249&amp;" "&amp;C249&amp;" "&amp;D249&amp;" "&amp;E249&amp;" "&amp;F249&amp;" "&amp;G249)</f>
        <v>تكييف فلتر الكابينة / المبخر ريحة وحشة من التكييف ريحة، عفن، رطوبة، ريحة التكييف، بو لا توجد لمبة فلتر الكابينة قديم أو عفن في المبخر</v>
      </c>
    </row>
    <row r="250" customFormat="false" ht="35.05" hidden="false" customHeight="false" outlineLevel="0" collapsed="false">
      <c r="A250" s="10" t="s">
        <v>2608</v>
      </c>
      <c r="B250" s="11" t="s">
        <v>2590</v>
      </c>
      <c r="C250" s="11" t="s">
        <v>2609</v>
      </c>
      <c r="D250" s="11" t="s">
        <v>2610</v>
      </c>
      <c r="E250" s="11" t="s">
        <v>2611</v>
      </c>
      <c r="F250" s="11" t="s">
        <v>1075</v>
      </c>
      <c r="G250" s="11" t="s">
        <v>2612</v>
      </c>
      <c r="H250" s="11" t="s">
        <v>2613</v>
      </c>
      <c r="I250" s="11" t="s">
        <v>1096</v>
      </c>
      <c r="J250" s="11" t="s">
        <v>81</v>
      </c>
      <c r="K250" s="12" t="n">
        <v>100</v>
      </c>
      <c r="L250" s="12" t="n">
        <v>500</v>
      </c>
      <c r="M250" s="11" t="s">
        <v>1069</v>
      </c>
      <c r="N250" s="11" t="s">
        <v>1097</v>
      </c>
      <c r="O250" s="10" t="str">
        <f aca="false">IF(COUNTA(B250:N250)=0,"",IF(OR(B250="",C250="",D250="",E250="",G250="",H250="",I250="",J250=""),"ناقص","OK"))</f>
        <v>OK</v>
      </c>
      <c r="P250" s="10" t="str">
        <f aca="false">IF(D250="","",B250&amp;" "&amp;C250&amp;" "&amp;D250&amp;" "&amp;E250&amp;" "&amp;F250&amp;" "&amp;G250)</f>
        <v>تكييف مجرى تصريف المياه مياه بتنزل جوه العربية من تحت التابلوه مياه جوه العربية، رطوبة، بلل تحت الكراسي لا توجد لمبة انسداد مجرى تصريف مياه التكييف</v>
      </c>
    </row>
    <row r="251" customFormat="false" ht="23.85" hidden="false" customHeight="false" outlineLevel="0" collapsed="false">
      <c r="A251" s="10" t="s">
        <v>2614</v>
      </c>
      <c r="B251" s="11" t="s">
        <v>2590</v>
      </c>
      <c r="C251" s="11" t="s">
        <v>2615</v>
      </c>
      <c r="D251" s="11" t="s">
        <v>2616</v>
      </c>
      <c r="E251" s="11" t="s">
        <v>2617</v>
      </c>
      <c r="F251" s="11" t="s">
        <v>1075</v>
      </c>
      <c r="G251" s="11" t="s">
        <v>2618</v>
      </c>
      <c r="H251" s="11" t="s">
        <v>2619</v>
      </c>
      <c r="I251" s="11" t="s">
        <v>1067</v>
      </c>
      <c r="J251" s="11" t="s">
        <v>81</v>
      </c>
      <c r="K251" s="12" t="n">
        <v>800</v>
      </c>
      <c r="L251" s="12" t="n">
        <v>8000</v>
      </c>
      <c r="M251" s="11" t="s">
        <v>1069</v>
      </c>
      <c r="N251" s="11" t="s">
        <v>1070</v>
      </c>
      <c r="O251" s="10" t="str">
        <f aca="false">IF(COUNTA(B251:N251)=0,"",IF(OR(B251="",C251="",D251="",E251="",G251="",H251="",I251="",J251=""),"ناقص","OK"))</f>
        <v>OK</v>
      </c>
      <c r="P251" s="10" t="str">
        <f aca="false">IF(D251="","",B251&amp;" "&amp;C251&amp;" "&amp;D251&amp;" "&amp;E251&amp;" "&amp;F251&amp;" "&amp;G251)</f>
        <v>تكييف الكمبروسر صوت عالي من التكييف لما أشغله صوت التكييف، زن، كمبروسر، بلية الكلتش لا توجد لمبة بلية كمبروسر أو كلتش متآكل</v>
      </c>
    </row>
    <row r="252" customFormat="false" ht="35.05" hidden="false" customHeight="false" outlineLevel="0" collapsed="false">
      <c r="A252" s="10" t="s">
        <v>2620</v>
      </c>
      <c r="B252" s="11" t="s">
        <v>2590</v>
      </c>
      <c r="C252" s="11" t="s">
        <v>2621</v>
      </c>
      <c r="D252" s="11" t="s">
        <v>2622</v>
      </c>
      <c r="E252" s="11" t="s">
        <v>2623</v>
      </c>
      <c r="F252" s="11" t="s">
        <v>1075</v>
      </c>
      <c r="G252" s="11" t="s">
        <v>2624</v>
      </c>
      <c r="H252" s="11" t="s">
        <v>2625</v>
      </c>
      <c r="I252" s="11" t="s">
        <v>1096</v>
      </c>
      <c r="J252" s="11" t="s">
        <v>81</v>
      </c>
      <c r="K252" s="12" t="n">
        <v>200</v>
      </c>
      <c r="L252" s="12" t="n">
        <v>3500</v>
      </c>
      <c r="M252" s="11" t="s">
        <v>1069</v>
      </c>
      <c r="N252" s="11" t="s">
        <v>1097</v>
      </c>
      <c r="O252" s="10" t="str">
        <f aca="false">IF(COUNTA(B252:N252)=0,"",IF(OR(B252="",C252="",D252="",E252="",G252="",H252="",I252="",J252=""),"ناقص","OK"))</f>
        <v>OK</v>
      </c>
      <c r="P252" s="10" t="str">
        <f aca="false">IF(D252="","",B252&amp;" "&amp;C252&amp;" "&amp;D252&amp;" "&amp;E252&amp;" "&amp;F252&amp;" "&amp;G252)</f>
        <v>تكييف الكوندنسر التكييف ضعيف وفي الزحمة بس يسخن كوندنسر، ثلاجة العربية، سخن في الزحمة، تكييف ضعيف لا توجد لمبة اتساخ أو انسداد الكوندنسر</v>
      </c>
    </row>
    <row r="253" customFormat="false" ht="35.05" hidden="false" customHeight="false" outlineLevel="0" collapsed="false">
      <c r="A253" s="10" t="s">
        <v>2626</v>
      </c>
      <c r="B253" s="11" t="s">
        <v>2590</v>
      </c>
      <c r="C253" s="11" t="s">
        <v>2627</v>
      </c>
      <c r="D253" s="11" t="s">
        <v>2628</v>
      </c>
      <c r="E253" s="11" t="s">
        <v>2629</v>
      </c>
      <c r="F253" s="11" t="s">
        <v>1075</v>
      </c>
      <c r="G253" s="11" t="s">
        <v>2630</v>
      </c>
      <c r="H253" s="11" t="s">
        <v>2631</v>
      </c>
      <c r="I253" s="11" t="s">
        <v>1096</v>
      </c>
      <c r="J253" s="11" t="s">
        <v>81</v>
      </c>
      <c r="K253" s="12" t="n">
        <v>300</v>
      </c>
      <c r="L253" s="12" t="n">
        <v>2500</v>
      </c>
      <c r="M253" s="11" t="s">
        <v>1069</v>
      </c>
      <c r="N253" s="11" t="s">
        <v>1097</v>
      </c>
      <c r="O253" s="10" t="str">
        <f aca="false">IF(COUNTA(B253:N253)=0,"",IF(OR(B253="",C253="",D253="",E253="",G253="",H253="",I253="",J253=""),"ناقص","OK"))</f>
        <v>OK</v>
      </c>
      <c r="P253" s="10" t="str">
        <f aca="false">IF(D253="","",B253&amp;" "&amp;C253&amp;" "&amp;D253&amp;" "&amp;E253&amp;" "&amp;F253&amp;" "&amp;G253)</f>
        <v>تكييف مروحة الكوندنسر التكييف بيبرد وأنا ماشي ويسخن في الزحمة مروحة الكوندنسر، سخن في الزحمة، تكييف ماشي لا توجد لمبة عطل مروحة التكييف</v>
      </c>
    </row>
    <row r="254" customFormat="false" ht="35.05" hidden="false" customHeight="false" outlineLevel="0" collapsed="false">
      <c r="A254" s="10" t="s">
        <v>2632</v>
      </c>
      <c r="B254" s="11" t="s">
        <v>2590</v>
      </c>
      <c r="C254" s="11" t="s">
        <v>2633</v>
      </c>
      <c r="D254" s="11" t="s">
        <v>2634</v>
      </c>
      <c r="E254" s="11" t="s">
        <v>2635</v>
      </c>
      <c r="F254" s="11" t="s">
        <v>1075</v>
      </c>
      <c r="G254" s="11" t="s">
        <v>2636</v>
      </c>
      <c r="H254" s="11" t="s">
        <v>2637</v>
      </c>
      <c r="I254" s="11" t="s">
        <v>1067</v>
      </c>
      <c r="J254" s="11" t="s">
        <v>81</v>
      </c>
      <c r="K254" s="12" t="n">
        <v>600</v>
      </c>
      <c r="L254" s="12" t="n">
        <v>3500</v>
      </c>
      <c r="M254" s="11" t="s">
        <v>1069</v>
      </c>
      <c r="N254" s="11" t="s">
        <v>1070</v>
      </c>
      <c r="O254" s="10" t="str">
        <f aca="false">IF(COUNTA(B254:N254)=0,"",IF(OR(B254="",C254="",D254="",E254="",G254="",H254="",I254="",J254=""),"ناقص","OK"))</f>
        <v>OK</v>
      </c>
      <c r="P254" s="10" t="str">
        <f aca="false">IF(D254="","",B254&amp;" "&amp;C254&amp;" "&amp;D254&amp;" "&amp;E254&amp;" "&amp;F254&amp;" "&amp;G254)</f>
        <v>تكييف كلتش الكمبروسر الكلتش مش بيشبك وصوت طقة بدون تبريد كلتش الكمبروسر، طقة، مش بيشبك، تكييف مش بيبرد لا توجد لمبة عطل ملف الكلتش أو فجوة كبيرة</v>
      </c>
    </row>
    <row r="255" customFormat="false" ht="35.05" hidden="false" customHeight="false" outlineLevel="0" collapsed="false">
      <c r="A255" s="10" t="s">
        <v>2638</v>
      </c>
      <c r="B255" s="11" t="s">
        <v>2590</v>
      </c>
      <c r="C255" s="11" t="s">
        <v>2639</v>
      </c>
      <c r="D255" s="11" t="s">
        <v>2640</v>
      </c>
      <c r="E255" s="11" t="s">
        <v>2641</v>
      </c>
      <c r="F255" s="11" t="s">
        <v>1075</v>
      </c>
      <c r="G255" s="11" t="s">
        <v>2642</v>
      </c>
      <c r="H255" s="11" t="s">
        <v>2643</v>
      </c>
      <c r="I255" s="11" t="s">
        <v>1067</v>
      </c>
      <c r="J255" s="11" t="s">
        <v>81</v>
      </c>
      <c r="K255" s="12" t="n">
        <v>500</v>
      </c>
      <c r="L255" s="12" t="n">
        <v>2500</v>
      </c>
      <c r="M255" s="11" t="s">
        <v>1069</v>
      </c>
      <c r="N255" s="11" t="s">
        <v>1070</v>
      </c>
      <c r="O255" s="10" t="str">
        <f aca="false">IF(COUNTA(B255:N255)=0,"",IF(OR(B255="",C255="",D255="",E255="",G255="",H255="",I255="",J255=""),"ناقص","OK"))</f>
        <v>OK</v>
      </c>
      <c r="P255" s="10" t="str">
        <f aca="false">IF(D255="","",B255&amp;" "&amp;C255&amp;" "&amp;D255&amp;" "&amp;E255&amp;" "&amp;F255&amp;" "&amp;G255)</f>
        <v>تكييف الدرايير التكييف ضعيف مع تجمد خط الفريون تجمد الخط، درايير، خط الفريون متجمد، رطوبة لا توجد لمبة انسداد الدرايير بالرطوبة</v>
      </c>
    </row>
    <row r="256" customFormat="false" ht="23.85" hidden="false" customHeight="false" outlineLevel="0" collapsed="false">
      <c r="A256" s="10" t="s">
        <v>2644</v>
      </c>
      <c r="B256" s="11" t="s">
        <v>2590</v>
      </c>
      <c r="C256" s="11" t="s">
        <v>2645</v>
      </c>
      <c r="D256" s="11" t="s">
        <v>2646</v>
      </c>
      <c r="E256" s="11" t="s">
        <v>2647</v>
      </c>
      <c r="F256" s="11" t="s">
        <v>1075</v>
      </c>
      <c r="G256" s="11" t="s">
        <v>2648</v>
      </c>
      <c r="H256" s="11" t="s">
        <v>2408</v>
      </c>
      <c r="I256" s="11" t="s">
        <v>1067</v>
      </c>
      <c r="J256" s="11" t="s">
        <v>81</v>
      </c>
      <c r="K256" s="12" t="n">
        <v>800</v>
      </c>
      <c r="L256" s="12" t="n">
        <v>3500</v>
      </c>
      <c r="M256" s="11" t="s">
        <v>1069</v>
      </c>
      <c r="N256" s="11" t="s">
        <v>1070</v>
      </c>
      <c r="O256" s="10" t="str">
        <f aca="false">IF(COUNTA(B256:N256)=0,"",IF(OR(B256="",C256="",D256="",E256="",G256="",H256="",I256="",J256=""),"ناقص","OK"))</f>
        <v>OK</v>
      </c>
      <c r="P256" s="10" t="str">
        <f aca="false">IF(D256="","",B256&amp;" "&amp;C256&amp;" "&amp;D256&amp;" "&amp;E256&amp;" "&amp;F256&amp;" "&amp;G256)</f>
        <v>تكييف صمام التمدد التبريد غير ثابت وصوت هسهسة في التابلوه صمام التمدد، هسهسة، تبريد متذبذب، التابلوه لا توجد لمبة عطل صمام التمدد</v>
      </c>
    </row>
    <row r="257" customFormat="false" ht="35.05" hidden="false" customHeight="false" outlineLevel="0" collapsed="false">
      <c r="A257" s="10" t="s">
        <v>2649</v>
      </c>
      <c r="B257" s="11" t="s">
        <v>2590</v>
      </c>
      <c r="C257" s="11" t="s">
        <v>2650</v>
      </c>
      <c r="D257" s="11" t="s">
        <v>2651</v>
      </c>
      <c r="E257" s="11" t="s">
        <v>2652</v>
      </c>
      <c r="F257" s="11" t="s">
        <v>1075</v>
      </c>
      <c r="G257" s="11" t="s">
        <v>2653</v>
      </c>
      <c r="H257" s="11" t="s">
        <v>2654</v>
      </c>
      <c r="I257" s="11" t="s">
        <v>1067</v>
      </c>
      <c r="J257" s="11" t="s">
        <v>81</v>
      </c>
      <c r="K257" s="12" t="n">
        <v>600</v>
      </c>
      <c r="L257" s="12" t="n">
        <v>6000</v>
      </c>
      <c r="M257" s="11" t="s">
        <v>1069</v>
      </c>
      <c r="N257" s="11" t="s">
        <v>1070</v>
      </c>
      <c r="O257" s="10" t="str">
        <f aca="false">IF(COUNTA(B257:N257)=0,"",IF(OR(B257="",C257="",D257="",E257="",G257="",H257="",I257="",J257=""),"ناقص","OK"))</f>
        <v>OK</v>
      </c>
      <c r="P257" s="10" t="str">
        <f aca="false">IF(D257="","",B257&amp;" "&amp;C257&amp;" "&amp;D257&amp;" "&amp;E257&amp;" "&amp;F257&amp;" "&amp;G257)</f>
        <v>تكييف تسريب الفريون التكييف يبرد شهر ويضعف ويحتاج تعبئة متكررة تسريب فريون، تعبئة متكررة، فريون بيخلص لا توجد لمبة تسريب في وصلة أو خرطوم أو مبخر</v>
      </c>
    </row>
    <row r="258" customFormat="false" ht="23.85" hidden="false" customHeight="false" outlineLevel="0" collapsed="false">
      <c r="A258" s="10" t="s">
        <v>2655</v>
      </c>
      <c r="B258" s="11" t="s">
        <v>2590</v>
      </c>
      <c r="C258" s="11" t="s">
        <v>2656</v>
      </c>
      <c r="D258" s="11" t="s">
        <v>2657</v>
      </c>
      <c r="E258" s="11" t="s">
        <v>2658</v>
      </c>
      <c r="F258" s="11" t="s">
        <v>1075</v>
      </c>
      <c r="G258" s="11" t="s">
        <v>2659</v>
      </c>
      <c r="H258" s="11" t="s">
        <v>2660</v>
      </c>
      <c r="I258" s="11" t="s">
        <v>1067</v>
      </c>
      <c r="J258" s="11" t="s">
        <v>81</v>
      </c>
      <c r="K258" s="12" t="n">
        <v>2500</v>
      </c>
      <c r="L258" s="12" t="n">
        <v>8000</v>
      </c>
      <c r="M258" s="11" t="s">
        <v>1069</v>
      </c>
      <c r="N258" s="11" t="s">
        <v>1070</v>
      </c>
      <c r="O258" s="10" t="str">
        <f aca="false">IF(COUNTA(B258:N258)=0,"",IF(OR(B258="",C258="",D258="",E258="",G258="",H258="",I258="",J258=""),"ناقص","OK"))</f>
        <v>OK</v>
      </c>
      <c r="P258" s="10" t="str">
        <f aca="false">IF(D258="","",B258&amp;" "&amp;C258&amp;" "&amp;D258&amp;" "&amp;E258&amp;" "&amp;F258&amp;" "&amp;G258)</f>
        <v>تكييف المبخر ريحة حلوة وضعف تبريد وضباب من الفتحات المبخر، ريحة فريون، ضباب من التكييف لا توجد لمبة ثقب في المبخر</v>
      </c>
    </row>
    <row r="259" customFormat="false" ht="35.05" hidden="false" customHeight="false" outlineLevel="0" collapsed="false">
      <c r="A259" s="10" t="s">
        <v>2661</v>
      </c>
      <c r="B259" s="11" t="s">
        <v>2590</v>
      </c>
      <c r="C259" s="11" t="s">
        <v>2662</v>
      </c>
      <c r="D259" s="11" t="s">
        <v>2663</v>
      </c>
      <c r="E259" s="11" t="s">
        <v>2664</v>
      </c>
      <c r="F259" s="11" t="s">
        <v>1075</v>
      </c>
      <c r="G259" s="11" t="s">
        <v>2665</v>
      </c>
      <c r="H259" s="11" t="s">
        <v>2666</v>
      </c>
      <c r="I259" s="11" t="s">
        <v>1096</v>
      </c>
      <c r="J259" s="11" t="s">
        <v>81</v>
      </c>
      <c r="K259" s="12" t="n">
        <v>300</v>
      </c>
      <c r="L259" s="12" t="n">
        <v>2500</v>
      </c>
      <c r="M259" s="11" t="s">
        <v>1069</v>
      </c>
      <c r="N259" s="11" t="s">
        <v>1097</v>
      </c>
      <c r="O259" s="10" t="str">
        <f aca="false">IF(COUNTA(B259:N259)=0,"",IF(OR(B259="",C259="",D259="",E259="",G259="",H259="",I259="",J259=""),"ناقص","OK"))</f>
        <v>OK</v>
      </c>
      <c r="P259" s="10" t="str">
        <f aca="false">IF(D259="","",B259&amp;" "&amp;C259&amp;" "&amp;D259&amp;" "&amp;E259&amp;" "&amp;F259&amp;" "&amp;G259)</f>
        <v>تكييف موتور الهواء (البلاور) الهواء ضعيف جدًا من الفتحات رغم السرعة العالية البلاور، الهواء ضعيف، سرعات التكييف، موتور المروحة لا توجد لمبة عطل موتور البلاور أو الريزستانس</v>
      </c>
    </row>
    <row r="260" customFormat="false" ht="35.05" hidden="false" customHeight="false" outlineLevel="0" collapsed="false">
      <c r="A260" s="10" t="s">
        <v>2667</v>
      </c>
      <c r="B260" s="11" t="s">
        <v>2590</v>
      </c>
      <c r="C260" s="11" t="s">
        <v>2668</v>
      </c>
      <c r="D260" s="11" t="s">
        <v>2669</v>
      </c>
      <c r="E260" s="11" t="s">
        <v>2670</v>
      </c>
      <c r="F260" s="11" t="s">
        <v>1075</v>
      </c>
      <c r="G260" s="11" t="s">
        <v>2671</v>
      </c>
      <c r="H260" s="11" t="s">
        <v>2672</v>
      </c>
      <c r="I260" s="11" t="s">
        <v>1096</v>
      </c>
      <c r="J260" s="11" t="s">
        <v>81</v>
      </c>
      <c r="K260" s="12" t="n">
        <v>150</v>
      </c>
      <c r="L260" s="12" t="n">
        <v>1200</v>
      </c>
      <c r="M260" s="11" t="s">
        <v>1069</v>
      </c>
      <c r="N260" s="11" t="s">
        <v>1097</v>
      </c>
      <c r="O260" s="10" t="str">
        <f aca="false">IF(COUNTA(B260:N260)=0,"",IF(OR(B260="",C260="",D260="",E260="",G260="",H260="",I260="",J260=""),"ناقص","OK"))</f>
        <v>OK</v>
      </c>
      <c r="P260" s="10" t="str">
        <f aca="false">IF(D260="","",B260&amp;" "&amp;C260&amp;" "&amp;D260&amp;" "&amp;E260&amp;" "&amp;F260&amp;" "&amp;G260)</f>
        <v>تكييف الريزستانس مروحة التكييف تشتغل على سرعة واحدة فقط الريزستانس، سرعة واحدة، مقاومة البلاور لا توجد لمبة احتراق مقاومة السرعات</v>
      </c>
    </row>
    <row r="261" customFormat="false" ht="35.05" hidden="false" customHeight="false" outlineLevel="0" collapsed="false">
      <c r="A261" s="10" t="s">
        <v>2673</v>
      </c>
      <c r="B261" s="11" t="s">
        <v>2590</v>
      </c>
      <c r="C261" s="11" t="s">
        <v>2674</v>
      </c>
      <c r="D261" s="11" t="s">
        <v>2675</v>
      </c>
      <c r="E261" s="11" t="s">
        <v>2676</v>
      </c>
      <c r="F261" s="11" t="s">
        <v>1075</v>
      </c>
      <c r="G261" s="11" t="s">
        <v>2677</v>
      </c>
      <c r="H261" s="11" t="s">
        <v>2678</v>
      </c>
      <c r="I261" s="11" t="s">
        <v>1096</v>
      </c>
      <c r="J261" s="11" t="s">
        <v>81</v>
      </c>
      <c r="K261" s="12" t="n">
        <v>300</v>
      </c>
      <c r="L261" s="12" t="n">
        <v>2500</v>
      </c>
      <c r="M261" s="11" t="s">
        <v>1069</v>
      </c>
      <c r="N261" s="11" t="s">
        <v>1097</v>
      </c>
      <c r="O261" s="10" t="str">
        <f aca="false">IF(COUNTA(B261:N261)=0,"",IF(OR(B261="",C261="",D261="",E261="",G261="",H261="",I261="",J261=""),"ناقص","OK"))</f>
        <v>OK</v>
      </c>
      <c r="P261" s="10" t="str">
        <f aca="false">IF(D261="","",B261&amp;" "&amp;C261&amp;" "&amp;D261&amp;" "&amp;E261&amp;" "&amp;F261&amp;" "&amp;G261)</f>
        <v>تكييف مازج الهواء هواء بارد من ناحية وساخن من ناحية بارد وساخن، المازج، موتور الأبواب، تكييف مزدوج لا توجد لمبة عطل موتور الباب المازج للهواء</v>
      </c>
    </row>
    <row r="262" customFormat="false" ht="35.05" hidden="false" customHeight="false" outlineLevel="0" collapsed="false">
      <c r="A262" s="10" t="s">
        <v>2679</v>
      </c>
      <c r="B262" s="11" t="s">
        <v>2590</v>
      </c>
      <c r="C262" s="11" t="s">
        <v>2680</v>
      </c>
      <c r="D262" s="11" t="s">
        <v>2681</v>
      </c>
      <c r="E262" s="11" t="s">
        <v>2682</v>
      </c>
      <c r="F262" s="11" t="s">
        <v>1075</v>
      </c>
      <c r="G262" s="11" t="s">
        <v>2683</v>
      </c>
      <c r="H262" s="11" t="s">
        <v>1609</v>
      </c>
      <c r="I262" s="11" t="s">
        <v>1096</v>
      </c>
      <c r="J262" s="11" t="s">
        <v>81</v>
      </c>
      <c r="K262" s="12" t="n">
        <v>200</v>
      </c>
      <c r="L262" s="12" t="n">
        <v>1500</v>
      </c>
      <c r="M262" s="11" t="s">
        <v>2684</v>
      </c>
      <c r="N262" s="11" t="s">
        <v>1097</v>
      </c>
      <c r="O262" s="10" t="str">
        <f aca="false">IF(COUNTA(B262:N262)=0,"",IF(OR(B262="",C262="",D262="",E262="",G262="",H262="",I262="",J262=""),"ناقص","OK"))</f>
        <v>OK</v>
      </c>
      <c r="P262" s="10" t="str">
        <f aca="false">IF(D262="","",B262&amp;" "&amp;C262&amp;" "&amp;D262&amp;" "&amp;E262&amp;" "&amp;F262&amp;" "&amp;G262)</f>
        <v>تكييف حساس الحرارة الداخلي التكييف الأوتوماتيك لا يوازن الحرارة تكييف أوتوماتيك، حساس الحرارة، حرارة غير ثابتة لا توجد لمبة عطل حساس الكابينة</v>
      </c>
    </row>
    <row r="263" customFormat="false" ht="37.3" hidden="false" customHeight="false" outlineLevel="0" collapsed="false">
      <c r="A263" s="10" t="s">
        <v>2685</v>
      </c>
      <c r="B263" s="11" t="s">
        <v>2590</v>
      </c>
      <c r="C263" s="11" t="s">
        <v>2686</v>
      </c>
      <c r="D263" s="11" t="s">
        <v>2687</v>
      </c>
      <c r="E263" s="11" t="s">
        <v>2688</v>
      </c>
      <c r="F263" s="11" t="s">
        <v>1075</v>
      </c>
      <c r="G263" s="11" t="s">
        <v>2689</v>
      </c>
      <c r="H263" s="11" t="s">
        <v>2690</v>
      </c>
      <c r="I263" s="11" t="s">
        <v>1096</v>
      </c>
      <c r="J263" s="11" t="s">
        <v>81</v>
      </c>
      <c r="K263" s="12" t="n">
        <v>200</v>
      </c>
      <c r="L263" s="12" t="n">
        <v>2000</v>
      </c>
      <c r="M263" s="11" t="s">
        <v>1069</v>
      </c>
      <c r="N263" s="11" t="s">
        <v>1097</v>
      </c>
      <c r="O263" s="10" t="str">
        <f aca="false">IF(COUNTA(B263:N263)=0,"",IF(OR(B263="",C263="",D263="",E263="",G263="",H263="",I263="",J263=""),"ناقص","OK"))</f>
        <v>OK</v>
      </c>
      <c r="P263" s="10" t="str">
        <f aca="false">IF(D263="","",B263&amp;" "&amp;C263&amp;" "&amp;D263&amp;" "&amp;E263&amp;" "&amp;F263&amp;" "&amp;G263)</f>
        <v>تكييف زر التكييف زر التكييف بينور لكن لا يبرد زر AC، ينور ومش بيبرد، سويتش التكييف لا توجد لمبة عطل ضغط الفريون أو الترانسدوسر</v>
      </c>
    </row>
    <row r="264" customFormat="false" ht="23.85" hidden="false" customHeight="false" outlineLevel="0" collapsed="false">
      <c r="A264" s="10" t="s">
        <v>2691</v>
      </c>
      <c r="B264" s="11" t="s">
        <v>2590</v>
      </c>
      <c r="C264" s="11" t="s">
        <v>2692</v>
      </c>
      <c r="D264" s="11" t="s">
        <v>2693</v>
      </c>
      <c r="E264" s="11" t="s">
        <v>2694</v>
      </c>
      <c r="F264" s="11" t="s">
        <v>1075</v>
      </c>
      <c r="G264" s="11" t="s">
        <v>2695</v>
      </c>
      <c r="H264" s="11" t="s">
        <v>2696</v>
      </c>
      <c r="I264" s="11" t="s">
        <v>1096</v>
      </c>
      <c r="J264" s="11" t="s">
        <v>81</v>
      </c>
      <c r="K264" s="12" t="n">
        <v>150</v>
      </c>
      <c r="L264" s="12" t="n">
        <v>900</v>
      </c>
      <c r="M264" s="11" t="s">
        <v>1069</v>
      </c>
      <c r="N264" s="11" t="s">
        <v>1097</v>
      </c>
      <c r="O264" s="10" t="str">
        <f aca="false">IF(COUNTA(B264:N264)=0,"",IF(OR(B264="",C264="",D264="",E264="",G264="",H264="",I264="",J264=""),"ناقص","OK"))</f>
        <v>OK</v>
      </c>
      <c r="P264" s="10" t="str">
        <f aca="false">IF(D264="","",B264&amp;" "&amp;C264&amp;" "&amp;D264&amp;" "&amp;E264&amp;" "&amp;F264&amp;" "&amp;G264)</f>
        <v>تكييف سير الكمبروسر سير التكييف بيصفر عند تشغيل التكييف صفير عند تشغيل التكييف، سير الكمبروسر لا توجد لمبة سير مرتخي أو متآكل</v>
      </c>
    </row>
    <row r="265" customFormat="false" ht="35.05" hidden="false" customHeight="false" outlineLevel="0" collapsed="false">
      <c r="A265" s="10" t="s">
        <v>2697</v>
      </c>
      <c r="B265" s="11" t="s">
        <v>2590</v>
      </c>
      <c r="C265" s="11" t="s">
        <v>2698</v>
      </c>
      <c r="D265" s="11" t="s">
        <v>2699</v>
      </c>
      <c r="E265" s="11" t="s">
        <v>2700</v>
      </c>
      <c r="F265" s="11" t="s">
        <v>1075</v>
      </c>
      <c r="G265" s="11" t="s">
        <v>2701</v>
      </c>
      <c r="H265" s="11" t="s">
        <v>2702</v>
      </c>
      <c r="I265" s="11" t="s">
        <v>1096</v>
      </c>
      <c r="J265" s="11" t="s">
        <v>81</v>
      </c>
      <c r="K265" s="12" t="n">
        <v>300</v>
      </c>
      <c r="L265" s="12" t="n">
        <v>1500</v>
      </c>
      <c r="M265" s="11" t="s">
        <v>1069</v>
      </c>
      <c r="N265" s="11" t="s">
        <v>1097</v>
      </c>
      <c r="O265" s="10" t="str">
        <f aca="false">IF(COUNTA(B265:N265)=0,"",IF(OR(B265="",C265="",D265="",E265="",G265="",H265="",I265="",J265=""),"ناقص","OK"))</f>
        <v>OK</v>
      </c>
      <c r="P265" s="10" t="str">
        <f aca="false">IF(D265="","",B265&amp;" "&amp;C265&amp;" "&amp;D265&amp;" "&amp;E265&amp;" "&amp;F265&amp;" "&amp;G265)</f>
        <v>تكييف فريون مغشوش التكييف يضعف بعد تعبئة من مكان غير موثوق فريون مغشوش، تعبئة رديئة، تبريد ضعيف بعد التعبئة لا توجد لمبة فريون من نوع خاطئ أو مخلوط</v>
      </c>
    </row>
    <row r="266" customFormat="false" ht="35.05" hidden="false" customHeight="false" outlineLevel="0" collapsed="false">
      <c r="A266" s="10" t="s">
        <v>2703</v>
      </c>
      <c r="B266" s="11" t="s">
        <v>2590</v>
      </c>
      <c r="C266" s="11" t="s">
        <v>2704</v>
      </c>
      <c r="D266" s="11" t="s">
        <v>2705</v>
      </c>
      <c r="E266" s="11" t="s">
        <v>2706</v>
      </c>
      <c r="F266" s="11" t="s">
        <v>1075</v>
      </c>
      <c r="G266" s="11" t="s">
        <v>2707</v>
      </c>
      <c r="H266" s="11" t="s">
        <v>2708</v>
      </c>
      <c r="I266" s="11" t="s">
        <v>1096</v>
      </c>
      <c r="J266" s="11" t="s">
        <v>81</v>
      </c>
      <c r="K266" s="12" t="n">
        <v>300</v>
      </c>
      <c r="L266" s="12" t="n">
        <v>2500</v>
      </c>
      <c r="M266" s="11" t="s">
        <v>1069</v>
      </c>
      <c r="N266" s="11" t="s">
        <v>1097</v>
      </c>
      <c r="O266" s="10" t="str">
        <f aca="false">IF(COUNTA(B266:N266)=0,"",IF(OR(B266="",C266="",D266="",E266="",G266="",H266="",I266="",J266=""),"ناقص","OK"))</f>
        <v>OK</v>
      </c>
      <c r="P266" s="10" t="str">
        <f aca="false">IF(D266="","",B266&amp;" "&amp;C266&amp;" "&amp;D266&amp;" "&amp;E266&amp;" "&amp;F266&amp;" "&amp;G266)</f>
        <v>تكييف سويتش الضغط التكييف يفصل نفسه بعد دقايق الضغط العالي، فصل التكييف، سويتش الضغط لا توجد لمبة عطل سويتش الضغط أو شحنة زائدة</v>
      </c>
    </row>
    <row r="267" customFormat="false" ht="23.85" hidden="false" customHeight="false" outlineLevel="0" collapsed="false">
      <c r="A267" s="10" t="s">
        <v>2709</v>
      </c>
      <c r="B267" s="11" t="s">
        <v>2710</v>
      </c>
      <c r="C267" s="11" t="s">
        <v>2711</v>
      </c>
      <c r="D267" s="11" t="s">
        <v>2712</v>
      </c>
      <c r="E267" s="11" t="s">
        <v>2713</v>
      </c>
      <c r="F267" s="11" t="s">
        <v>1075</v>
      </c>
      <c r="G267" s="11" t="s">
        <v>2714</v>
      </c>
      <c r="H267" s="11" t="s">
        <v>2715</v>
      </c>
      <c r="I267" s="11" t="s">
        <v>1096</v>
      </c>
      <c r="J267" s="11" t="s">
        <v>1068</v>
      </c>
      <c r="K267" s="12" t="n">
        <v>200</v>
      </c>
      <c r="L267" s="12" t="n">
        <v>1200</v>
      </c>
      <c r="M267" s="11" t="s">
        <v>1069</v>
      </c>
      <c r="N267" s="11" t="s">
        <v>1097</v>
      </c>
      <c r="O267" s="10" t="str">
        <f aca="false">IF(COUNTA(B267:N267)=0,"",IF(OR(B267="",C267="",D267="",E267="",G267="",H267="",I267="",J267=""),"ناقص","OK"))</f>
        <v>OK</v>
      </c>
      <c r="P267" s="10" t="str">
        <f aca="false">IF(D267="","",B267&amp;" "&amp;C267&amp;" "&amp;D267&amp;" "&amp;E267&amp;" "&amp;F267&amp;" "&amp;G267)</f>
        <v>أخرى السيور صوت صرير أو صفير من السيور وقت التشغيل سير، زيق، صفير، سير الدينامو، سير المروحة لا توجد لمبة سير مفكوك أو متآكل</v>
      </c>
    </row>
    <row r="268" customFormat="false" ht="35.05" hidden="false" customHeight="false" outlineLevel="0" collapsed="false">
      <c r="A268" s="10" t="s">
        <v>2716</v>
      </c>
      <c r="B268" s="11" t="s">
        <v>2710</v>
      </c>
      <c r="C268" s="11" t="s">
        <v>2717</v>
      </c>
      <c r="D268" s="11" t="s">
        <v>2718</v>
      </c>
      <c r="E268" s="11" t="s">
        <v>2719</v>
      </c>
      <c r="F268" s="11" t="s">
        <v>1075</v>
      </c>
      <c r="G268" s="11" t="s">
        <v>2720</v>
      </c>
      <c r="H268" s="11" t="s">
        <v>2721</v>
      </c>
      <c r="I268" s="11" t="s">
        <v>1096</v>
      </c>
      <c r="J268" s="11" t="s">
        <v>81</v>
      </c>
      <c r="K268" s="12" t="n">
        <v>50</v>
      </c>
      <c r="L268" s="12" t="n">
        <v>1200</v>
      </c>
      <c r="M268" s="11" t="s">
        <v>1069</v>
      </c>
      <c r="N268" s="11" t="s">
        <v>1097</v>
      </c>
      <c r="O268" s="10" t="str">
        <f aca="false">IF(COUNTA(B268:N268)=0,"",IF(OR(B268="",C268="",D268="",E268="",G268="",H268="",I268="",J268=""),"ناقص","OK"))</f>
        <v>OK</v>
      </c>
      <c r="P268" s="10" t="str">
        <f aca="false">IF(D268="","",B268&amp;" "&amp;C268&amp;" "&amp;D268&amp;" "&amp;E268&amp;" "&amp;F268&amp;" "&amp;G268)</f>
        <v>أخرى قفل الأطفال الباب الخلفي لا يفتح من الداخل قفل الأطفال، الباب الخلفي، مش بيفتح من جوه لا توجد لمبة قفل الأطفال مفعل أو عطل ذراع الباب</v>
      </c>
    </row>
    <row r="269" customFormat="false" ht="35.05" hidden="false" customHeight="false" outlineLevel="0" collapsed="false">
      <c r="A269" s="10" t="s">
        <v>2722</v>
      </c>
      <c r="B269" s="11" t="s">
        <v>2710</v>
      </c>
      <c r="C269" s="11" t="s">
        <v>2723</v>
      </c>
      <c r="D269" s="11" t="s">
        <v>2724</v>
      </c>
      <c r="E269" s="11" t="s">
        <v>2725</v>
      </c>
      <c r="F269" s="11" t="s">
        <v>1075</v>
      </c>
      <c r="G269" s="11" t="s">
        <v>2726</v>
      </c>
      <c r="H269" s="11" t="s">
        <v>2727</v>
      </c>
      <c r="I269" s="11" t="s">
        <v>1096</v>
      </c>
      <c r="J269" s="11" t="s">
        <v>81</v>
      </c>
      <c r="K269" s="12" t="n">
        <v>200</v>
      </c>
      <c r="L269" s="12" t="n">
        <v>1500</v>
      </c>
      <c r="M269" s="11" t="s">
        <v>1069</v>
      </c>
      <c r="N269" s="11" t="s">
        <v>1097</v>
      </c>
      <c r="O269" s="10" t="str">
        <f aca="false">IF(COUNTA(B269:N269)=0,"",IF(OR(B269="",C269="",D269="",E269="",G269="",H269="",I269="",J269=""),"ناقص","OK"))</f>
        <v>OK</v>
      </c>
      <c r="P269" s="10" t="str">
        <f aca="false">IF(D269="","",B269&amp;" "&amp;C269&amp;" "&amp;D269&amp;" "&amp;E269&amp;" "&amp;F269&amp;" "&amp;G269)</f>
        <v>أخرى ذراع الباب الخارجي الباب لا يفتح من الخارج ذراع الباب، الباب مش بيفتح من برة، مقبض لا توجد لمبة كسر في ذراع الباب أو الوصلة</v>
      </c>
    </row>
    <row r="270" customFormat="false" ht="35.05" hidden="false" customHeight="false" outlineLevel="0" collapsed="false">
      <c r="A270" s="10" t="s">
        <v>2728</v>
      </c>
      <c r="B270" s="11" t="s">
        <v>2710</v>
      </c>
      <c r="C270" s="11" t="s">
        <v>2729</v>
      </c>
      <c r="D270" s="11" t="s">
        <v>2730</v>
      </c>
      <c r="E270" s="11" t="s">
        <v>2731</v>
      </c>
      <c r="F270" s="11" t="s">
        <v>1075</v>
      </c>
      <c r="G270" s="11" t="s">
        <v>2732</v>
      </c>
      <c r="H270" s="11" t="s">
        <v>2733</v>
      </c>
      <c r="I270" s="11" t="s">
        <v>1096</v>
      </c>
      <c r="J270" s="11" t="s">
        <v>81</v>
      </c>
      <c r="K270" s="12" t="n">
        <v>50</v>
      </c>
      <c r="L270" s="12" t="n">
        <v>600</v>
      </c>
      <c r="M270" s="11" t="s">
        <v>1069</v>
      </c>
      <c r="N270" s="11" t="s">
        <v>1097</v>
      </c>
      <c r="O270" s="10" t="str">
        <f aca="false">IF(COUNTA(B270:N270)=0,"",IF(OR(B270="",C270="",D270="",E270="",G270="",H270="",I270="",J270=""),"ناقص","OK"))</f>
        <v>OK</v>
      </c>
      <c r="P270" s="10" t="str">
        <f aca="false">IF(D270="","",B270&amp;" "&amp;C270&amp;" "&amp;D270&amp;" "&amp;E270&amp;" "&amp;F270&amp;" "&amp;G270)</f>
        <v>أخرى مطاط زجاج الباب زجاج الباب بيتحرك ببطء ويزيق الزجاج بيزيق، شباك بطيء، مطاط الزجاج، حلقة لا توجد لمبة جفاف أو اتساخ مجرى الزجاج</v>
      </c>
    </row>
    <row r="271" customFormat="false" ht="35.05" hidden="false" customHeight="false" outlineLevel="0" collapsed="false">
      <c r="A271" s="10" t="s">
        <v>2734</v>
      </c>
      <c r="B271" s="11" t="s">
        <v>2710</v>
      </c>
      <c r="C271" s="11" t="s">
        <v>2735</v>
      </c>
      <c r="D271" s="11" t="s">
        <v>2736</v>
      </c>
      <c r="E271" s="11" t="s">
        <v>2737</v>
      </c>
      <c r="F271" s="11" t="s">
        <v>1075</v>
      </c>
      <c r="G271" s="11" t="s">
        <v>2738</v>
      </c>
      <c r="H271" s="11" t="s">
        <v>2739</v>
      </c>
      <c r="I271" s="11" t="s">
        <v>1096</v>
      </c>
      <c r="J271" s="11" t="s">
        <v>81</v>
      </c>
      <c r="K271" s="12" t="n">
        <v>150</v>
      </c>
      <c r="L271" s="12" t="n">
        <v>800</v>
      </c>
      <c r="M271" s="11" t="s">
        <v>1773</v>
      </c>
      <c r="N271" s="11" t="s">
        <v>1097</v>
      </c>
      <c r="O271" s="10" t="str">
        <f aca="false">IF(COUNTA(B271:N271)=0,"",IF(OR(B271="",C271="",D271="",E271="",G271="",H271="",I271="",J271=""),"ناقص","OK"))</f>
        <v>OK</v>
      </c>
      <c r="P271" s="10" t="str">
        <f aca="false">IF(D271="","",B271&amp;" "&amp;C271&amp;" "&amp;D271&amp;" "&amp;E271&amp;" "&amp;F271&amp;" "&amp;G271)</f>
        <v>أخرى مجرى فتحة السقف تسريب مياه من السقف مع المطر ماء من السقف، مجرى فتحة السقف، تسريب مطر لا توجد لمبة انسداد مجرى تصريف فتحة السقف</v>
      </c>
    </row>
    <row r="272" customFormat="false" ht="35.05" hidden="false" customHeight="false" outlineLevel="0" collapsed="false">
      <c r="A272" s="10" t="s">
        <v>2740</v>
      </c>
      <c r="B272" s="11" t="s">
        <v>2710</v>
      </c>
      <c r="C272" s="11" t="s">
        <v>2741</v>
      </c>
      <c r="D272" s="11" t="s">
        <v>2742</v>
      </c>
      <c r="E272" s="11" t="s">
        <v>2743</v>
      </c>
      <c r="F272" s="11" t="s">
        <v>1075</v>
      </c>
      <c r="G272" s="11" t="s">
        <v>2744</v>
      </c>
      <c r="H272" s="11" t="s">
        <v>2313</v>
      </c>
      <c r="I272" s="11" t="s">
        <v>1096</v>
      </c>
      <c r="J272" s="11" t="s">
        <v>81</v>
      </c>
      <c r="K272" s="12" t="n">
        <v>200</v>
      </c>
      <c r="L272" s="12" t="n">
        <v>1500</v>
      </c>
      <c r="M272" s="11" t="s">
        <v>1069</v>
      </c>
      <c r="N272" s="11" t="s">
        <v>1097</v>
      </c>
      <c r="O272" s="10" t="str">
        <f aca="false">IF(COUNTA(B272:N272)=0,"",IF(OR(B272="",C272="",D272="",E272="",G272="",H272="",I272="",J272=""),"ناقص","OK"))</f>
        <v>OK</v>
      </c>
      <c r="P272" s="10" t="str">
        <f aca="false">IF(D272="","",B272&amp;" "&amp;C272&amp;" "&amp;D272&amp;" "&amp;E272&amp;" "&amp;F272&amp;" "&amp;G272)</f>
        <v>أخرى حشوة الباب مياه تدخل من الباب وتبل الأرضية حشوة الباب، مياه من الباب، بلل الأرضية، مطاط الباب لا توجد لمبة تلف أو تقادم مطاط الباب</v>
      </c>
    </row>
    <row r="273" customFormat="false" ht="23.85" hidden="false" customHeight="false" outlineLevel="0" collapsed="false">
      <c r="A273" s="10" t="s">
        <v>2745</v>
      </c>
      <c r="B273" s="11" t="s">
        <v>2710</v>
      </c>
      <c r="C273" s="11" t="s">
        <v>2746</v>
      </c>
      <c r="D273" s="11" t="s">
        <v>2747</v>
      </c>
      <c r="E273" s="11" t="s">
        <v>2748</v>
      </c>
      <c r="F273" s="11" t="s">
        <v>1075</v>
      </c>
      <c r="G273" s="11" t="s">
        <v>2749</v>
      </c>
      <c r="H273" s="11" t="s">
        <v>2750</v>
      </c>
      <c r="I273" s="11" t="s">
        <v>1096</v>
      </c>
      <c r="J273" s="11" t="s">
        <v>81</v>
      </c>
      <c r="K273" s="12" t="n">
        <v>300</v>
      </c>
      <c r="L273" s="12" t="n">
        <v>4000</v>
      </c>
      <c r="M273" s="11" t="s">
        <v>1069</v>
      </c>
      <c r="N273" s="11" t="s">
        <v>1097</v>
      </c>
      <c r="O273" s="10" t="str">
        <f aca="false">IF(COUNTA(B273:N273)=0,"",IF(OR(B273="",C273="",D273="",E273="",G273="",H273="",I273="",J273=""),"ناقص","OK"))</f>
        <v>OK</v>
      </c>
      <c r="P273" s="10" t="str">
        <f aca="false">IF(D273="","",B273&amp;" "&amp;C273&amp;" "&amp;D273&amp;" "&amp;E273&amp;" "&amp;F273&amp;" "&amp;G273)</f>
        <v>أخرى ضباب الفنار رطوبة وضباب داخل الفنار الأمامي رطوبة في الفنار، ضباب، مياه في الكشاف لا توجد لمبة تلف غطاء الفنار أو حشوته</v>
      </c>
    </row>
    <row r="274" customFormat="false" ht="23.85" hidden="false" customHeight="false" outlineLevel="0" collapsed="false">
      <c r="A274" s="10" t="s">
        <v>2751</v>
      </c>
      <c r="B274" s="11" t="s">
        <v>2710</v>
      </c>
      <c r="C274" s="11" t="s">
        <v>2752</v>
      </c>
      <c r="D274" s="11" t="s">
        <v>2753</v>
      </c>
      <c r="E274" s="11" t="s">
        <v>2754</v>
      </c>
      <c r="F274" s="11" t="s">
        <v>1075</v>
      </c>
      <c r="G274" s="11" t="s">
        <v>2755</v>
      </c>
      <c r="H274" s="11" t="s">
        <v>2756</v>
      </c>
      <c r="I274" s="11" t="s">
        <v>1096</v>
      </c>
      <c r="J274" s="11" t="s">
        <v>81</v>
      </c>
      <c r="K274" s="12" t="n">
        <v>150</v>
      </c>
      <c r="L274" s="12" t="n">
        <v>1200</v>
      </c>
      <c r="M274" s="11" t="s">
        <v>1069</v>
      </c>
      <c r="N274" s="11" t="s">
        <v>1097</v>
      </c>
      <c r="O274" s="10" t="str">
        <f aca="false">IF(COUNTA(B274:N274)=0,"",IF(OR(B274="",C274="",D274="",E274="",G274="",H274="",I274="",J274=""),"ناقص","OK"))</f>
        <v>OK</v>
      </c>
      <c r="P274" s="10" t="str">
        <f aca="false">IF(D274="","",B274&amp;" "&amp;C274&amp;" "&amp;D274&amp;" "&amp;E274&amp;" "&amp;F274&amp;" "&amp;G274)</f>
        <v>أخرى رائحة العفن ريحة عفن ورطوبة داخل العربية ريحة عفن، رطوبة، ريحة وحشة جوه لا توجد لمبة رطوبة في الأرضية أو فلتر الكابينة</v>
      </c>
    </row>
    <row r="275" customFormat="false" ht="23.85" hidden="false" customHeight="false" outlineLevel="0" collapsed="false">
      <c r="A275" s="10" t="s">
        <v>2757</v>
      </c>
      <c r="B275" s="11" t="s">
        <v>2710</v>
      </c>
      <c r="C275" s="11" t="s">
        <v>2758</v>
      </c>
      <c r="D275" s="11" t="s">
        <v>2759</v>
      </c>
      <c r="E275" s="11" t="s">
        <v>2760</v>
      </c>
      <c r="F275" s="11" t="s">
        <v>1075</v>
      </c>
      <c r="G275" s="11" t="s">
        <v>2761</v>
      </c>
      <c r="H275" s="11" t="s">
        <v>2762</v>
      </c>
      <c r="I275" s="11" t="s">
        <v>1067</v>
      </c>
      <c r="J275" s="11" t="s">
        <v>1068</v>
      </c>
      <c r="K275" s="12" t="n">
        <v>1500</v>
      </c>
      <c r="L275" s="12" t="n">
        <v>12000</v>
      </c>
      <c r="M275" s="11" t="s">
        <v>1069</v>
      </c>
      <c r="N275" s="11" t="s">
        <v>1070</v>
      </c>
      <c r="O275" s="10" t="str">
        <f aca="false">IF(COUNTA(B275:N275)=0,"",IF(OR(B275="",C275="",D275="",E275="",G275="",H275="",I275="",J275=""),"ناقص","OK"))</f>
        <v>OK</v>
      </c>
      <c r="P275" s="10" t="str">
        <f aca="false">IF(D275="","",B275&amp;" "&amp;C275&amp;" "&amp;D275&amp;" "&amp;E275&amp;" "&amp;F275&amp;" "&amp;G275)</f>
        <v>أخرى صدأ الأرضية صدأ وثقوب في أرضية العربية صدأ الأرضية، ثقوب، شاسيه صدأ لا توجد لمبة تراكم رطوبة وغياب الحماية</v>
      </c>
    </row>
    <row r="276" customFormat="false" ht="23.85" hidden="false" customHeight="false" outlineLevel="0" collapsed="false">
      <c r="A276" s="10" t="s">
        <v>2763</v>
      </c>
      <c r="B276" s="11" t="s">
        <v>2710</v>
      </c>
      <c r="C276" s="11" t="s">
        <v>2764</v>
      </c>
      <c r="D276" s="11" t="s">
        <v>2765</v>
      </c>
      <c r="E276" s="11" t="s">
        <v>2766</v>
      </c>
      <c r="F276" s="11" t="s">
        <v>1075</v>
      </c>
      <c r="G276" s="11" t="s">
        <v>2767</v>
      </c>
      <c r="H276" s="11" t="s">
        <v>2768</v>
      </c>
      <c r="I276" s="11" t="s">
        <v>1096</v>
      </c>
      <c r="J276" s="11" t="s">
        <v>81</v>
      </c>
      <c r="K276" s="12" t="n">
        <v>1000</v>
      </c>
      <c r="L276" s="12" t="n">
        <v>8000</v>
      </c>
      <c r="M276" s="11" t="s">
        <v>1069</v>
      </c>
      <c r="N276" s="11" t="s">
        <v>1097</v>
      </c>
      <c r="O276" s="10" t="str">
        <f aca="false">IF(COUNTA(B276:N276)=0,"",IF(OR(B276="",C276="",D276="",E276="",G276="",H276="",I276="",J276=""),"ناقص","OK"))</f>
        <v>OK</v>
      </c>
      <c r="P276" s="10" t="str">
        <f aca="false">IF(D276="","",B276&amp;" "&amp;C276&amp;" "&amp;D276&amp;" "&amp;E276&amp;" "&amp;F276&amp;" "&amp;G276)</f>
        <v>أخرى صدأ الجوانب صدأ في حواف الأبواب والرفارف صدأ الأبواب، رفرف صدأ، حافة الباب لا توجد لمبة خدوش دهان وتراكم رطوبة</v>
      </c>
    </row>
    <row r="277" customFormat="false" ht="35.05" hidden="false" customHeight="false" outlineLevel="0" collapsed="false">
      <c r="A277" s="10" t="s">
        <v>2769</v>
      </c>
      <c r="B277" s="11" t="s">
        <v>2710</v>
      </c>
      <c r="C277" s="11" t="s">
        <v>2770</v>
      </c>
      <c r="D277" s="11" t="s">
        <v>2771</v>
      </c>
      <c r="E277" s="11" t="s">
        <v>2772</v>
      </c>
      <c r="F277" s="11" t="s">
        <v>1075</v>
      </c>
      <c r="G277" s="11" t="s">
        <v>2773</v>
      </c>
      <c r="H277" s="11" t="s">
        <v>2774</v>
      </c>
      <c r="I277" s="11" t="s">
        <v>1096</v>
      </c>
      <c r="J277" s="11" t="s">
        <v>81</v>
      </c>
      <c r="K277" s="12" t="n">
        <v>1500</v>
      </c>
      <c r="L277" s="12" t="n">
        <v>10000</v>
      </c>
      <c r="M277" s="11" t="s">
        <v>1069</v>
      </c>
      <c r="N277" s="11" t="s">
        <v>1097</v>
      </c>
      <c r="O277" s="10" t="str">
        <f aca="false">IF(COUNTA(B277:N277)=0,"",IF(OR(B277="",C277="",D277="",E277="",G277="",H277="",I277="",J277=""),"ناقص","OK"))</f>
        <v>OK</v>
      </c>
      <c r="P277" s="10" t="str">
        <f aca="false">IF(D277="","",B277&amp;" "&amp;C277&amp;" "&amp;D277&amp;" "&amp;E277&amp;" "&amp;F277&amp;" "&amp;G277)</f>
        <v>أخرى الدهان الباهت لون الدهان باهت وبيتقشر على السقف والكبوت دهان باهت، تقشر الدهان، السقف، أكسدة لا توجد لمبة تعرض طويل للشمس</v>
      </c>
    </row>
    <row r="278" customFormat="false" ht="23.85" hidden="false" customHeight="false" outlineLevel="0" collapsed="false">
      <c r="A278" s="10" t="s">
        <v>2775</v>
      </c>
      <c r="B278" s="11" t="s">
        <v>2710</v>
      </c>
      <c r="C278" s="11" t="s">
        <v>2776</v>
      </c>
      <c r="D278" s="11" t="s">
        <v>2777</v>
      </c>
      <c r="E278" s="11" t="s">
        <v>2778</v>
      </c>
      <c r="F278" s="11" t="s">
        <v>1075</v>
      </c>
      <c r="G278" s="11" t="s">
        <v>2779</v>
      </c>
      <c r="H278" s="11" t="s">
        <v>2780</v>
      </c>
      <c r="I278" s="11" t="s">
        <v>1096</v>
      </c>
      <c r="J278" s="11" t="s">
        <v>81</v>
      </c>
      <c r="K278" s="12" t="n">
        <v>800</v>
      </c>
      <c r="L278" s="12" t="n">
        <v>5000</v>
      </c>
      <c r="M278" s="11" t="s">
        <v>1069</v>
      </c>
      <c r="N278" s="11" t="s">
        <v>1097</v>
      </c>
      <c r="O278" s="10" t="str">
        <f aca="false">IF(COUNTA(B278:N278)=0,"",IF(OR(B278="",C278="",D278="",E278="",G278="",H278="",I278="",J278=""),"ناقص","OK"))</f>
        <v>OK</v>
      </c>
      <c r="P278" s="10" t="str">
        <f aca="false">IF(D278="","",B278&amp;" "&amp;C278&amp;" "&amp;D278&amp;" "&amp;E278&amp;" "&amp;F278&amp;" "&amp;G278)</f>
        <v>أخرى خدش عميق خدش عميق في الدهان والمعدن ظاهر خدش عميق، المعدن ظاهر، رش لا توجد لمبة احتكاك أو صدمة</v>
      </c>
    </row>
    <row r="279" customFormat="false" ht="35.05" hidden="false" customHeight="false" outlineLevel="0" collapsed="false">
      <c r="A279" s="10" t="s">
        <v>2781</v>
      </c>
      <c r="B279" s="11" t="s">
        <v>2710</v>
      </c>
      <c r="C279" s="11" t="s">
        <v>2782</v>
      </c>
      <c r="D279" s="11" t="s">
        <v>2783</v>
      </c>
      <c r="E279" s="11" t="s">
        <v>2784</v>
      </c>
      <c r="F279" s="11" t="s">
        <v>1075</v>
      </c>
      <c r="G279" s="11" t="s">
        <v>2785</v>
      </c>
      <c r="H279" s="11" t="s">
        <v>2786</v>
      </c>
      <c r="I279" s="11" t="s">
        <v>1067</v>
      </c>
      <c r="J279" s="11" t="s">
        <v>1068</v>
      </c>
      <c r="K279" s="12" t="n">
        <v>300</v>
      </c>
      <c r="L279" s="12" t="n">
        <v>2500</v>
      </c>
      <c r="M279" s="11" t="s">
        <v>1069</v>
      </c>
      <c r="N279" s="11" t="s">
        <v>1070</v>
      </c>
      <c r="O279" s="10" t="str">
        <f aca="false">IF(COUNTA(B279:N279)=0,"",IF(OR(B279="",C279="",D279="",E279="",G279="",H279="",I279="",J279=""),"ناقص","OK"))</f>
        <v>OK</v>
      </c>
      <c r="P279" s="10" t="str">
        <f aca="false">IF(D279="","",B279&amp;" "&amp;C279&amp;" "&amp;D279&amp;" "&amp;E279&amp;" "&amp;F279&amp;" "&amp;G279)</f>
        <v>أخرى حزام الأمان لا يسحب حزام الأمان بطيء في السحب أو مش بيرجع حزام الأمان، بطيء، مش بيرجع، لف الحزام لا توجد لمبة اتساخ أو تلف نابض الحزام</v>
      </c>
    </row>
    <row r="280" customFormat="false" ht="23.85" hidden="false" customHeight="false" outlineLevel="0" collapsed="false">
      <c r="A280" s="10" t="s">
        <v>2787</v>
      </c>
      <c r="B280" s="11" t="s">
        <v>2710</v>
      </c>
      <c r="C280" s="11" t="s">
        <v>2788</v>
      </c>
      <c r="D280" s="11" t="s">
        <v>2789</v>
      </c>
      <c r="E280" s="11" t="s">
        <v>2790</v>
      </c>
      <c r="F280" s="11" t="s">
        <v>1075</v>
      </c>
      <c r="G280" s="11" t="s">
        <v>2791</v>
      </c>
      <c r="H280" s="11" t="s">
        <v>2792</v>
      </c>
      <c r="I280" s="11" t="s">
        <v>1117</v>
      </c>
      <c r="J280" s="11" t="s">
        <v>80</v>
      </c>
      <c r="K280" s="12" t="n">
        <v>300</v>
      </c>
      <c r="L280" s="12" t="n">
        <v>2500</v>
      </c>
      <c r="M280" s="11" t="s">
        <v>1069</v>
      </c>
      <c r="N280" s="11" t="s">
        <v>1118</v>
      </c>
      <c r="O280" s="10" t="str">
        <f aca="false">IF(COUNTA(B280:N280)=0,"",IF(OR(B280="",C280="",D280="",E280="",G280="",H280="",I280="",J280=""),"ناقص","OK"))</f>
        <v>OK</v>
      </c>
      <c r="P280" s="10" t="str">
        <f aca="false">IF(D280="","",B280&amp;" "&amp;C280&amp;" "&amp;D280&amp;" "&amp;E280&amp;" "&amp;F280&amp;" "&amp;G280)</f>
        <v>أخرى حزام الأمان العالق حزام الأمان مقفول ولا يتحرك حزام مقفول، عالق، لا يتحرك، قفل الحزام لا توجد لمبة تلف آلية القفل</v>
      </c>
    </row>
    <row r="281" customFormat="false" ht="35.05" hidden="false" customHeight="false" outlineLevel="0" collapsed="false">
      <c r="A281" s="10" t="s">
        <v>2793</v>
      </c>
      <c r="B281" s="11" t="s">
        <v>2710</v>
      </c>
      <c r="C281" s="11" t="s">
        <v>2794</v>
      </c>
      <c r="D281" s="11" t="s">
        <v>2795</v>
      </c>
      <c r="E281" s="11" t="s">
        <v>2796</v>
      </c>
      <c r="F281" s="11" t="s">
        <v>1075</v>
      </c>
      <c r="G281" s="11" t="s">
        <v>2797</v>
      </c>
      <c r="H281" s="11" t="s">
        <v>2798</v>
      </c>
      <c r="I281" s="11" t="s">
        <v>1096</v>
      </c>
      <c r="J281" s="11" t="s">
        <v>81</v>
      </c>
      <c r="K281" s="12" t="n">
        <v>300</v>
      </c>
      <c r="L281" s="12" t="n">
        <v>3000</v>
      </c>
      <c r="M281" s="11" t="s">
        <v>2799</v>
      </c>
      <c r="N281" s="11" t="s">
        <v>1097</v>
      </c>
      <c r="O281" s="10" t="str">
        <f aca="false">IF(COUNTA(B281:N281)=0,"",IF(OR(B281="",C281="",D281="",E281="",G281="",H281="",I281="",J281=""),"ناقص","OK"))</f>
        <v>OK</v>
      </c>
      <c r="P281" s="10" t="str">
        <f aca="false">IF(D281="","",B281&amp;" "&amp;C281&amp;" "&amp;D281&amp;" "&amp;E281&amp;" "&amp;F281&amp;" "&amp;G281)</f>
        <v>أخرى مقعد السائق الكهربائي مقعد السائق الكهربائي لا يتحرك مقعد كهربائي، مش بيتحرك، موتور المقعد لا توجد لمبة عطل موتور أو سويتش المقعد</v>
      </c>
    </row>
    <row r="282" customFormat="false" ht="35.05" hidden="false" customHeight="false" outlineLevel="0" collapsed="false">
      <c r="A282" s="10" t="s">
        <v>2800</v>
      </c>
      <c r="B282" s="11" t="s">
        <v>2710</v>
      </c>
      <c r="C282" s="11" t="s">
        <v>2801</v>
      </c>
      <c r="D282" s="11" t="s">
        <v>2802</v>
      </c>
      <c r="E282" s="11" t="s">
        <v>2803</v>
      </c>
      <c r="F282" s="11" t="s">
        <v>1075</v>
      </c>
      <c r="G282" s="11" t="s">
        <v>2804</v>
      </c>
      <c r="H282" s="11" t="s">
        <v>2805</v>
      </c>
      <c r="I282" s="11" t="s">
        <v>1117</v>
      </c>
      <c r="J282" s="11" t="s">
        <v>80</v>
      </c>
      <c r="K282" s="12" t="n">
        <v>300</v>
      </c>
      <c r="L282" s="12" t="n">
        <v>2000</v>
      </c>
      <c r="M282" s="11" t="s">
        <v>1069</v>
      </c>
      <c r="N282" s="11" t="s">
        <v>1118</v>
      </c>
      <c r="O282" s="10" t="str">
        <f aca="false">IF(COUNTA(B282:N282)=0,"",IF(OR(B282="",C282="",D282="",E282="",G282="",H282="",I282="",J282=""),"ناقص","OK"))</f>
        <v>OK</v>
      </c>
      <c r="P282" s="10" t="str">
        <f aca="false">IF(D282="","",B282&amp;" "&amp;C282&amp;" "&amp;D282&amp;" "&amp;E282&amp;" "&amp;F282&amp;" "&amp;G282)</f>
        <v>أخرى قضيب المقعد المقعد لا يثبت وبيتحرك أثناء القيادة المقعد بيتحرك، قضيب المقعد، قفل المقعد، مش ثابت لا توجد لمبة تلف قفل القضيب</v>
      </c>
    </row>
    <row r="283" customFormat="false" ht="23.85" hidden="false" customHeight="false" outlineLevel="0" collapsed="false">
      <c r="A283" s="10" t="s">
        <v>2806</v>
      </c>
      <c r="B283" s="11" t="s">
        <v>2710</v>
      </c>
      <c r="C283" s="11" t="s">
        <v>2807</v>
      </c>
      <c r="D283" s="11" t="s">
        <v>2808</v>
      </c>
      <c r="E283" s="11" t="s">
        <v>2809</v>
      </c>
      <c r="F283" s="11" t="s">
        <v>1075</v>
      </c>
      <c r="G283" s="11" t="s">
        <v>2810</v>
      </c>
      <c r="H283" s="11" t="s">
        <v>2811</v>
      </c>
      <c r="I283" s="11" t="s">
        <v>1096</v>
      </c>
      <c r="J283" s="11" t="s">
        <v>81</v>
      </c>
      <c r="K283" s="12" t="n">
        <v>150</v>
      </c>
      <c r="L283" s="12" t="n">
        <v>1000</v>
      </c>
      <c r="M283" s="11" t="s">
        <v>1069</v>
      </c>
      <c r="N283" s="11" t="s">
        <v>1097</v>
      </c>
      <c r="O283" s="10" t="str">
        <f aca="false">IF(COUNTA(B283:N283)=0,"",IF(OR(B283="",C283="",D283="",E283="",G283="",H283="",I283="",J283=""),"ناقص","OK"))</f>
        <v>OK</v>
      </c>
      <c r="P283" s="10" t="str">
        <f aca="false">IF(D283="","",B283&amp;" "&amp;C283&amp;" "&amp;D283&amp;" "&amp;E283&amp;" "&amp;F283&amp;" "&amp;G283)</f>
        <v>أخرى مسند الرأس مسند الرأس مكسور أو مفكوك مسند الرأس، مكسور، الوسادة، الكرسي لا توجد لمبة كسر القضيب البلاستيك</v>
      </c>
    </row>
    <row r="284" customFormat="false" ht="23.85" hidden="false" customHeight="false" outlineLevel="0" collapsed="false">
      <c r="A284" s="10" t="s">
        <v>2812</v>
      </c>
      <c r="B284" s="11" t="s">
        <v>2710</v>
      </c>
      <c r="C284" s="11" t="s">
        <v>2813</v>
      </c>
      <c r="D284" s="11" t="s">
        <v>2814</v>
      </c>
      <c r="E284" s="11" t="s">
        <v>2815</v>
      </c>
      <c r="F284" s="11" t="s">
        <v>1075</v>
      </c>
      <c r="G284" s="11" t="s">
        <v>2816</v>
      </c>
      <c r="H284" s="11" t="s">
        <v>2817</v>
      </c>
      <c r="I284" s="11" t="s">
        <v>1096</v>
      </c>
      <c r="J284" s="11" t="s">
        <v>81</v>
      </c>
      <c r="K284" s="12" t="n">
        <v>150</v>
      </c>
      <c r="L284" s="12" t="n">
        <v>800</v>
      </c>
      <c r="M284" s="11" t="s">
        <v>1069</v>
      </c>
      <c r="N284" s="11" t="s">
        <v>1097</v>
      </c>
      <c r="O284" s="10" t="str">
        <f aca="false">IF(COUNTA(B284:N284)=0,"",IF(OR(B284="",C284="",D284="",E284="",G284="",H284="",I284="",J284=""),"ناقص","OK"))</f>
        <v>OK</v>
      </c>
      <c r="P284" s="10" t="str">
        <f aca="false">IF(D284="","",B284&amp;" "&amp;C284&amp;" "&amp;D284&amp;" "&amp;E284&amp;" "&amp;F284&amp;" "&amp;G284)</f>
        <v>أخرى الكبوت الكبوت لا يفتح من الداخل الكبوت مش بيفتح، كابل الكبوت، زر الكبوت لا توجد لمبة كسر كابل فتح الكبوت</v>
      </c>
    </row>
    <row r="285" customFormat="false" ht="35.05" hidden="false" customHeight="false" outlineLevel="0" collapsed="false">
      <c r="A285" s="10" t="s">
        <v>2818</v>
      </c>
      <c r="B285" s="11" t="s">
        <v>2710</v>
      </c>
      <c r="C285" s="11" t="s">
        <v>2819</v>
      </c>
      <c r="D285" s="11" t="s">
        <v>2820</v>
      </c>
      <c r="E285" s="11" t="s">
        <v>2821</v>
      </c>
      <c r="F285" s="11" t="s">
        <v>1075</v>
      </c>
      <c r="G285" s="11" t="s">
        <v>2822</v>
      </c>
      <c r="H285" s="11" t="s">
        <v>2823</v>
      </c>
      <c r="I285" s="11" t="s">
        <v>1096</v>
      </c>
      <c r="J285" s="11" t="s">
        <v>81</v>
      </c>
      <c r="K285" s="12" t="n">
        <v>150</v>
      </c>
      <c r="L285" s="12" t="n">
        <v>1200</v>
      </c>
      <c r="M285" s="11" t="s">
        <v>1069</v>
      </c>
      <c r="N285" s="11" t="s">
        <v>1097</v>
      </c>
      <c r="O285" s="10" t="str">
        <f aca="false">IF(COUNTA(B285:N285)=0,"",IF(OR(B285="",C285="",D285="",E285="",G285="",H285="",I285="",J285=""),"ناقص","OK"))</f>
        <v>OK</v>
      </c>
      <c r="P285" s="10" t="str">
        <f aca="false">IF(D285="","",B285&amp;" "&amp;C285&amp;" "&amp;D285&amp;" "&amp;E285&amp;" "&amp;F285&amp;" "&amp;G285)</f>
        <v>أخرى الدعامة الغازية غطاء الكبوت أو الشنطة بينزل لوحده الدعامة، الشنطة بتنزل، كبوت بينزل، مساعد الشنطة لا توجد لمبة ضعف الدعامة الغازية</v>
      </c>
    </row>
    <row r="286" customFormat="false" ht="23.85" hidden="false" customHeight="false" outlineLevel="0" collapsed="false">
      <c r="A286" s="10" t="s">
        <v>2824</v>
      </c>
      <c r="B286" s="11" t="s">
        <v>2710</v>
      </c>
      <c r="C286" s="11" t="s">
        <v>2825</v>
      </c>
      <c r="D286" s="11" t="s">
        <v>2826</v>
      </c>
      <c r="E286" s="11" t="s">
        <v>2827</v>
      </c>
      <c r="F286" s="11" t="s">
        <v>1075</v>
      </c>
      <c r="G286" s="11" t="s">
        <v>2828</v>
      </c>
      <c r="H286" s="11" t="s">
        <v>2829</v>
      </c>
      <c r="I286" s="11" t="s">
        <v>1096</v>
      </c>
      <c r="J286" s="11" t="s">
        <v>81</v>
      </c>
      <c r="K286" s="12" t="n">
        <v>300</v>
      </c>
      <c r="L286" s="12" t="n">
        <v>4000</v>
      </c>
      <c r="M286" s="11" t="s">
        <v>2830</v>
      </c>
      <c r="N286" s="11" t="s">
        <v>1097</v>
      </c>
      <c r="O286" s="10" t="str">
        <f aca="false">IF(COUNTA(B286:N286)=0,"",IF(OR(B286="",C286="",D286="",E286="",G286="",H286="",I286="",J286=""),"ناقص","OK"))</f>
        <v>OK</v>
      </c>
      <c r="P286" s="10" t="str">
        <f aca="false">IF(D286="","",B286&amp;" "&amp;C286&amp;" "&amp;D286&amp;" "&amp;E286&amp;" "&amp;F286&amp;" "&amp;G286)</f>
        <v>أخرى الشنطة الكهربائية الشنطة الكهربائية لا تفتح الشنطة الكهربائية، مش بتفتح، موتور الشنطة لا توجد لمبة عطل موتور أو سويتش</v>
      </c>
    </row>
    <row r="287" customFormat="false" ht="23.85" hidden="false" customHeight="false" outlineLevel="0" collapsed="false">
      <c r="A287" s="10" t="s">
        <v>2831</v>
      </c>
      <c r="B287" s="11" t="s">
        <v>2710</v>
      </c>
      <c r="C287" s="11" t="s">
        <v>2832</v>
      </c>
      <c r="D287" s="11" t="s">
        <v>2833</v>
      </c>
      <c r="E287" s="11" t="s">
        <v>2834</v>
      </c>
      <c r="F287" s="11" t="s">
        <v>1075</v>
      </c>
      <c r="G287" s="11" t="s">
        <v>2835</v>
      </c>
      <c r="H287" s="11" t="s">
        <v>2836</v>
      </c>
      <c r="I287" s="11" t="s">
        <v>1096</v>
      </c>
      <c r="J287" s="11" t="s">
        <v>81</v>
      </c>
      <c r="K287" s="12" t="n">
        <v>100</v>
      </c>
      <c r="L287" s="12" t="n">
        <v>1000</v>
      </c>
      <c r="M287" s="11" t="s">
        <v>1069</v>
      </c>
      <c r="N287" s="11" t="s">
        <v>1097</v>
      </c>
      <c r="O287" s="10" t="str">
        <f aca="false">IF(COUNTA(B287:N287)=0,"",IF(OR(B287="",C287="",D287="",E287="",G287="",H287="",I287="",J287=""),"ناقص","OK"))</f>
        <v>OK</v>
      </c>
      <c r="P287" s="10" t="str">
        <f aca="false">IF(D287="","",B287&amp;" "&amp;C287&amp;" "&amp;D287&amp;" "&amp;E287&amp;" "&amp;F287&amp;" "&amp;G287)</f>
        <v>أخرى مصد العربية المصد مفكوك ومتحرك على الطريق المصد، مفكوك، شنطة المصد، كليبس لا توجد لمبة كسر كليبسات التثبيت</v>
      </c>
    </row>
    <row r="288" customFormat="false" ht="35.05" hidden="false" customHeight="false" outlineLevel="0" collapsed="false">
      <c r="A288" s="10" t="s">
        <v>2837</v>
      </c>
      <c r="B288" s="11" t="s">
        <v>2710</v>
      </c>
      <c r="C288" s="11" t="s">
        <v>2838</v>
      </c>
      <c r="D288" s="11" t="s">
        <v>2839</v>
      </c>
      <c r="E288" s="11" t="s">
        <v>2840</v>
      </c>
      <c r="F288" s="11" t="s">
        <v>1075</v>
      </c>
      <c r="G288" s="11" t="s">
        <v>2841</v>
      </c>
      <c r="H288" s="11" t="s">
        <v>2842</v>
      </c>
      <c r="I288" s="11" t="s">
        <v>1096</v>
      </c>
      <c r="J288" s="11" t="s">
        <v>81</v>
      </c>
      <c r="K288" s="12" t="n">
        <v>100</v>
      </c>
      <c r="L288" s="12" t="n">
        <v>800</v>
      </c>
      <c r="M288" s="11" t="s">
        <v>1069</v>
      </c>
      <c r="N288" s="11" t="s">
        <v>1097</v>
      </c>
      <c r="O288" s="10" t="str">
        <f aca="false">IF(COUNTA(B288:N288)=0,"",IF(OR(B288="",C288="",D288="",E288="",G288="",H288="",I288="",J288=""),"ناقص","OK"))</f>
        <v>OK</v>
      </c>
      <c r="P288" s="10" t="str">
        <f aca="false">IF(D288="","",B288&amp;" "&amp;C288&amp;" "&amp;D288&amp;" "&amp;E288&amp;" "&amp;F288&amp;" "&amp;G288)</f>
        <v>أخرى غطاء المحرك السفلي صوت جر على الأرض عند المطبات جر على الأرض، الغطاء السفلي، مطبات، احتكاك لا توجد لمبة ارتخاء الغطاء السفلي</v>
      </c>
    </row>
    <row r="289" customFormat="false" ht="35.05" hidden="false" customHeight="false" outlineLevel="0" collapsed="false">
      <c r="A289" s="10" t="s">
        <v>2843</v>
      </c>
      <c r="B289" s="11" t="s">
        <v>2710</v>
      </c>
      <c r="C289" s="11" t="s">
        <v>2844</v>
      </c>
      <c r="D289" s="11" t="s">
        <v>2845</v>
      </c>
      <c r="E289" s="11" t="s">
        <v>2846</v>
      </c>
      <c r="F289" s="11" t="s">
        <v>1075</v>
      </c>
      <c r="G289" s="11" t="s">
        <v>2847</v>
      </c>
      <c r="H289" s="11" t="s">
        <v>2848</v>
      </c>
      <c r="I289" s="11" t="s">
        <v>1096</v>
      </c>
      <c r="J289" s="11" t="s">
        <v>81</v>
      </c>
      <c r="K289" s="12" t="n">
        <v>200</v>
      </c>
      <c r="L289" s="12" t="n">
        <v>1500</v>
      </c>
      <c r="M289" s="11" t="s">
        <v>1069</v>
      </c>
      <c r="N289" s="11" t="s">
        <v>1097</v>
      </c>
      <c r="O289" s="10" t="str">
        <f aca="false">IF(COUNTA(B289:N289)=0,"",IF(OR(B289="",C289="",D289="",E289="",G289="",H289="",I289="",J289=""),"ناقص","OK"))</f>
        <v>OK</v>
      </c>
      <c r="P289" s="10" t="str">
        <f aca="false">IF(D289="","",B289&amp;" "&amp;C289&amp;" "&amp;D289&amp;" "&amp;E289&amp;" "&amp;F289&amp;" "&amp;G289)</f>
        <v>أخرى صفير الهواء صفير عالي من الباب أو الزجاج على السرعة صفير على السرعة، هواء من الباب، ضوضاء الهواء لا توجد لمبة تلف مطاط الباب أو الزجاج</v>
      </c>
    </row>
    <row r="290" customFormat="false" ht="35.05" hidden="false" customHeight="false" outlineLevel="0" collapsed="false">
      <c r="A290" s="10" t="s">
        <v>2849</v>
      </c>
      <c r="B290" s="11" t="s">
        <v>2710</v>
      </c>
      <c r="C290" s="11" t="s">
        <v>2850</v>
      </c>
      <c r="D290" s="11" t="s">
        <v>2851</v>
      </c>
      <c r="E290" s="11" t="s">
        <v>2852</v>
      </c>
      <c r="F290" s="11" t="s">
        <v>1075</v>
      </c>
      <c r="G290" s="11" t="s">
        <v>2853</v>
      </c>
      <c r="H290" s="11" t="s">
        <v>2854</v>
      </c>
      <c r="I290" s="11" t="s">
        <v>1067</v>
      </c>
      <c r="J290" s="11" t="s">
        <v>1068</v>
      </c>
      <c r="K290" s="12" t="n">
        <v>400</v>
      </c>
      <c r="L290" s="12" t="n">
        <v>5000</v>
      </c>
      <c r="M290" s="11" t="s">
        <v>1069</v>
      </c>
      <c r="N290" s="11" t="s">
        <v>1070</v>
      </c>
      <c r="O290" s="10" t="str">
        <f aca="false">IF(COUNTA(B290:N290)=0,"",IF(OR(B290="",C290="",D290="",E290="",G290="",H290="",I290="",J290=""),"ناقص","OK"))</f>
        <v>OK</v>
      </c>
      <c r="P290" s="10" t="str">
        <f aca="false">IF(D290="","",B290&amp;" "&amp;C290&amp;" "&amp;D290&amp;" "&amp;E290&amp;" "&amp;F290&amp;" "&amp;G290)</f>
        <v>أخرى عداد السرعة عداد السرعة لا يعمل أو بيتحرك غلط عداد السرعة، مش شغال، قراءة غلط، عداد التابلوه لا توجد لمبة عطل حساس السرعة أو الكلاستر</v>
      </c>
    </row>
    <row r="291" customFormat="false" ht="23.85" hidden="false" customHeight="false" outlineLevel="0" collapsed="false">
      <c r="A291" s="10" t="s">
        <v>2855</v>
      </c>
      <c r="B291" s="11" t="s">
        <v>2710</v>
      </c>
      <c r="C291" s="11" t="s">
        <v>2856</v>
      </c>
      <c r="D291" s="11" t="s">
        <v>2857</v>
      </c>
      <c r="E291" s="11" t="s">
        <v>2858</v>
      </c>
      <c r="F291" s="11" t="s">
        <v>1075</v>
      </c>
      <c r="G291" s="11" t="s">
        <v>2859</v>
      </c>
      <c r="H291" s="11" t="s">
        <v>2860</v>
      </c>
      <c r="I291" s="11" t="s">
        <v>1096</v>
      </c>
      <c r="J291" s="11" t="s">
        <v>81</v>
      </c>
      <c r="K291" s="12" t="n">
        <v>500</v>
      </c>
      <c r="L291" s="12" t="n">
        <v>4000</v>
      </c>
      <c r="M291" s="11" t="s">
        <v>1069</v>
      </c>
      <c r="N291" s="11" t="s">
        <v>1097</v>
      </c>
      <c r="O291" s="10" t="str">
        <f aca="false">IF(COUNTA(B291:N291)=0,"",IF(OR(B291="",C291="",D291="",E291="",G291="",H291="",I291="",J291=""),"ناقص","OK"))</f>
        <v>OK</v>
      </c>
      <c r="P291" s="10" t="str">
        <f aca="false">IF(D291="","",B291&amp;" "&amp;C291&amp;" "&amp;D291&amp;" "&amp;E291&amp;" "&amp;F291&amp;" "&amp;G291)</f>
        <v>أخرى عداد الكيلومترات عداد الكيلومترات واقف أو بيرجع عداد الكيلومترات، واقف، عداد بيرجع لا توجد لمبة عطل الكلاستر</v>
      </c>
    </row>
    <row r="292" customFormat="false" ht="35.05" hidden="false" customHeight="false" outlineLevel="0" collapsed="false">
      <c r="A292" s="10" t="s">
        <v>2861</v>
      </c>
      <c r="B292" s="11" t="s">
        <v>2710</v>
      </c>
      <c r="C292" s="11" t="s">
        <v>2862</v>
      </c>
      <c r="D292" s="11" t="s">
        <v>2863</v>
      </c>
      <c r="E292" s="11" t="s">
        <v>2864</v>
      </c>
      <c r="F292" s="11" t="s">
        <v>1075</v>
      </c>
      <c r="G292" s="11" t="s">
        <v>2865</v>
      </c>
      <c r="H292" s="11" t="s">
        <v>2866</v>
      </c>
      <c r="I292" s="11" t="s">
        <v>1096</v>
      </c>
      <c r="J292" s="11" t="s">
        <v>1068</v>
      </c>
      <c r="K292" s="12" t="n">
        <v>200</v>
      </c>
      <c r="L292" s="12" t="n">
        <v>2500</v>
      </c>
      <c r="M292" s="11" t="s">
        <v>1069</v>
      </c>
      <c r="N292" s="11" t="s">
        <v>1097</v>
      </c>
      <c r="O292" s="10" t="str">
        <f aca="false">IF(COUNTA(B292:N292)=0,"",IF(OR(B292="",C292="",D292="",E292="",G292="",H292="",I292="",J292=""),"ناقص","OK"))</f>
        <v>OK</v>
      </c>
      <c r="P292" s="10" t="str">
        <f aca="false">IF(D292="","",B292&amp;" "&amp;C292&amp;" "&amp;D292&amp;" "&amp;E292&amp;" "&amp;F292&amp;" "&amp;G292)</f>
        <v>أخرى إضاءة التابلوه إضاءة التابلوه ضعيفة أو مطفية إضاءة التابلوه، ضعيفة، الضبط، لمبات العدادات لا توجد لمبة عطل لمبات أو دائرة الإضاءة</v>
      </c>
    </row>
    <row r="293" customFormat="false" ht="23.85" hidden="false" customHeight="false" outlineLevel="0" collapsed="false">
      <c r="A293" s="10" t="s">
        <v>2867</v>
      </c>
      <c r="B293" s="11" t="s">
        <v>2710</v>
      </c>
      <c r="C293" s="11" t="s">
        <v>2868</v>
      </c>
      <c r="D293" s="11" t="s">
        <v>2869</v>
      </c>
      <c r="E293" s="11" t="s">
        <v>2870</v>
      </c>
      <c r="F293" s="11" t="s">
        <v>1075</v>
      </c>
      <c r="G293" s="11" t="s">
        <v>2871</v>
      </c>
      <c r="H293" s="11" t="s">
        <v>2872</v>
      </c>
      <c r="I293" s="11" t="s">
        <v>1096</v>
      </c>
      <c r="J293" s="11" t="s">
        <v>81</v>
      </c>
      <c r="K293" s="12" t="n">
        <v>200</v>
      </c>
      <c r="L293" s="12" t="n">
        <v>5000</v>
      </c>
      <c r="M293" s="11" t="s">
        <v>1069</v>
      </c>
      <c r="N293" s="11" t="s">
        <v>1097</v>
      </c>
      <c r="O293" s="10" t="str">
        <f aca="false">IF(COUNTA(B293:N293)=0,"",IF(OR(B293="",C293="",D293="",E293="",G293="",H293="",I293="",J293=""),"ناقص","OK"))</f>
        <v>OK</v>
      </c>
      <c r="P293" s="10" t="str">
        <f aca="false">IF(D293="","",B293&amp;" "&amp;C293&amp;" "&amp;D293&amp;" "&amp;E293&amp;" "&amp;F293&amp;" "&amp;G293)</f>
        <v>أخرى الراديو والشاشة الراديو بيطفي لوحده الراديو بيطفي، شاشة الراديو، مش شغال لا توجد لمبة مشكلة بالتغذية أو الوحدة</v>
      </c>
    </row>
    <row r="294" customFormat="false" ht="23.85" hidden="false" customHeight="false" outlineLevel="0" collapsed="false">
      <c r="A294" s="10" t="s">
        <v>2873</v>
      </c>
      <c r="B294" s="11" t="s">
        <v>2710</v>
      </c>
      <c r="C294" s="11" t="s">
        <v>2874</v>
      </c>
      <c r="D294" s="11" t="s">
        <v>2875</v>
      </c>
      <c r="E294" s="11" t="s">
        <v>2876</v>
      </c>
      <c r="F294" s="11" t="s">
        <v>1075</v>
      </c>
      <c r="G294" s="11" t="s">
        <v>2877</v>
      </c>
      <c r="H294" s="11" t="s">
        <v>2878</v>
      </c>
      <c r="I294" s="11" t="s">
        <v>1096</v>
      </c>
      <c r="J294" s="11" t="s">
        <v>81</v>
      </c>
      <c r="K294" s="12" t="n">
        <v>150</v>
      </c>
      <c r="L294" s="12" t="n">
        <v>2000</v>
      </c>
      <c r="M294" s="11" t="s">
        <v>1069</v>
      </c>
      <c r="N294" s="11" t="s">
        <v>1097</v>
      </c>
      <c r="O294" s="10" t="str">
        <f aca="false">IF(COUNTA(B294:N294)=0,"",IF(OR(B294="",C294="",D294="",E294="",G294="",H294="",I294="",J294=""),"ناقص","OK"))</f>
        <v>OK</v>
      </c>
      <c r="P294" s="10" t="str">
        <f aca="false">IF(D294="","",B294&amp;" "&amp;C294&amp;" "&amp;D294&amp;" "&amp;E294&amp;" "&amp;F294&amp;" "&amp;G294)</f>
        <v>أخرى السماعات صوت السماعات مشوش أو بيهش السماعات، صوت مشوش، هشهشة، السماعة لا توجد لمبة تلف السماعة أو التوصيلات</v>
      </c>
    </row>
    <row r="295" customFormat="false" ht="35.05" hidden="false" customHeight="false" outlineLevel="0" collapsed="false">
      <c r="A295" s="10" t="s">
        <v>2879</v>
      </c>
      <c r="B295" s="11" t="s">
        <v>2710</v>
      </c>
      <c r="C295" s="11" t="s">
        <v>2880</v>
      </c>
      <c r="D295" s="11" t="s">
        <v>2881</v>
      </c>
      <c r="E295" s="11" t="s">
        <v>2882</v>
      </c>
      <c r="F295" s="11" t="s">
        <v>1075</v>
      </c>
      <c r="G295" s="11" t="s">
        <v>2883</v>
      </c>
      <c r="H295" s="11" t="s">
        <v>2884</v>
      </c>
      <c r="I295" s="11" t="s">
        <v>1067</v>
      </c>
      <c r="J295" s="11" t="s">
        <v>1068</v>
      </c>
      <c r="K295" s="12" t="n">
        <v>200</v>
      </c>
      <c r="L295" s="12" t="n">
        <v>2500</v>
      </c>
      <c r="M295" s="11" t="s">
        <v>1069</v>
      </c>
      <c r="N295" s="11" t="s">
        <v>1070</v>
      </c>
      <c r="O295" s="10" t="str">
        <f aca="false">IF(COUNTA(B295:N295)=0,"",IF(OR(B295="",C295="",D295="",E295="",G295="",H295="",I295="",J295=""),"ناقص","OK"))</f>
        <v>OK</v>
      </c>
      <c r="P295" s="10" t="str">
        <f aca="false">IF(D295="","",B295&amp;" "&amp;C295&amp;" "&amp;D295&amp;" "&amp;E295&amp;" "&amp;F295&amp;" "&amp;G295)</f>
        <v>أخرى جهاز إنذار مضاف أعطال كهربائية غريبة بعد تركيب إنذار أو جهاز خارجي إنذار غير أصلي، جهاز مضاف، أعطال بعد التركيب لا توجد لمبة توصيلات غير أصلية تسحب الكهرباء</v>
      </c>
    </row>
    <row r="296" customFormat="false" ht="35.05" hidden="false" customHeight="false" outlineLevel="0" collapsed="false">
      <c r="A296" s="10" t="s">
        <v>2885</v>
      </c>
      <c r="B296" s="11" t="s">
        <v>2710</v>
      </c>
      <c r="C296" s="11" t="s">
        <v>2886</v>
      </c>
      <c r="D296" s="11" t="s">
        <v>2887</v>
      </c>
      <c r="E296" s="11" t="s">
        <v>2888</v>
      </c>
      <c r="F296" s="11" t="s">
        <v>1075</v>
      </c>
      <c r="G296" s="11" t="s">
        <v>2889</v>
      </c>
      <c r="H296" s="11" t="s">
        <v>2890</v>
      </c>
      <c r="I296" s="11" t="s">
        <v>1067</v>
      </c>
      <c r="J296" s="11" t="s">
        <v>1068</v>
      </c>
      <c r="K296" s="12" t="n">
        <v>300</v>
      </c>
      <c r="L296" s="12" t="n">
        <v>6000</v>
      </c>
      <c r="M296" s="11" t="s">
        <v>1069</v>
      </c>
      <c r="N296" s="11" t="s">
        <v>1070</v>
      </c>
      <c r="O296" s="10" t="str">
        <f aca="false">IF(COUNTA(B296:N296)=0,"",IF(OR(B296="",C296="",D296="",E296="",G296="",H296="",I296="",J296=""),"ناقص","OK"))</f>
        <v>OK</v>
      </c>
      <c r="P296" s="10" t="str">
        <f aca="false">IF(D296="","",B296&amp;" "&amp;C296&amp;" "&amp;D296&amp;" "&amp;E296&amp;" "&amp;F296&amp;" "&amp;G296)</f>
        <v>أخرى الزجاج الأمامي شرخ صغير في الزجاج الأمامي بيكبر زجاج الأمامي، شرخ، كسر بسيط، رماية حجر لا توجد لمبة ضربة حجر أو تغير حراري</v>
      </c>
    </row>
    <row r="297" customFormat="false" ht="35.05" hidden="false" customHeight="false" outlineLevel="0" collapsed="false">
      <c r="A297" s="10" t="s">
        <v>2891</v>
      </c>
      <c r="B297" s="11" t="s">
        <v>2710</v>
      </c>
      <c r="C297" s="11" t="s">
        <v>2892</v>
      </c>
      <c r="D297" s="11" t="s">
        <v>2893</v>
      </c>
      <c r="E297" s="11" t="s">
        <v>2894</v>
      </c>
      <c r="F297" s="11" t="s">
        <v>1075</v>
      </c>
      <c r="G297" s="11" t="s">
        <v>2895</v>
      </c>
      <c r="H297" s="11" t="s">
        <v>2896</v>
      </c>
      <c r="I297" s="11" t="s">
        <v>1096</v>
      </c>
      <c r="J297" s="11" t="s">
        <v>81</v>
      </c>
      <c r="K297" s="12" t="n">
        <v>80</v>
      </c>
      <c r="L297" s="12" t="n">
        <v>500</v>
      </c>
      <c r="M297" s="11" t="s">
        <v>1069</v>
      </c>
      <c r="N297" s="11" t="s">
        <v>1097</v>
      </c>
      <c r="O297" s="10" t="str">
        <f aca="false">IF(COUNTA(B297:N297)=0,"",IF(OR(B297="",C297="",D297="",E297="",G297="",H297="",I297="",J297=""),"ناقص","OK"))</f>
        <v>OK</v>
      </c>
      <c r="P297" s="10" t="str">
        <f aca="false">IF(D297="","",B297&amp;" "&amp;C297&amp;" "&amp;D297&amp;" "&amp;E297&amp;" "&amp;F297&amp;" "&amp;G297)</f>
        <v>أخرى ريشة المساحات الزجاج فيه خطوط بعد المساحات ريش المساحات، خطوط، المساحات بتسيب أثر لا توجد لمبة تآكل ريشة المساحات</v>
      </c>
    </row>
    <row r="298" customFormat="false" ht="23.85" hidden="false" customHeight="false" outlineLevel="0" collapsed="false">
      <c r="A298" s="10" t="s">
        <v>2897</v>
      </c>
      <c r="B298" s="11" t="s">
        <v>2710</v>
      </c>
      <c r="C298" s="11" t="s">
        <v>2898</v>
      </c>
      <c r="D298" s="11" t="s">
        <v>2899</v>
      </c>
      <c r="E298" s="11" t="s">
        <v>2900</v>
      </c>
      <c r="F298" s="11" t="s">
        <v>1075</v>
      </c>
      <c r="G298" s="11" t="s">
        <v>2901</v>
      </c>
      <c r="H298" s="11" t="s">
        <v>2902</v>
      </c>
      <c r="I298" s="11" t="s">
        <v>1096</v>
      </c>
      <c r="J298" s="11" t="s">
        <v>81</v>
      </c>
      <c r="K298" s="12" t="n">
        <v>200</v>
      </c>
      <c r="L298" s="12" t="n">
        <v>1500</v>
      </c>
      <c r="M298" s="11" t="s">
        <v>1069</v>
      </c>
      <c r="N298" s="11" t="s">
        <v>1097</v>
      </c>
      <c r="O298" s="10" t="str">
        <f aca="false">IF(COUNTA(B298:N298)=0,"",IF(OR(B298="",C298="",D298="",E298="",G298="",H298="",I298="",J298=""),"ناقص","OK"))</f>
        <v>OK</v>
      </c>
      <c r="P298" s="10" t="str">
        <f aca="false">IF(D298="","",B298&amp;" "&amp;C298&amp;" "&amp;D298&amp;" "&amp;E298&amp;" "&amp;F298&amp;" "&amp;G298)</f>
        <v>أخرى مساحة الزجاج الخلفي مساحة الزجاج الخلفي لا تعمل مساحة الخلفي، المساحة الخلفية، مش شغالة لا توجد لمبة عطل موتور أو فيوز</v>
      </c>
    </row>
    <row r="299" customFormat="false" ht="23.85" hidden="false" customHeight="false" outlineLevel="0" collapsed="false">
      <c r="A299" s="10" t="s">
        <v>2903</v>
      </c>
      <c r="B299" s="11" t="s">
        <v>2710</v>
      </c>
      <c r="C299" s="11" t="s">
        <v>2904</v>
      </c>
      <c r="D299" s="11" t="s">
        <v>2905</v>
      </c>
      <c r="E299" s="11" t="s">
        <v>2906</v>
      </c>
      <c r="F299" s="11" t="s">
        <v>1075</v>
      </c>
      <c r="G299" s="11" t="s">
        <v>2907</v>
      </c>
      <c r="H299" s="11" t="s">
        <v>2908</v>
      </c>
      <c r="I299" s="11" t="s">
        <v>1096</v>
      </c>
      <c r="J299" s="11" t="s">
        <v>81</v>
      </c>
      <c r="K299" s="12" t="n">
        <v>50</v>
      </c>
      <c r="L299" s="12" t="n">
        <v>400</v>
      </c>
      <c r="M299" s="11" t="s">
        <v>1069</v>
      </c>
      <c r="N299" s="11" t="s">
        <v>1097</v>
      </c>
      <c r="O299" s="10" t="str">
        <f aca="false">IF(COUNTA(B299:N299)=0,"",IF(OR(B299="",C299="",D299="",E299="",G299="",H299="",I299="",J299=""),"ناقص","OK"))</f>
        <v>OK</v>
      </c>
      <c r="P299" s="10" t="str">
        <f aca="false">IF(D299="","",B299&amp;" "&amp;C299&amp;" "&amp;D299&amp;" "&amp;E299&amp;" "&amp;F299&amp;" "&amp;G299)</f>
        <v>أخرى مرايا الرؤية المراية الداخلية بتنزل ومش بتثبت المراية الداخلية، بتنزل، لاصق المراية لا توجد لمبة انفصال لاصق المراية</v>
      </c>
    </row>
    <row r="300" customFormat="false" ht="35.05" hidden="false" customHeight="false" outlineLevel="0" collapsed="false">
      <c r="A300" s="10" t="s">
        <v>2909</v>
      </c>
      <c r="B300" s="11" t="s">
        <v>2710</v>
      </c>
      <c r="C300" s="11" t="s">
        <v>2910</v>
      </c>
      <c r="D300" s="11" t="s">
        <v>2911</v>
      </c>
      <c r="E300" s="11" t="s">
        <v>2912</v>
      </c>
      <c r="F300" s="11" t="s">
        <v>1075</v>
      </c>
      <c r="G300" s="11" t="s">
        <v>2913</v>
      </c>
      <c r="H300" s="11" t="s">
        <v>2914</v>
      </c>
      <c r="I300" s="11" t="s">
        <v>1096</v>
      </c>
      <c r="J300" s="11" t="s">
        <v>81</v>
      </c>
      <c r="K300" s="12" t="n">
        <v>150</v>
      </c>
      <c r="L300" s="12" t="n">
        <v>1500</v>
      </c>
      <c r="M300" s="11" t="s">
        <v>1069</v>
      </c>
      <c r="N300" s="11" t="s">
        <v>1097</v>
      </c>
      <c r="O300" s="10" t="str">
        <f aca="false">IF(COUNTA(B300:N300)=0,"",IF(OR(B300="",C300="",D300="",E300="",G300="",H300="",I300="",J300=""),"ناقص","OK"))</f>
        <v>OK</v>
      </c>
      <c r="P300" s="10" t="str">
        <f aca="false">IF(D300="","",B300&amp;" "&amp;C300&amp;" "&amp;D300&amp;" "&amp;E300&amp;" "&amp;F300&amp;" "&amp;G300)</f>
        <v>أخرى تسريب الأرضية السجاد مبلول بعد المطر السجاد مبلول، مياه جوه، تسريب، أرضية مبللة لا توجد لمبة تسريب من فتحات الباب أو الزجاج</v>
      </c>
    </row>
    <row r="301" customFormat="false" ht="35.05" hidden="false" customHeight="false" outlineLevel="0" collapsed="false">
      <c r="A301" s="10" t="s">
        <v>2915</v>
      </c>
      <c r="B301" s="11" t="s">
        <v>2710</v>
      </c>
      <c r="C301" s="11" t="s">
        <v>2916</v>
      </c>
      <c r="D301" s="11" t="s">
        <v>2917</v>
      </c>
      <c r="E301" s="11" t="s">
        <v>2918</v>
      </c>
      <c r="F301" s="11" t="s">
        <v>1075</v>
      </c>
      <c r="G301" s="11" t="s">
        <v>2919</v>
      </c>
      <c r="H301" s="11" t="s">
        <v>2920</v>
      </c>
      <c r="I301" s="11" t="s">
        <v>1096</v>
      </c>
      <c r="J301" s="11" t="s">
        <v>81</v>
      </c>
      <c r="K301" s="12" t="n">
        <v>100</v>
      </c>
      <c r="L301" s="12" t="n">
        <v>800</v>
      </c>
      <c r="M301" s="11" t="s">
        <v>1069</v>
      </c>
      <c r="N301" s="11" t="s">
        <v>1097</v>
      </c>
      <c r="O301" s="10" t="str">
        <f aca="false">IF(COUNTA(B301:N301)=0,"",IF(OR(B301="",C301="",D301="",E301="",G301="",H301="",I301="",J301=""),"ناقص","OK"))</f>
        <v>OK</v>
      </c>
      <c r="P301" s="10" t="str">
        <f aca="false">IF(D301="","",B301&amp;" "&amp;C301&amp;" "&amp;D301&amp;" "&amp;E301&amp;" "&amp;F301&amp;" "&amp;G301)</f>
        <v>أخرى صوت الصدمات الداخلية صوت تكتكة من التابلوه على المطبات تكتكة التابلوه، صوت من التابلوه، بلاستيك لا توجد لمبة ارتخاء قطع التابلوه</v>
      </c>
    </row>
  </sheetData>
  <autoFilter ref="A1:P301"/>
  <conditionalFormatting sqref="O2:O301">
    <cfRule type="expression" priority="2" aboveAverage="0" equalAverage="0" bottom="0" percent="0" rank="0" text="" dxfId="5">
      <formula>O2="OK"</formula>
    </cfRule>
    <cfRule type="expression" priority="3" aboveAverage="0" equalAverage="0" bottom="0" percent="0" rank="0" text="" dxfId="6">
      <formula>AND(O2&lt;&gt;"",O2&lt;&gt;"OK")</formula>
    </cfRule>
  </conditionalFormatting>
  <dataValidations count="4">
    <dataValidation allowBlank="true" error="اختار من القائمة المنسدلة." errorStyle="stop" errorTitle="قيمة غير مسموحة" operator="between" showDropDown="false" showErrorMessage="true" showInputMessage="false" sqref="B2:B301" type="list">
      <formula1>Lists!$F$2:$F$13</formula1>
      <formula2>0</formula2>
    </dataValidation>
    <dataValidation allowBlank="true" error="اختار من القائمة المنسدلة." errorStyle="stop" errorTitle="قيمة غير مسموحة" operator="between" showDropDown="false" showErrorMessage="true" showInputMessage="false" sqref="I2:I301" type="list">
      <formula1>Lists!$G$2:$G$4</formula1>
      <formula2>0</formula2>
    </dataValidation>
    <dataValidation allowBlank="true" error="اختار من القائمة المنسدلة." errorStyle="stop" errorTitle="قيمة غير مسموحة" operator="between" showDropDown="false" showErrorMessage="true" showInputMessage="false" sqref="J2:J301" type="list">
      <formula1>Lists!$H$2:$H$4</formula1>
      <formula2>0</formula2>
    </dataValidation>
    <dataValidation allowBlank="true" error="التكلفة رقم فقط بالجنيه" errorStyle="stop" operator="greaterThanOrEqual" showDropDown="false" showErrorMessage="true" showInputMessage="false" sqref="K2:L30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5" hidden="false" customHeight="false" outlineLevel="0" collapsed="false">
      <c r="A1" s="13" t="s">
        <v>57</v>
      </c>
      <c r="B1" s="13" t="s">
        <v>31</v>
      </c>
      <c r="C1" s="13" t="s">
        <v>60</v>
      </c>
      <c r="D1" s="13" t="s">
        <v>61</v>
      </c>
      <c r="E1" s="13" t="s">
        <v>2921</v>
      </c>
      <c r="F1" s="13" t="s">
        <v>1051</v>
      </c>
      <c r="G1" s="13" t="s">
        <v>1055</v>
      </c>
      <c r="H1" s="13" t="s">
        <v>1056</v>
      </c>
      <c r="J1" s="13" t="s">
        <v>53</v>
      </c>
      <c r="K1" s="13" t="s">
        <v>54</v>
      </c>
      <c r="M1" s="14" t="s">
        <v>2922</v>
      </c>
    </row>
    <row r="2" customFormat="false" ht="15" hidden="false" customHeight="false" outlineLevel="0" collapsed="false">
      <c r="A2" s="15" t="s">
        <v>76</v>
      </c>
      <c r="B2" s="15" t="s">
        <v>77</v>
      </c>
      <c r="C2" s="15" t="s">
        <v>78</v>
      </c>
      <c r="D2" s="15" t="s">
        <v>79</v>
      </c>
      <c r="E2" s="15" t="s">
        <v>81</v>
      </c>
      <c r="F2" s="15" t="s">
        <v>1060</v>
      </c>
      <c r="G2" s="15" t="s">
        <v>1096</v>
      </c>
      <c r="H2" s="15" t="s">
        <v>81</v>
      </c>
      <c r="I2" s="15"/>
      <c r="J2" s="15" t="s">
        <v>73</v>
      </c>
      <c r="K2" s="15" t="s">
        <v>2923</v>
      </c>
      <c r="L2" s="15"/>
      <c r="M2" s="15"/>
    </row>
    <row r="3" customFormat="false" ht="15" hidden="false" customHeight="false" outlineLevel="0" collapsed="false">
      <c r="A3" s="15" t="s">
        <v>249</v>
      </c>
      <c r="B3" s="15" t="s">
        <v>270</v>
      </c>
      <c r="C3" s="15" t="s">
        <v>250</v>
      </c>
      <c r="D3" s="15" t="s">
        <v>464</v>
      </c>
      <c r="E3" s="15" t="s">
        <v>80</v>
      </c>
      <c r="F3" s="15" t="s">
        <v>2058</v>
      </c>
      <c r="G3" s="15" t="s">
        <v>1067</v>
      </c>
      <c r="H3" s="15" t="s">
        <v>80</v>
      </c>
      <c r="I3" s="15"/>
      <c r="J3" s="15" t="s">
        <v>94</v>
      </c>
      <c r="K3" s="15" t="s">
        <v>2924</v>
      </c>
      <c r="L3" s="15"/>
      <c r="M3" s="15"/>
    </row>
    <row r="4" customFormat="false" ht="15" hidden="false" customHeight="false" outlineLevel="0" collapsed="false">
      <c r="A4" s="15"/>
      <c r="B4" s="15" t="s">
        <v>113</v>
      </c>
      <c r="C4" s="15" t="s">
        <v>230</v>
      </c>
      <c r="D4" s="15" t="s">
        <v>91</v>
      </c>
      <c r="E4" s="15"/>
      <c r="F4" s="15" t="s">
        <v>186</v>
      </c>
      <c r="G4" s="15" t="s">
        <v>1117</v>
      </c>
      <c r="H4" s="15" t="s">
        <v>1068</v>
      </c>
      <c r="I4" s="15"/>
      <c r="J4" s="15" t="s">
        <v>110</v>
      </c>
      <c r="K4" s="15" t="s">
        <v>2925</v>
      </c>
      <c r="L4" s="15"/>
      <c r="M4" s="15"/>
    </row>
    <row r="5" customFormat="false" ht="15" hidden="false" customHeight="false" outlineLevel="0" collapsed="false">
      <c r="A5" s="15"/>
      <c r="B5" s="15" t="s">
        <v>105</v>
      </c>
      <c r="C5" s="15" t="s">
        <v>135</v>
      </c>
      <c r="D5" s="15" t="s">
        <v>186</v>
      </c>
      <c r="E5" s="15"/>
      <c r="F5" s="15" t="s">
        <v>2590</v>
      </c>
      <c r="G5" s="15"/>
      <c r="H5" s="15"/>
      <c r="I5" s="15"/>
      <c r="J5" s="15" t="s">
        <v>123</v>
      </c>
      <c r="K5" s="15" t="s">
        <v>2926</v>
      </c>
      <c r="L5" s="15"/>
      <c r="M5" s="15"/>
    </row>
    <row r="6" customFormat="false" ht="15" hidden="false" customHeight="false" outlineLevel="0" collapsed="false">
      <c r="A6" s="15"/>
      <c r="B6" s="15" t="s">
        <v>159</v>
      </c>
      <c r="C6" s="15"/>
      <c r="D6" s="15" t="s">
        <v>1547</v>
      </c>
      <c r="E6" s="15"/>
      <c r="F6" s="15" t="s">
        <v>2179</v>
      </c>
      <c r="G6" s="15"/>
      <c r="H6" s="15"/>
      <c r="I6" s="15"/>
      <c r="J6" s="15" t="s">
        <v>466</v>
      </c>
      <c r="K6" s="15" t="s">
        <v>2927</v>
      </c>
      <c r="L6" s="15"/>
      <c r="M6" s="15"/>
    </row>
    <row r="7" customFormat="false" ht="15" hidden="false" customHeight="false" outlineLevel="0" collapsed="false">
      <c r="A7" s="15"/>
      <c r="B7" s="15" t="s">
        <v>295</v>
      </c>
      <c r="C7" s="15"/>
      <c r="D7" s="15"/>
      <c r="E7" s="15"/>
      <c r="F7" s="15" t="s">
        <v>2440</v>
      </c>
      <c r="G7" s="15"/>
      <c r="H7" s="15"/>
      <c r="I7" s="15"/>
      <c r="J7" s="15" t="s">
        <v>507</v>
      </c>
      <c r="K7" s="15" t="s">
        <v>2928</v>
      </c>
      <c r="L7" s="15"/>
      <c r="M7" s="15"/>
    </row>
    <row r="8" customFormat="false" ht="15" hidden="false" customHeight="false" outlineLevel="0" collapsed="false">
      <c r="A8" s="15"/>
      <c r="B8" s="15" t="s">
        <v>2929</v>
      </c>
      <c r="C8" s="15"/>
      <c r="D8" s="15"/>
      <c r="E8" s="15"/>
      <c r="F8" s="15" t="s">
        <v>1325</v>
      </c>
      <c r="G8" s="15"/>
      <c r="H8" s="15"/>
      <c r="I8" s="15"/>
      <c r="J8" s="15" t="s">
        <v>535</v>
      </c>
      <c r="K8" s="15" t="s">
        <v>2930</v>
      </c>
      <c r="L8" s="15"/>
      <c r="M8" s="15"/>
    </row>
    <row r="9" customFormat="false" ht="15" hidden="false" customHeight="false" outlineLevel="0" collapsed="false">
      <c r="A9" s="15"/>
      <c r="B9" s="15" t="s">
        <v>2931</v>
      </c>
      <c r="C9" s="15"/>
      <c r="D9" s="15"/>
      <c r="E9" s="15"/>
      <c r="F9" s="15" t="s">
        <v>1561</v>
      </c>
      <c r="G9" s="15"/>
      <c r="H9" s="15"/>
      <c r="I9" s="15"/>
      <c r="J9" s="15" t="s">
        <v>560</v>
      </c>
      <c r="K9" s="15" t="s">
        <v>2932</v>
      </c>
      <c r="L9" s="15"/>
      <c r="M9" s="15"/>
    </row>
    <row r="10" customFormat="false" ht="15" hidden="false" customHeight="false" outlineLevel="0" collapsed="false">
      <c r="A10" s="15"/>
      <c r="B10" s="15"/>
      <c r="C10" s="15"/>
      <c r="D10" s="15"/>
      <c r="E10" s="15"/>
      <c r="F10" s="15" t="s">
        <v>2349</v>
      </c>
      <c r="G10" s="15"/>
      <c r="H10" s="15"/>
      <c r="I10" s="15"/>
      <c r="J10" s="15" t="s">
        <v>119</v>
      </c>
      <c r="K10" s="15" t="s">
        <v>2933</v>
      </c>
      <c r="L10" s="15"/>
      <c r="M10" s="15"/>
    </row>
    <row r="11" customFormat="false" ht="15" hidden="false" customHeight="false" outlineLevel="0" collapsed="false">
      <c r="A11" s="15"/>
      <c r="B11" s="15"/>
      <c r="C11" s="15"/>
      <c r="D11" s="15"/>
      <c r="E11" s="15"/>
      <c r="F11" s="15" t="s">
        <v>1444</v>
      </c>
      <c r="G11" s="15"/>
      <c r="H11" s="15"/>
      <c r="I11" s="15"/>
      <c r="J11" s="15" t="s">
        <v>609</v>
      </c>
      <c r="K11" s="15" t="s">
        <v>2934</v>
      </c>
      <c r="L11" s="15"/>
      <c r="M11" s="15"/>
    </row>
    <row r="12" customFormat="false" ht="15" hidden="false" customHeight="false" outlineLevel="0" collapsed="false">
      <c r="A12" s="15"/>
      <c r="B12" s="15"/>
      <c r="C12" s="15"/>
      <c r="D12" s="15"/>
      <c r="E12" s="15"/>
      <c r="F12" s="15" t="s">
        <v>1867</v>
      </c>
      <c r="G12" s="15"/>
      <c r="H12" s="15"/>
      <c r="I12" s="15"/>
      <c r="J12" s="15" t="s">
        <v>643</v>
      </c>
      <c r="K12" s="15" t="s">
        <v>2935</v>
      </c>
      <c r="L12" s="15"/>
      <c r="M12" s="15"/>
    </row>
    <row r="13" customFormat="false" ht="15" hidden="false" customHeight="false" outlineLevel="0" collapsed="false">
      <c r="A13" s="15"/>
      <c r="B13" s="15"/>
      <c r="C13" s="15"/>
      <c r="D13" s="15"/>
      <c r="E13" s="15"/>
      <c r="F13" s="15" t="s">
        <v>2710</v>
      </c>
      <c r="G13" s="15"/>
      <c r="H13" s="15"/>
      <c r="I13" s="15"/>
      <c r="J13" s="15" t="s">
        <v>687</v>
      </c>
      <c r="K13" s="15" t="s">
        <v>2936</v>
      </c>
      <c r="L13" s="15"/>
      <c r="M13" s="15"/>
    </row>
    <row r="14" customFormat="false" ht="15" hidden="false" customHeight="false" outlineLevel="0" collapsed="false">
      <c r="A14" s="15"/>
      <c r="B14" s="15"/>
      <c r="C14" s="15"/>
      <c r="D14" s="15"/>
      <c r="E14" s="15"/>
      <c r="F14" s="15"/>
      <c r="G14" s="15"/>
      <c r="H14" s="15"/>
      <c r="I14" s="15"/>
      <c r="J14" s="15" t="s">
        <v>132</v>
      </c>
      <c r="K14" s="15" t="s">
        <v>2937</v>
      </c>
      <c r="L14" s="15"/>
      <c r="M14" s="15"/>
    </row>
    <row r="15" customFormat="false" ht="15" hidden="false" customHeight="false" outlineLevel="0" collapsed="false">
      <c r="A15" s="15"/>
      <c r="B15" s="15"/>
      <c r="C15" s="15"/>
      <c r="D15" s="15"/>
      <c r="E15" s="15"/>
      <c r="F15" s="15"/>
      <c r="G15" s="15"/>
      <c r="H15" s="15"/>
      <c r="I15" s="15"/>
      <c r="J15" s="15" t="s">
        <v>751</v>
      </c>
      <c r="K15" s="15" t="s">
        <v>2938</v>
      </c>
      <c r="L15" s="15"/>
      <c r="M15" s="15"/>
    </row>
    <row r="16" customFormat="false" ht="15" hidden="false" customHeight="false" outlineLevel="0" collapsed="false">
      <c r="A16" s="15"/>
      <c r="B16" s="15"/>
      <c r="C16" s="15"/>
      <c r="D16" s="15"/>
      <c r="E16" s="15"/>
      <c r="F16" s="15"/>
      <c r="G16" s="15"/>
      <c r="H16" s="15"/>
      <c r="I16" s="15"/>
      <c r="J16" s="15" t="s">
        <v>792</v>
      </c>
      <c r="K16" s="15" t="s">
        <v>2939</v>
      </c>
      <c r="L16" s="15"/>
      <c r="M16" s="15"/>
    </row>
    <row r="17" customFormat="false" ht="15" hidden="false" customHeight="false" outlineLevel="0" collapsed="false">
      <c r="A17" s="15"/>
      <c r="B17" s="15"/>
      <c r="C17" s="15"/>
      <c r="D17" s="15"/>
      <c r="E17" s="15"/>
      <c r="F17" s="15"/>
      <c r="G17" s="15"/>
      <c r="H17" s="15"/>
      <c r="I17" s="15"/>
      <c r="J17" s="15" t="s">
        <v>822</v>
      </c>
      <c r="K17" s="15" t="s">
        <v>2940</v>
      </c>
      <c r="L17" s="15"/>
      <c r="M17" s="15"/>
    </row>
    <row r="18" customFormat="false" ht="15" hidden="false" customHeight="false" outlineLevel="0" collapsed="false">
      <c r="A18" s="15"/>
      <c r="B18" s="15"/>
      <c r="C18" s="15"/>
      <c r="D18" s="15"/>
      <c r="E18" s="15"/>
      <c r="F18" s="15"/>
      <c r="G18" s="15"/>
      <c r="H18" s="15"/>
      <c r="I18" s="15"/>
      <c r="J18" s="15" t="s">
        <v>857</v>
      </c>
      <c r="K18" s="15" t="s">
        <v>2941</v>
      </c>
      <c r="L18" s="15"/>
      <c r="M18" s="15"/>
    </row>
    <row r="19" customFormat="false" ht="15" hidden="false" customHeight="false" outlineLevel="0" collapsed="false">
      <c r="A19" s="15"/>
      <c r="B19" s="15"/>
      <c r="C19" s="15"/>
      <c r="D19" s="15"/>
      <c r="E19" s="15"/>
      <c r="F19" s="15"/>
      <c r="G19" s="15"/>
      <c r="H19" s="15"/>
      <c r="I19" s="15"/>
      <c r="J19" s="15" t="s">
        <v>873</v>
      </c>
      <c r="K19" s="15" t="s">
        <v>2942</v>
      </c>
      <c r="L19" s="15"/>
      <c r="M19" s="15"/>
    </row>
    <row r="20" customFormat="false" ht="15" hidden="false" customHeight="false" outlineLevel="0" collapsed="false">
      <c r="A20" s="15"/>
      <c r="B20" s="15"/>
      <c r="C20" s="15"/>
      <c r="D20" s="15"/>
      <c r="E20" s="15"/>
      <c r="F20" s="15"/>
      <c r="G20" s="15"/>
      <c r="H20" s="15"/>
      <c r="I20" s="15"/>
      <c r="J20" s="15" t="s">
        <v>892</v>
      </c>
      <c r="K20" s="15" t="s">
        <v>2943</v>
      </c>
      <c r="L20" s="15"/>
      <c r="M20" s="15"/>
    </row>
    <row r="21" customFormat="false" ht="15" hidden="false" customHeight="false" outlineLevel="0" collapsed="false">
      <c r="A21" s="15"/>
      <c r="B21" s="15"/>
      <c r="C21" s="15"/>
      <c r="D21" s="15"/>
      <c r="E21" s="15"/>
      <c r="F21" s="15"/>
      <c r="G21" s="15"/>
      <c r="H21" s="15"/>
      <c r="I21" s="15"/>
      <c r="J21" s="15" t="s">
        <v>223</v>
      </c>
      <c r="K21" s="15" t="s">
        <v>2944</v>
      </c>
      <c r="L21" s="15"/>
      <c r="M21" s="15"/>
    </row>
    <row r="22" customFormat="false" ht="15" hidden="false" customHeight="false" outlineLevel="0" collapsed="false">
      <c r="A22" s="15"/>
      <c r="B22" s="15"/>
      <c r="C22" s="15"/>
      <c r="D22" s="15"/>
      <c r="E22" s="15"/>
      <c r="F22" s="15"/>
      <c r="G22" s="15"/>
      <c r="H22" s="15"/>
      <c r="I22" s="15"/>
      <c r="J22" s="15" t="s">
        <v>141</v>
      </c>
      <c r="K22" s="15" t="s">
        <v>2945</v>
      </c>
      <c r="L22" s="15"/>
      <c r="M22" s="15"/>
    </row>
    <row r="23" customFormat="false" ht="15" hidden="false" customHeight="false" outlineLevel="0" collapsed="false">
      <c r="A23" s="15"/>
      <c r="B23" s="15"/>
      <c r="C23" s="15"/>
      <c r="D23" s="15"/>
      <c r="E23" s="15"/>
      <c r="F23" s="15"/>
      <c r="G23" s="15"/>
      <c r="H23" s="15"/>
      <c r="I23" s="15"/>
      <c r="J23" s="15" t="s">
        <v>1007</v>
      </c>
      <c r="K23" s="15" t="s">
        <v>2946</v>
      </c>
      <c r="L23" s="15"/>
      <c r="M23" s="15"/>
    </row>
    <row r="24" customFormat="false" ht="15" hidden="false" customHeight="false" outlineLevel="0" collapsed="false">
      <c r="A24" s="15"/>
      <c r="B24" s="15"/>
      <c r="C24" s="15"/>
      <c r="D24" s="15"/>
      <c r="E24" s="15"/>
      <c r="F24" s="15"/>
      <c r="G24" s="15"/>
      <c r="H24" s="15"/>
      <c r="I24" s="15"/>
      <c r="J24" s="15" t="s">
        <v>988</v>
      </c>
      <c r="K24" s="15" t="s">
        <v>2947</v>
      </c>
      <c r="L24" s="15"/>
      <c r="M24" s="15"/>
    </row>
    <row r="25" customFormat="false" ht="15" hidden="false" customHeight="false" outlineLevel="0" collapsed="false">
      <c r="A25" s="15"/>
      <c r="B25" s="15"/>
      <c r="C25" s="15"/>
      <c r="D25" s="15"/>
      <c r="E25" s="15"/>
      <c r="F25" s="15"/>
      <c r="G25" s="15"/>
      <c r="H25" s="15"/>
      <c r="I25" s="15"/>
      <c r="J25" s="15" t="s">
        <v>206</v>
      </c>
      <c r="K25" s="15" t="s">
        <v>2948</v>
      </c>
      <c r="L25" s="15"/>
      <c r="M25" s="15"/>
    </row>
    <row r="26" customFormat="false" ht="15" hidden="false" customHeight="false" outlineLevel="0" collapsed="false">
      <c r="A26" s="15"/>
      <c r="B26" s="15"/>
      <c r="C26" s="15"/>
      <c r="D26" s="15"/>
      <c r="E26" s="15"/>
      <c r="F26" s="15"/>
      <c r="G26" s="15"/>
      <c r="H26" s="15"/>
      <c r="I26" s="15"/>
      <c r="J26" s="15" t="s">
        <v>2949</v>
      </c>
      <c r="K26" s="15" t="s">
        <v>2950</v>
      </c>
      <c r="L26" s="15"/>
      <c r="M26" s="15"/>
    </row>
    <row r="27" customFormat="false" ht="15" hidden="false" customHeight="false" outlineLevel="0" collapsed="false">
      <c r="A27" s="15"/>
      <c r="B27" s="15"/>
      <c r="C27" s="15"/>
      <c r="D27" s="15"/>
      <c r="E27" s="15"/>
      <c r="F27" s="15"/>
      <c r="G27" s="15"/>
      <c r="H27" s="15"/>
      <c r="I27" s="15"/>
      <c r="J27" s="15" t="s">
        <v>189</v>
      </c>
      <c r="K27" s="15" t="s">
        <v>2951</v>
      </c>
      <c r="L27" s="15"/>
      <c r="M27" s="15"/>
    </row>
    <row r="28" customFormat="false" ht="15" hidden="false" customHeight="false" outlineLevel="0" collapsed="false">
      <c r="A28" s="15"/>
      <c r="B28" s="15"/>
      <c r="C28" s="15"/>
      <c r="D28" s="15"/>
      <c r="E28" s="15"/>
      <c r="F28" s="15"/>
      <c r="G28" s="15"/>
      <c r="H28" s="15"/>
      <c r="I28" s="15"/>
      <c r="J28" s="15" t="s">
        <v>911</v>
      </c>
      <c r="K28" s="15" t="s">
        <v>2952</v>
      </c>
      <c r="L28" s="15"/>
      <c r="M28" s="15"/>
    </row>
    <row r="29" customFormat="false" ht="15" hidden="false" customHeight="false" outlineLevel="0" collapsed="false">
      <c r="A29" s="15"/>
      <c r="B29" s="15"/>
      <c r="C29" s="15"/>
      <c r="D29" s="15"/>
      <c r="E29" s="15"/>
      <c r="F29" s="15"/>
      <c r="G29" s="15"/>
      <c r="H29" s="15"/>
      <c r="I29" s="15"/>
      <c r="J29" s="15" t="s">
        <v>179</v>
      </c>
      <c r="K29" s="15" t="s">
        <v>2953</v>
      </c>
      <c r="L29" s="15"/>
      <c r="M29" s="15"/>
    </row>
    <row r="30" customFormat="false" ht="15" hidden="false" customHeight="false" outlineLevel="0" collapsed="false">
      <c r="A30" s="15"/>
      <c r="B30" s="15"/>
      <c r="C30" s="15"/>
      <c r="D30" s="15"/>
      <c r="E30" s="15"/>
      <c r="F30" s="15"/>
      <c r="G30" s="15"/>
      <c r="H30" s="15"/>
      <c r="I30" s="15"/>
      <c r="J30" s="15" t="s">
        <v>500</v>
      </c>
      <c r="K30" s="15" t="s">
        <v>2954</v>
      </c>
      <c r="L30" s="15"/>
      <c r="M30" s="15"/>
    </row>
    <row r="31" customFormat="false" ht="15" hidden="false" customHeight="false" outlineLevel="0" collapsed="false">
      <c r="A31" s="15"/>
      <c r="B31" s="15"/>
      <c r="C31" s="15"/>
      <c r="D31" s="15"/>
      <c r="E31" s="15"/>
      <c r="F31" s="15"/>
      <c r="G31" s="15"/>
      <c r="H31" s="15"/>
      <c r="I31" s="15"/>
      <c r="J31" s="15" t="s">
        <v>1026</v>
      </c>
      <c r="K31" s="15" t="s">
        <v>2955</v>
      </c>
      <c r="L31" s="15"/>
      <c r="M31" s="15"/>
    </row>
    <row r="32" customFormat="false" ht="15" hidden="false" customHeight="false" outlineLevel="0" collapsed="false">
      <c r="A32" s="15"/>
      <c r="B32" s="15"/>
      <c r="C32" s="15"/>
      <c r="D32" s="15"/>
      <c r="E32" s="15"/>
      <c r="F32" s="15"/>
      <c r="G32" s="15"/>
      <c r="H32" s="15"/>
      <c r="I32" s="15"/>
      <c r="J32" s="15" t="s">
        <v>1033</v>
      </c>
      <c r="K32" s="15" t="s">
        <v>2956</v>
      </c>
      <c r="L32" s="15"/>
      <c r="M32" s="15"/>
    </row>
    <row r="33" customFormat="false" ht="15" hidden="false" customHeight="false" outlineLevel="0" collapsed="false">
      <c r="A33" s="15"/>
      <c r="B33" s="15"/>
      <c r="C33" s="15"/>
      <c r="D33" s="15"/>
      <c r="E33" s="15"/>
      <c r="F33" s="15"/>
      <c r="G33" s="15"/>
      <c r="H33" s="15"/>
      <c r="I33" s="15"/>
      <c r="J33" s="15" t="s">
        <v>1040</v>
      </c>
      <c r="K33" s="15" t="s">
        <v>2957</v>
      </c>
      <c r="L33" s="15"/>
      <c r="M33" s="15"/>
    </row>
    <row r="34" customFormat="false" ht="15" hidden="false" customHeight="false" outlineLevel="0" collapsed="false">
      <c r="A34" s="15"/>
      <c r="B34" s="15"/>
      <c r="C34" s="15"/>
      <c r="D34" s="15"/>
      <c r="E34" s="15"/>
      <c r="F34" s="15"/>
      <c r="G34" s="15"/>
      <c r="H34" s="15"/>
      <c r="I34" s="15"/>
      <c r="J34" s="15" t="s">
        <v>1047</v>
      </c>
      <c r="K34" s="15" t="s">
        <v>2958</v>
      </c>
      <c r="L34" s="15"/>
      <c r="M34" s="15"/>
    </row>
    <row r="35" customFormat="false" ht="15" hidden="false" customHeight="false" outlineLevel="0" collapsed="false">
      <c r="A35" s="15"/>
      <c r="B35" s="15"/>
      <c r="C35" s="15"/>
      <c r="D35" s="15"/>
      <c r="E35" s="15"/>
      <c r="F35" s="15"/>
      <c r="G35" s="15"/>
      <c r="H35" s="15"/>
      <c r="I35" s="15"/>
      <c r="J35" s="15" t="s">
        <v>779</v>
      </c>
      <c r="K35" s="15" t="s">
        <v>2959</v>
      </c>
      <c r="L35" s="15"/>
      <c r="M35" s="15"/>
    </row>
    <row r="36" customFormat="false" ht="15" hidden="false" customHeight="false" outlineLevel="0" collapsed="false">
      <c r="A36" s="15"/>
      <c r="B36" s="15"/>
      <c r="C36" s="15"/>
      <c r="D36" s="15"/>
      <c r="E36" s="15"/>
      <c r="F36" s="15"/>
      <c r="G36" s="15"/>
      <c r="H36" s="15"/>
      <c r="I36" s="15"/>
      <c r="J36" s="15" t="s">
        <v>674</v>
      </c>
      <c r="K36" s="15" t="s">
        <v>2960</v>
      </c>
      <c r="L36" s="15"/>
      <c r="M36" s="15"/>
    </row>
    <row r="37" customFormat="false" ht="15" hidden="false" customHeight="false" outlineLevel="0" collapsed="false">
      <c r="A37" s="15"/>
      <c r="B37" s="15"/>
      <c r="C37" s="15"/>
      <c r="D37" s="15"/>
      <c r="E37" s="15"/>
      <c r="F37" s="15"/>
      <c r="G37" s="15"/>
      <c r="H37" s="15"/>
      <c r="I37" s="15"/>
      <c r="J37" s="15" t="s">
        <v>930</v>
      </c>
      <c r="K37" s="15" t="s">
        <v>2961</v>
      </c>
      <c r="L37" s="15"/>
      <c r="M37"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2026-10-23T21:22:46Z</dcterms:created>
  <dc:creator>openpyxl</dc:creator>
  <dc:description/>
  <dc:language>en-US</dc:language>
  <cp:lastModifiedBy/>
  <dcterms:modified xsi:type="dcterms:W3CDTF">2026-10-23T21:22:46Z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