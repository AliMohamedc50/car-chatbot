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ars" sheetId="2" state="visible" r:id="rId4"/>
    <sheet name="Faults" sheetId="3" state="visible" r:id="rId5"/>
    <sheet name="Lists" sheetId="4" state="visible" r:id="rId6"/>
  </sheets>
  <definedNames>
    <definedName function="false" hidden="true" localSheetId="1" name="_xlnm._FilterDatabase" vbProcedure="false">Cars!$A$1:$X$301</definedName>
    <definedName function="false" hidden="true" localSheetId="2" name="_xlnm._FilterDatabase" vbProcedure="false">Faults!$A$1:$P$301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<sst xmlns="http://schemas.openxmlformats.org/spreadsheetml/2006/main" count="1708" uniqueCount="1178">
  <si>
    <t xml:space="preserve">شات بوت العربيات — دليل تعبئة الداتا</t>
  </si>
  <si>
    <t xml:space="preserve">الهدف</t>
  </si>
  <si>
    <t xml:space="preserve">الشيتين Cars و Faults هما مصدر المعلومات الوحيد للبوت. أي معلومة مش موجودة هنا البوت مش هيعرفها.</t>
  </si>
  <si>
    <t xml:space="preserve">قواعد لازم الكل يلتزم بيها</t>
  </si>
  <si>
    <t xml:space="preserve">1. صف واحد = عربية واحدة / عطل واحد</t>
  </si>
  <si>
    <t xml:space="preserve">لو نفس الموديل بسنتين مختلفتين أو سعرين، اكتبهم في صفين.</t>
  </si>
  <si>
    <t xml:space="preserve">2. الأرقام أرقام بس</t>
  </si>
  <si>
    <t xml:space="preserve">السعر 1050000 (بدون فواصل أو 'جنيه')، السنة 2022، السي سي 1600. الفلترة بالسعر بتعتمد على كده.</t>
  </si>
  <si>
    <t xml:space="preserve">3. القوائم المنسدلة</t>
  </si>
  <si>
    <t xml:space="preserve">الأعمدة اللي فيها سهم (الحالة، الناقل، الوقود، نعم/لا، الفئة، الخطورة) اختار من القائمة ومتكتبش بإيدك، عشان البوت يفهم القيم موحدة.</t>
  </si>
  <si>
    <t xml:space="preserve">4. الأعمدة الرمادية تلقائية</t>
  </si>
  <si>
    <t xml:space="preserve">Car_ID / Brand_AR / Data_Check / Search_Text متلمسهاش. Brand_AR بيتكتب لوحده من اسم البراند.</t>
  </si>
  <si>
    <t xml:space="preserve">5. لا تغير أسماء العناوين</t>
  </si>
  <si>
    <t xml:space="preserve">الكود بيقرأ الأعمدة بأسمائها الإنجليزي (صف 1). ممنوع تغيير الاسم أو تدمج خلايا أو تضيف صفوف فاضية فوق الداتا.</t>
  </si>
  <si>
    <t xml:space="preserve">6. ماتمسحش صفوف</t>
  </si>
  <si>
    <t xml:space="preserve">لو عايز تمسح بيانات امسح محتوى الخلايا بس (Delete) من غير ما تمسح الصف نفسه.</t>
  </si>
  <si>
    <t xml:space="preserve">7. عمود Data_Check</t>
  </si>
  <si>
    <t xml:space="preserve">لازم يبقى أخضر OK. أحمر = في خانة مطلوبة ناقصة أو رقم مكتوب غلط.</t>
  </si>
  <si>
    <t xml:space="preserve">8. الداتا المبدئية</t>
  </si>
  <si>
    <t xml:space="preserve">Cars: 44 صف، الأسعار من قائمة أكتوبر 2026 (banker.news) وبتتغير باستمرار فراجعوها مع الوكيل قبل العرض. الخانات الفاضية (الحصان، الاستهلاك، الإمكانيات) للتيم يستكملها من ContactCars / Hatla2ee / موقع الوكيل. Faults: 56 عطل، والتكاليف تقديرية بس.</t>
  </si>
  <si>
    <t xml:space="preserve">9. الفاضي = غير معروف</t>
  </si>
  <si>
    <t xml:space="preserve">خانة فاضية معناها المعلومة لسه متتأكدش منها، مش إن الميزة مش موجودة. اكتبوا نعم أو لا بس لما تتأكدوا.</t>
  </si>
  <si>
    <t xml:space="preserve">شيت Cars — الأعمدة</t>
  </si>
  <si>
    <t xml:space="preserve">Brand / Model</t>
  </si>
  <si>
    <t xml:space="preserve">الاسم بالإنجليزي (Toyota / Corolla). Brand بيتختار من قائمة.</t>
  </si>
  <si>
    <t xml:space="preserve">Model_AR</t>
  </si>
  <si>
    <t xml:space="preserve">اسم الموديل بالعربي زي ما الناس بتقوله (كورولا). مهم عشان البوت يفهم السؤال بالعربي.</t>
  </si>
  <si>
    <t xml:space="preserve">Price_EGP</t>
  </si>
  <si>
    <t xml:space="preserve">السعر بالجنيه كرقم. (المستعمل = سعر السوق الحالي).</t>
  </si>
  <si>
    <t xml:space="preserve">Body_Type</t>
  </si>
  <si>
    <t xml:space="preserve">سيدان / هاتشباك / SUV ... (قائمة).</t>
  </si>
  <si>
    <t xml:space="preserve">Sunroof ... Bluetooth_Screen</t>
  </si>
  <si>
    <t xml:space="preserve">نعم/لا لأهم الإمكانيات — بتخلي البحث 'عربية بفتحة سقف' فلترة سريعة ودقيقة.</t>
  </si>
  <si>
    <t xml:space="preserve">Other_Features</t>
  </si>
  <si>
    <t xml:space="preserve">باقي الإمكانيات كنص حر مفصول بفاصلة.</t>
  </si>
  <si>
    <t xml:space="preserve">شيت Faults — الأعمدة</t>
  </si>
  <si>
    <t xml:space="preserve">Symptom_AR</t>
  </si>
  <si>
    <t xml:space="preserve">وصف العطل زي ما المستخدم هيقوله (العربية بتسخن).</t>
  </si>
  <si>
    <t xml:space="preserve">Keywords_AR</t>
  </si>
  <si>
    <t xml:space="preserve">كلمات وتعبيرات مصرية بديلة ومرادفات مفصولة بفاصلة (سخونة، حرارة، بخار). ده أهم عمود لسرعة ودقة البحث.</t>
  </si>
  <si>
    <t xml:space="preserve">Warning_Light</t>
  </si>
  <si>
    <t xml:space="preserve">اسم/وصف لمبة التابلوه لو موجودة (للتحليل بالصور).</t>
  </si>
  <si>
    <t xml:space="preserve">Possible_Cause / Solution</t>
  </si>
  <si>
    <t xml:space="preserve">السبب المحتمل والحل المقترح بجملة واضحة.</t>
  </si>
  <si>
    <t xml:space="preserve">Severity / Safe_To_Drive</t>
  </si>
  <si>
    <t xml:space="preserve">الخطورة وهل آمن يكمل سواقة؟ البوت بيستخدمهم عشان يحذر المستخدم.</t>
  </si>
  <si>
    <t xml:space="preserve">Est_Cost_EGP_Min / Max</t>
  </si>
  <si>
    <t xml:space="preserve">تكلفة تقريبية بالجنيه (اختياري).</t>
  </si>
  <si>
    <t xml:space="preserve">Applies_To</t>
  </si>
  <si>
    <t xml:space="preserve">الكل أو اسم براند/موديل معين لو العطل مرتبط بيه.</t>
  </si>
  <si>
    <t xml:space="preserve">Car_ID</t>
  </si>
  <si>
    <t xml:space="preserve">Brand</t>
  </si>
  <si>
    <t xml:space="preserve">Brand_AR</t>
  </si>
  <si>
    <t xml:space="preserve">Model</t>
  </si>
  <si>
    <t xml:space="preserve">Year</t>
  </si>
  <si>
    <t xml:space="preserve">Condition</t>
  </si>
  <si>
    <t xml:space="preserve">Engine_CC</t>
  </si>
  <si>
    <t xml:space="preserve">Horsepower</t>
  </si>
  <si>
    <t xml:space="preserve">Transmission</t>
  </si>
  <si>
    <t xml:space="preserve">Fuel_Type</t>
  </si>
  <si>
    <t xml:space="preserve">Fuel_Consumption_L100km</t>
  </si>
  <si>
    <t xml:space="preserve">Seats</t>
  </si>
  <si>
    <t xml:space="preserve">Sunroof</t>
  </si>
  <si>
    <t xml:space="preserve">Rear_Camera</t>
  </si>
  <si>
    <t xml:space="preserve">Cruise_Control</t>
  </si>
  <si>
    <t xml:space="preserve">Leather_Seats</t>
  </si>
  <si>
    <t xml:space="preserve">Bluetooth_Screen</t>
  </si>
  <si>
    <t xml:space="preserve">Notes</t>
  </si>
  <si>
    <t xml:space="preserve">Data_Check</t>
  </si>
  <si>
    <t xml:space="preserve">Search_Text</t>
  </si>
  <si>
    <t xml:space="preserve">C001</t>
  </si>
  <si>
    <t xml:space="preserve">Toyota</t>
  </si>
  <si>
    <t xml:space="preserve">Corolla Active</t>
  </si>
  <si>
    <t xml:space="preserve">كورولا أكتيف</t>
  </si>
  <si>
    <t xml:space="preserve">جديد</t>
  </si>
  <si>
    <t xml:space="preserve">سيدان</t>
  </si>
  <si>
    <t xml:space="preserve">أوتوماتيك</t>
  </si>
  <si>
    <t xml:space="preserve">بنزين</t>
  </si>
  <si>
    <t xml:space="preserve">الفئة الأولى</t>
  </si>
  <si>
    <t xml:space="preserve">السعر من خبر أقدم وقد يكون اتغير - راجعه مع الوكيل</t>
  </si>
  <si>
    <t xml:space="preserve">C002</t>
  </si>
  <si>
    <t xml:space="preserve">Corolla Elegance</t>
  </si>
  <si>
    <t xml:space="preserve">كورولا إليجانس</t>
  </si>
  <si>
    <t xml:space="preserve">نعم</t>
  </si>
  <si>
    <t xml:space="preserve">شاشة لمس 7 بوصة</t>
  </si>
  <si>
    <t xml:space="preserve">C003</t>
  </si>
  <si>
    <t xml:space="preserve">Corolla Hybrid</t>
  </si>
  <si>
    <t xml:space="preserve">كورولا هايبرد</t>
  </si>
  <si>
    <t xml:space="preserve">هايبرد</t>
  </si>
  <si>
    <t xml:space="preserve">محرك هايبرد</t>
  </si>
  <si>
    <t xml:space="preserve">C004</t>
  </si>
  <si>
    <t xml:space="preserve">Hyundai</t>
  </si>
  <si>
    <t xml:space="preserve">Elantra AD Entry</t>
  </si>
  <si>
    <t xml:space="preserve">إلنترا AD الفئة الأولى</t>
  </si>
  <si>
    <t xml:space="preserve">مجمعة محليًا</t>
  </si>
  <si>
    <t xml:space="preserve">السعر من قائمة أكتوبر 2026 (banker.news) - راجعه مع الوكيل؛ المواصفات الفاضية للاستكمال</t>
  </si>
  <si>
    <t xml:space="preserve">C005</t>
  </si>
  <si>
    <t xml:space="preserve">Elantra AD Top</t>
  </si>
  <si>
    <t xml:space="preserve">إلنترا AD الفئة الأعلى</t>
  </si>
  <si>
    <t xml:space="preserve">C006</t>
  </si>
  <si>
    <t xml:space="preserve">Venue Blaze</t>
  </si>
  <si>
    <t xml:space="preserve">فينيو بليز</t>
  </si>
  <si>
    <t xml:space="preserve">كروس أوفر</t>
  </si>
  <si>
    <t xml:space="preserve">C007</t>
  </si>
  <si>
    <t xml:space="preserve">Venue Redline</t>
  </si>
  <si>
    <t xml:space="preserve">فينيو ريدلاين</t>
  </si>
  <si>
    <t xml:space="preserve">C008</t>
  </si>
  <si>
    <t xml:space="preserve">Kia</t>
  </si>
  <si>
    <t xml:space="preserve">Seltos Entry</t>
  </si>
  <si>
    <t xml:space="preserve">سيلتوس الفئة الأولى</t>
  </si>
  <si>
    <t xml:space="preserve">SUV</t>
  </si>
  <si>
    <t xml:space="preserve">موديل 2027</t>
  </si>
  <si>
    <t xml:space="preserve">C009</t>
  </si>
  <si>
    <t xml:space="preserve">Seltos Top</t>
  </si>
  <si>
    <t xml:space="preserve">سيلتوس الفئة الأعلى</t>
  </si>
  <si>
    <t xml:space="preserve">C010</t>
  </si>
  <si>
    <t xml:space="preserve">Mazda</t>
  </si>
  <si>
    <t xml:space="preserve">CX-3</t>
  </si>
  <si>
    <t xml:space="preserve">سي إكس 3</t>
  </si>
  <si>
    <t xml:space="preserve">C011</t>
  </si>
  <si>
    <t xml:space="preserve">Nissan</t>
  </si>
  <si>
    <t xml:space="preserve">Magnite Visia</t>
  </si>
  <si>
    <t xml:space="preserve">ماجنيت فيزيا</t>
  </si>
  <si>
    <t xml:space="preserve">الفئة الأقل</t>
  </si>
  <si>
    <t xml:space="preserve">C012</t>
  </si>
  <si>
    <t xml:space="preserve">Magnite Tekna+</t>
  </si>
  <si>
    <t xml:space="preserve">ماجنيت تيكنا بلس</t>
  </si>
  <si>
    <t xml:space="preserve">الفئة الأعلى</t>
  </si>
  <si>
    <t xml:space="preserve">C013</t>
  </si>
  <si>
    <t xml:space="preserve">Skoda</t>
  </si>
  <si>
    <t xml:space="preserve">Octavia Loft</t>
  </si>
  <si>
    <t xml:space="preserve">أوكتافيا لوفت</t>
  </si>
  <si>
    <t xml:space="preserve">DCT</t>
  </si>
  <si>
    <t xml:space="preserve">شاشة 10 بوصة وApple CarPlay، ثبات إلكتروني ESC</t>
  </si>
  <si>
    <t xml:space="preserve">C014</t>
  </si>
  <si>
    <t xml:space="preserve">Octavia Suite</t>
  </si>
  <si>
    <t xml:space="preserve">أوكتافيا سويت</t>
  </si>
  <si>
    <t xml:space="preserve">C015</t>
  </si>
  <si>
    <t xml:space="preserve">MG</t>
  </si>
  <si>
    <t xml:space="preserve">MG5 Entry</t>
  </si>
  <si>
    <t xml:space="preserve">إم جي 5 الفئة الأولى</t>
  </si>
  <si>
    <t xml:space="preserve">C016</t>
  </si>
  <si>
    <t xml:space="preserve">MG5 Top</t>
  </si>
  <si>
    <t xml:space="preserve">إم جي 5 الفئة الأعلى</t>
  </si>
  <si>
    <t xml:space="preserve">C017</t>
  </si>
  <si>
    <t xml:space="preserve">ZS Plus</t>
  </si>
  <si>
    <t xml:space="preserve">زد إس بلس</t>
  </si>
  <si>
    <t xml:space="preserve">C018</t>
  </si>
  <si>
    <t xml:space="preserve">GT</t>
  </si>
  <si>
    <t xml:space="preserve">جي تي</t>
  </si>
  <si>
    <t xml:space="preserve">الفئة الأعلى المتاحة</t>
  </si>
  <si>
    <t xml:space="preserve">C019</t>
  </si>
  <si>
    <t xml:space="preserve">G50 Plus</t>
  </si>
  <si>
    <t xml:space="preserve">G50 بلس</t>
  </si>
  <si>
    <t xml:space="preserve">ميني فان</t>
  </si>
  <si>
    <t xml:space="preserve">C020</t>
  </si>
  <si>
    <t xml:space="preserve">One</t>
  </si>
  <si>
    <t xml:space="preserve">ون</t>
  </si>
  <si>
    <t xml:space="preserve">C021</t>
  </si>
  <si>
    <t xml:space="preserve">RX5+</t>
  </si>
  <si>
    <t xml:space="preserve">RX5 بلس</t>
  </si>
  <si>
    <t xml:space="preserve">C022</t>
  </si>
  <si>
    <t xml:space="preserve">HS AS33</t>
  </si>
  <si>
    <t xml:space="preserve">HS بنزين</t>
  </si>
  <si>
    <t xml:space="preserve">C023</t>
  </si>
  <si>
    <t xml:space="preserve">HS HEV</t>
  </si>
  <si>
    <t xml:space="preserve">HS هايبرد</t>
  </si>
  <si>
    <t xml:space="preserve">محرك هايبرد، موديل 2027</t>
  </si>
  <si>
    <t xml:space="preserve">C024</t>
  </si>
  <si>
    <t xml:space="preserve">7 Trophy</t>
  </si>
  <si>
    <t xml:space="preserve">إم جي 7 تروفي</t>
  </si>
  <si>
    <t xml:space="preserve">C025</t>
  </si>
  <si>
    <t xml:space="preserve">RX9</t>
  </si>
  <si>
    <t xml:space="preserve">C026</t>
  </si>
  <si>
    <t xml:space="preserve">Deepal</t>
  </si>
  <si>
    <t xml:space="preserve">S05 REEV</t>
  </si>
  <si>
    <t xml:space="preserve">S05 مدى ممتد</t>
  </si>
  <si>
    <t xml:space="preserve">نسخة المدى الممتد REEV</t>
  </si>
  <si>
    <t xml:space="preserve">C027</t>
  </si>
  <si>
    <t xml:space="preserve">S05 BEV</t>
  </si>
  <si>
    <t xml:space="preserve">S05 كهرباء</t>
  </si>
  <si>
    <t xml:space="preserve">كهرباء</t>
  </si>
  <si>
    <t xml:space="preserve">كهربائية بالكامل BEV</t>
  </si>
  <si>
    <t xml:space="preserve">C028</t>
  </si>
  <si>
    <t xml:space="preserve">Changan</t>
  </si>
  <si>
    <t xml:space="preserve">CS75 Plus Premium</t>
  </si>
  <si>
    <t xml:space="preserve">CS75 بلس بريميوم</t>
  </si>
  <si>
    <t xml:space="preserve">C029</t>
  </si>
  <si>
    <t xml:space="preserve">CS75 Plus Flagship</t>
  </si>
  <si>
    <t xml:space="preserve">CS75 بلس فلاج شيب</t>
  </si>
  <si>
    <t xml:space="preserve">C030</t>
  </si>
  <si>
    <t xml:space="preserve">CS55 Plus Elite</t>
  </si>
  <si>
    <t xml:space="preserve">CS55 بلس إيليت</t>
  </si>
  <si>
    <t xml:space="preserve">C031</t>
  </si>
  <si>
    <t xml:space="preserve">CS55 Plus Premium</t>
  </si>
  <si>
    <t xml:space="preserve">CS55 بلس بريميوم</t>
  </si>
  <si>
    <t xml:space="preserve">C032</t>
  </si>
  <si>
    <t xml:space="preserve">UNI-V Flagship</t>
  </si>
  <si>
    <t xml:space="preserve">يوني في فلاج شيب</t>
  </si>
  <si>
    <t xml:space="preserve">فئة وحيدة</t>
  </si>
  <si>
    <t xml:space="preserve">C033</t>
  </si>
  <si>
    <t xml:space="preserve">Haval</t>
  </si>
  <si>
    <t xml:space="preserve">H6 Platinum</t>
  </si>
  <si>
    <t xml:space="preserve">H6 بلاتينيوم</t>
  </si>
  <si>
    <t xml:space="preserve">C034</t>
  </si>
  <si>
    <t xml:space="preserve">H6 Ultra</t>
  </si>
  <si>
    <t xml:space="preserve">H6 ألترا</t>
  </si>
  <si>
    <t xml:space="preserve">C035</t>
  </si>
  <si>
    <t xml:space="preserve">H7 Ultra Black</t>
  </si>
  <si>
    <t xml:space="preserve">H7 ألترا بلاك</t>
  </si>
  <si>
    <t xml:space="preserve">نظام دفع هايبرد</t>
  </si>
  <si>
    <t xml:space="preserve">C036</t>
  </si>
  <si>
    <t xml:space="preserve">Jolion Standard</t>
  </si>
  <si>
    <t xml:space="preserve">جوليان ستاندرد</t>
  </si>
  <si>
    <t xml:space="preserve">C037</t>
  </si>
  <si>
    <t xml:space="preserve">Jolion High Deluxe</t>
  </si>
  <si>
    <t xml:space="preserve">جوليان هاي ديلوكس</t>
  </si>
  <si>
    <t xml:space="preserve">C038</t>
  </si>
  <si>
    <t xml:space="preserve">Chery</t>
  </si>
  <si>
    <t xml:space="preserve">Arrizo 5 Basic</t>
  </si>
  <si>
    <t xml:space="preserve">أريزو 5 بيسك</t>
  </si>
  <si>
    <t xml:space="preserve">أرخص فئة</t>
  </si>
  <si>
    <t xml:space="preserve">C039</t>
  </si>
  <si>
    <t xml:space="preserve">Arrizo 5 CVT Comfort</t>
  </si>
  <si>
    <t xml:space="preserve">أريزو 5 كومفورت</t>
  </si>
  <si>
    <t xml:space="preserve">CVT</t>
  </si>
  <si>
    <t xml:space="preserve">C040</t>
  </si>
  <si>
    <t xml:space="preserve">Tiggo 7 Pro Comfort</t>
  </si>
  <si>
    <t xml:space="preserve">تيجو 7 برو كومفورت</t>
  </si>
  <si>
    <t xml:space="preserve">C041</t>
  </si>
  <si>
    <t xml:space="preserve">Tiggo 7 Pro Luxury</t>
  </si>
  <si>
    <t xml:space="preserve">تيجو 7 برو لاكشري</t>
  </si>
  <si>
    <t xml:space="preserve">C042</t>
  </si>
  <si>
    <t xml:space="preserve">Tiggo 8 Comfort 7 Seats</t>
  </si>
  <si>
    <t xml:space="preserve">تيجو 8 كومفورت 7 مقاعد</t>
  </si>
  <si>
    <t xml:space="preserve">C043</t>
  </si>
  <si>
    <t xml:space="preserve">Tiggo 8 Luxury 5 Seats</t>
  </si>
  <si>
    <t xml:space="preserve">تيجو 8 لاكشري 5 مقاعد</t>
  </si>
  <si>
    <t xml:space="preserve">C044</t>
  </si>
  <si>
    <t xml:space="preserve">Tiggo 8 Luxury 7 Seats</t>
  </si>
  <si>
    <t xml:space="preserve">تيجو 8 لاكشري 7 مقاعد</t>
  </si>
  <si>
    <t xml:space="preserve">C045</t>
  </si>
  <si>
    <t xml:space="preserve">C046</t>
  </si>
  <si>
    <t xml:space="preserve">C047</t>
  </si>
  <si>
    <t xml:space="preserve">C048</t>
  </si>
  <si>
    <t xml:space="preserve">C049</t>
  </si>
  <si>
    <t xml:space="preserve">C050</t>
  </si>
  <si>
    <t xml:space="preserve">C051</t>
  </si>
  <si>
    <t xml:space="preserve">C052</t>
  </si>
  <si>
    <t xml:space="preserve">C053</t>
  </si>
  <si>
    <t xml:space="preserve">C054</t>
  </si>
  <si>
    <t xml:space="preserve">C055</t>
  </si>
  <si>
    <t xml:space="preserve">C056</t>
  </si>
  <si>
    <t xml:space="preserve">C057</t>
  </si>
  <si>
    <t xml:space="preserve">C058</t>
  </si>
  <si>
    <t xml:space="preserve">C059</t>
  </si>
  <si>
    <t xml:space="preserve">C060</t>
  </si>
  <si>
    <t xml:space="preserve">C061</t>
  </si>
  <si>
    <t xml:space="preserve">C062</t>
  </si>
  <si>
    <t xml:space="preserve">C063</t>
  </si>
  <si>
    <t xml:space="preserve">C064</t>
  </si>
  <si>
    <t xml:space="preserve">C065</t>
  </si>
  <si>
    <t xml:space="preserve">C066</t>
  </si>
  <si>
    <t xml:space="preserve">C067</t>
  </si>
  <si>
    <t xml:space="preserve">C068</t>
  </si>
  <si>
    <t xml:space="preserve">C069</t>
  </si>
  <si>
    <t xml:space="preserve">C070</t>
  </si>
  <si>
    <t xml:space="preserve">C071</t>
  </si>
  <si>
    <t xml:space="preserve">C072</t>
  </si>
  <si>
    <t xml:space="preserve">C073</t>
  </si>
  <si>
    <t xml:space="preserve">C074</t>
  </si>
  <si>
    <t xml:space="preserve">C075</t>
  </si>
  <si>
    <t xml:space="preserve">C076</t>
  </si>
  <si>
    <t xml:space="preserve">C077</t>
  </si>
  <si>
    <t xml:space="preserve">C078</t>
  </si>
  <si>
    <t xml:space="preserve">C079</t>
  </si>
  <si>
    <t xml:space="preserve">C080</t>
  </si>
  <si>
    <t xml:space="preserve">C081</t>
  </si>
  <si>
    <t xml:space="preserve">C082</t>
  </si>
  <si>
    <t xml:space="preserve">C083</t>
  </si>
  <si>
    <t xml:space="preserve">C084</t>
  </si>
  <si>
    <t xml:space="preserve">C085</t>
  </si>
  <si>
    <t xml:space="preserve">C086</t>
  </si>
  <si>
    <t xml:space="preserve">C087</t>
  </si>
  <si>
    <t xml:space="preserve">C088</t>
  </si>
  <si>
    <t xml:space="preserve">C089</t>
  </si>
  <si>
    <t xml:space="preserve">C090</t>
  </si>
  <si>
    <t xml:space="preserve">C091</t>
  </si>
  <si>
    <t xml:space="preserve">C092</t>
  </si>
  <si>
    <t xml:space="preserve">C093</t>
  </si>
  <si>
    <t xml:space="preserve">C094</t>
  </si>
  <si>
    <t xml:space="preserve">C095</t>
  </si>
  <si>
    <t xml:space="preserve">C096</t>
  </si>
  <si>
    <t xml:space="preserve">C097</t>
  </si>
  <si>
    <t xml:space="preserve">C098</t>
  </si>
  <si>
    <t xml:space="preserve">C099</t>
  </si>
  <si>
    <t xml:space="preserve">C100</t>
  </si>
  <si>
    <t xml:space="preserve">C101</t>
  </si>
  <si>
    <t xml:space="preserve">C102</t>
  </si>
  <si>
    <t xml:space="preserve">C103</t>
  </si>
  <si>
    <t xml:space="preserve">C104</t>
  </si>
  <si>
    <t xml:space="preserve">C105</t>
  </si>
  <si>
    <t xml:space="preserve">C106</t>
  </si>
  <si>
    <t xml:space="preserve">C107</t>
  </si>
  <si>
    <t xml:space="preserve">C108</t>
  </si>
  <si>
    <t xml:space="preserve">C109</t>
  </si>
  <si>
    <t xml:space="preserve">C110</t>
  </si>
  <si>
    <t xml:space="preserve">C111</t>
  </si>
  <si>
    <t xml:space="preserve">C112</t>
  </si>
  <si>
    <t xml:space="preserve">C113</t>
  </si>
  <si>
    <t xml:space="preserve">C114</t>
  </si>
  <si>
    <t xml:space="preserve">C115</t>
  </si>
  <si>
    <t xml:space="preserve">C116</t>
  </si>
  <si>
    <t xml:space="preserve">C117</t>
  </si>
  <si>
    <t xml:space="preserve">C118</t>
  </si>
  <si>
    <t xml:space="preserve">C119</t>
  </si>
  <si>
    <t xml:space="preserve">C120</t>
  </si>
  <si>
    <t xml:space="preserve">C121</t>
  </si>
  <si>
    <t xml:space="preserve">C122</t>
  </si>
  <si>
    <t xml:space="preserve">C123</t>
  </si>
  <si>
    <t xml:space="preserve">C124</t>
  </si>
  <si>
    <t xml:space="preserve">C125</t>
  </si>
  <si>
    <t xml:space="preserve">C126</t>
  </si>
  <si>
    <t xml:space="preserve">C127</t>
  </si>
  <si>
    <t xml:space="preserve">C128</t>
  </si>
  <si>
    <t xml:space="preserve">C129</t>
  </si>
  <si>
    <t xml:space="preserve">C130</t>
  </si>
  <si>
    <t xml:space="preserve">C131</t>
  </si>
  <si>
    <t xml:space="preserve">C132</t>
  </si>
  <si>
    <t xml:space="preserve">C133</t>
  </si>
  <si>
    <t xml:space="preserve">C134</t>
  </si>
  <si>
    <t xml:space="preserve">C135</t>
  </si>
  <si>
    <t xml:space="preserve">C136</t>
  </si>
  <si>
    <t xml:space="preserve">C137</t>
  </si>
  <si>
    <t xml:space="preserve">C138</t>
  </si>
  <si>
    <t xml:space="preserve">C139</t>
  </si>
  <si>
    <t xml:space="preserve">C140</t>
  </si>
  <si>
    <t xml:space="preserve">C141</t>
  </si>
  <si>
    <t xml:space="preserve">C142</t>
  </si>
  <si>
    <t xml:space="preserve">C143</t>
  </si>
  <si>
    <t xml:space="preserve">C144</t>
  </si>
  <si>
    <t xml:space="preserve">C145</t>
  </si>
  <si>
    <t xml:space="preserve">C146</t>
  </si>
  <si>
    <t xml:space="preserve">C147</t>
  </si>
  <si>
    <t xml:space="preserve">C148</t>
  </si>
  <si>
    <t xml:space="preserve">C149</t>
  </si>
  <si>
    <t xml:space="preserve">C150</t>
  </si>
  <si>
    <t xml:space="preserve">C151</t>
  </si>
  <si>
    <t xml:space="preserve">C152</t>
  </si>
  <si>
    <t xml:space="preserve">C153</t>
  </si>
  <si>
    <t xml:space="preserve">C154</t>
  </si>
  <si>
    <t xml:space="preserve">C155</t>
  </si>
  <si>
    <t xml:space="preserve">C156</t>
  </si>
  <si>
    <t xml:space="preserve">C157</t>
  </si>
  <si>
    <t xml:space="preserve">C158</t>
  </si>
  <si>
    <t xml:space="preserve">C159</t>
  </si>
  <si>
    <t xml:space="preserve">C160</t>
  </si>
  <si>
    <t xml:space="preserve">C161</t>
  </si>
  <si>
    <t xml:space="preserve">C162</t>
  </si>
  <si>
    <t xml:space="preserve">C163</t>
  </si>
  <si>
    <t xml:space="preserve">C164</t>
  </si>
  <si>
    <t xml:space="preserve">C165</t>
  </si>
  <si>
    <t xml:space="preserve">C166</t>
  </si>
  <si>
    <t xml:space="preserve">C167</t>
  </si>
  <si>
    <t xml:space="preserve">C168</t>
  </si>
  <si>
    <t xml:space="preserve">C169</t>
  </si>
  <si>
    <t xml:space="preserve">C170</t>
  </si>
  <si>
    <t xml:space="preserve">C171</t>
  </si>
  <si>
    <t xml:space="preserve">C172</t>
  </si>
  <si>
    <t xml:space="preserve">C173</t>
  </si>
  <si>
    <t xml:space="preserve">C174</t>
  </si>
  <si>
    <t xml:space="preserve">C175</t>
  </si>
  <si>
    <t xml:space="preserve">C176</t>
  </si>
  <si>
    <t xml:space="preserve">C177</t>
  </si>
  <si>
    <t xml:space="preserve">C178</t>
  </si>
  <si>
    <t xml:space="preserve">C179</t>
  </si>
  <si>
    <t xml:space="preserve">C180</t>
  </si>
  <si>
    <t xml:space="preserve">C181</t>
  </si>
  <si>
    <t xml:space="preserve">C182</t>
  </si>
  <si>
    <t xml:space="preserve">C183</t>
  </si>
  <si>
    <t xml:space="preserve">C184</t>
  </si>
  <si>
    <t xml:space="preserve">C185</t>
  </si>
  <si>
    <t xml:space="preserve">C186</t>
  </si>
  <si>
    <t xml:space="preserve">C187</t>
  </si>
  <si>
    <t xml:space="preserve">C188</t>
  </si>
  <si>
    <t xml:space="preserve">C189</t>
  </si>
  <si>
    <t xml:space="preserve">C190</t>
  </si>
  <si>
    <t xml:space="preserve">C191</t>
  </si>
  <si>
    <t xml:space="preserve">C192</t>
  </si>
  <si>
    <t xml:space="preserve">C193</t>
  </si>
  <si>
    <t xml:space="preserve">C194</t>
  </si>
  <si>
    <t xml:space="preserve">C195</t>
  </si>
  <si>
    <t xml:space="preserve">C196</t>
  </si>
  <si>
    <t xml:space="preserve">C197</t>
  </si>
  <si>
    <t xml:space="preserve">C198</t>
  </si>
  <si>
    <t xml:space="preserve">C199</t>
  </si>
  <si>
    <t xml:space="preserve">C200</t>
  </si>
  <si>
    <t xml:space="preserve">C201</t>
  </si>
  <si>
    <t xml:space="preserve">C202</t>
  </si>
  <si>
    <t xml:space="preserve">C203</t>
  </si>
  <si>
    <t xml:space="preserve">C204</t>
  </si>
  <si>
    <t xml:space="preserve">C205</t>
  </si>
  <si>
    <t xml:space="preserve">C206</t>
  </si>
  <si>
    <t xml:space="preserve">C207</t>
  </si>
  <si>
    <t xml:space="preserve">C208</t>
  </si>
  <si>
    <t xml:space="preserve">C209</t>
  </si>
  <si>
    <t xml:space="preserve">C210</t>
  </si>
  <si>
    <t xml:space="preserve">C211</t>
  </si>
  <si>
    <t xml:space="preserve">C212</t>
  </si>
  <si>
    <t xml:space="preserve">C213</t>
  </si>
  <si>
    <t xml:space="preserve">C214</t>
  </si>
  <si>
    <t xml:space="preserve">C215</t>
  </si>
  <si>
    <t xml:space="preserve">C216</t>
  </si>
  <si>
    <t xml:space="preserve">C217</t>
  </si>
  <si>
    <t xml:space="preserve">C218</t>
  </si>
  <si>
    <t xml:space="preserve">C219</t>
  </si>
  <si>
    <t xml:space="preserve">C220</t>
  </si>
  <si>
    <t xml:space="preserve">C221</t>
  </si>
  <si>
    <t xml:space="preserve">C222</t>
  </si>
  <si>
    <t xml:space="preserve">C223</t>
  </si>
  <si>
    <t xml:space="preserve">C224</t>
  </si>
  <si>
    <t xml:space="preserve">C225</t>
  </si>
  <si>
    <t xml:space="preserve">C226</t>
  </si>
  <si>
    <t xml:space="preserve">C227</t>
  </si>
  <si>
    <t xml:space="preserve">C228</t>
  </si>
  <si>
    <t xml:space="preserve">C229</t>
  </si>
  <si>
    <t xml:space="preserve">C230</t>
  </si>
  <si>
    <t xml:space="preserve">C231</t>
  </si>
  <si>
    <t xml:space="preserve">C232</t>
  </si>
  <si>
    <t xml:space="preserve">C233</t>
  </si>
  <si>
    <t xml:space="preserve">C234</t>
  </si>
  <si>
    <t xml:space="preserve">C235</t>
  </si>
  <si>
    <t xml:space="preserve">C236</t>
  </si>
  <si>
    <t xml:space="preserve">C237</t>
  </si>
  <si>
    <t xml:space="preserve">C238</t>
  </si>
  <si>
    <t xml:space="preserve">C239</t>
  </si>
  <si>
    <t xml:space="preserve">C240</t>
  </si>
  <si>
    <t xml:space="preserve">C241</t>
  </si>
  <si>
    <t xml:space="preserve">C242</t>
  </si>
  <si>
    <t xml:space="preserve">C243</t>
  </si>
  <si>
    <t xml:space="preserve">C244</t>
  </si>
  <si>
    <t xml:space="preserve">C245</t>
  </si>
  <si>
    <t xml:space="preserve">C246</t>
  </si>
  <si>
    <t xml:space="preserve">C247</t>
  </si>
  <si>
    <t xml:space="preserve">C248</t>
  </si>
  <si>
    <t xml:space="preserve">C249</t>
  </si>
  <si>
    <t xml:space="preserve">C250</t>
  </si>
  <si>
    <t xml:space="preserve">C251</t>
  </si>
  <si>
    <t xml:space="preserve">C252</t>
  </si>
  <si>
    <t xml:space="preserve">C253</t>
  </si>
  <si>
    <t xml:space="preserve">C254</t>
  </si>
  <si>
    <t xml:space="preserve">C255</t>
  </si>
  <si>
    <t xml:space="preserve">C256</t>
  </si>
  <si>
    <t xml:space="preserve">C257</t>
  </si>
  <si>
    <t xml:space="preserve">C258</t>
  </si>
  <si>
    <t xml:space="preserve">C259</t>
  </si>
  <si>
    <t xml:space="preserve">C260</t>
  </si>
  <si>
    <t xml:space="preserve">C261</t>
  </si>
  <si>
    <t xml:space="preserve">C262</t>
  </si>
  <si>
    <t xml:space="preserve">C263</t>
  </si>
  <si>
    <t xml:space="preserve">C264</t>
  </si>
  <si>
    <t xml:space="preserve">C265</t>
  </si>
  <si>
    <t xml:space="preserve">C266</t>
  </si>
  <si>
    <t xml:space="preserve">C267</t>
  </si>
  <si>
    <t xml:space="preserve">C268</t>
  </si>
  <si>
    <t xml:space="preserve">C269</t>
  </si>
  <si>
    <t xml:space="preserve">C270</t>
  </si>
  <si>
    <t xml:space="preserve">C271</t>
  </si>
  <si>
    <t xml:space="preserve">C272</t>
  </si>
  <si>
    <t xml:space="preserve">C273</t>
  </si>
  <si>
    <t xml:space="preserve">C274</t>
  </si>
  <si>
    <t xml:space="preserve">C275</t>
  </si>
  <si>
    <t xml:space="preserve">C276</t>
  </si>
  <si>
    <t xml:space="preserve">C277</t>
  </si>
  <si>
    <t xml:space="preserve">C278</t>
  </si>
  <si>
    <t xml:space="preserve">C279</t>
  </si>
  <si>
    <t xml:space="preserve">C280</t>
  </si>
  <si>
    <t xml:space="preserve">C281</t>
  </si>
  <si>
    <t xml:space="preserve">C282</t>
  </si>
  <si>
    <t xml:space="preserve">C283</t>
  </si>
  <si>
    <t xml:space="preserve">C284</t>
  </si>
  <si>
    <t xml:space="preserve">C285</t>
  </si>
  <si>
    <t xml:space="preserve">C286</t>
  </si>
  <si>
    <t xml:space="preserve">C287</t>
  </si>
  <si>
    <t xml:space="preserve">C288</t>
  </si>
  <si>
    <t xml:space="preserve">C289</t>
  </si>
  <si>
    <t xml:space="preserve">C290</t>
  </si>
  <si>
    <t xml:space="preserve">C291</t>
  </si>
  <si>
    <t xml:space="preserve">C292</t>
  </si>
  <si>
    <t xml:space="preserve">C293</t>
  </si>
  <si>
    <t xml:space="preserve">C294</t>
  </si>
  <si>
    <t xml:space="preserve">C295</t>
  </si>
  <si>
    <t xml:space="preserve">C296</t>
  </si>
  <si>
    <t xml:space="preserve">C297</t>
  </si>
  <si>
    <t xml:space="preserve">C298</t>
  </si>
  <si>
    <t xml:space="preserve">C299</t>
  </si>
  <si>
    <t xml:space="preserve">C300</t>
  </si>
  <si>
    <t xml:space="preserve">Fault_ID</t>
  </si>
  <si>
    <t xml:space="preserve">Category</t>
  </si>
  <si>
    <t xml:space="preserve">Component</t>
  </si>
  <si>
    <t xml:space="preserve">Possible_Cause</t>
  </si>
  <si>
    <t xml:space="preserve">Solution</t>
  </si>
  <si>
    <t xml:space="preserve">Severity</t>
  </si>
  <si>
    <t xml:space="preserve">Safe_To_Drive</t>
  </si>
  <si>
    <t xml:space="preserve">Est_Cost_EGP_Min</t>
  </si>
  <si>
    <t xml:space="preserve">Est_Cost_EGP_Max</t>
  </si>
  <si>
    <t xml:space="preserve">F001</t>
  </si>
  <si>
    <t xml:space="preserve">البطارية / السلف</t>
  </si>
  <si>
    <t xml:space="preserve">العربية مش بتدور وبسمع طقطقة</t>
  </si>
  <si>
    <t xml:space="preserve">مش بتدور، طقطقة، سلف، بطارية، مفيش كهرباء، الكونتاكت</t>
  </si>
  <si>
    <t xml:space="preserve">لمبة البطارية</t>
  </si>
  <si>
    <t xml:space="preserve">بطارية ضعيفة أو أقطاب مؤكسدة أو عطل في السلف</t>
  </si>
  <si>
    <t xml:space="preserve">قياس فولت البطارية وتنظيف الأقطاب وتغيير البطارية، ولو سليمة يتفحص السلف والدينامو</t>
  </si>
  <si>
    <t xml:space="preserve">متوسط</t>
  </si>
  <si>
    <t xml:space="preserve">لا</t>
  </si>
  <si>
    <t xml:space="preserve">الكل</t>
  </si>
  <si>
    <t xml:space="preserve">F002</t>
  </si>
  <si>
    <t xml:space="preserve">وقود</t>
  </si>
  <si>
    <t xml:space="preserve">طلمبة البنزين / الفلتر</t>
  </si>
  <si>
    <t xml:space="preserve">المحرك بيدور بس مش بيولع</t>
  </si>
  <si>
    <t xml:space="preserve">بيدور ومبيولعش، مش بتولع، طلمبة بنزين، فلتر بنزين، مفيش بنزين</t>
  </si>
  <si>
    <t xml:space="preserve">عطل طلمبة البنزين أو فلتر مسدود أو حساس الكرنك أو الكويلات</t>
  </si>
  <si>
    <t xml:space="preserve">فحص ضغط البنزين والشرارة وقراءة الأعطال بجهاز الكمبيوتر</t>
  </si>
  <si>
    <t xml:space="preserve">F003</t>
  </si>
  <si>
    <t xml:space="preserve">محرك</t>
  </si>
  <si>
    <t xml:space="preserve">البوجيهات / الكويلات</t>
  </si>
  <si>
    <t xml:space="preserve">المحرك بيرتعش وهو واقف</t>
  </si>
  <si>
    <t xml:space="preserve">رعشة، هزة، المحرك بيهز، بيرتعش، عدم انتظام، ملل</t>
  </si>
  <si>
    <t xml:space="preserve">لمبة المحرك</t>
  </si>
  <si>
    <t xml:space="preserve">بوجيهات أو كويلات تالفة أو تسريب هواء أو حساس</t>
  </si>
  <si>
    <t xml:space="preserve">تغيير البوجيهات وفحص الكويلات والتروتل</t>
  </si>
  <si>
    <t xml:space="preserve">بحذر</t>
  </si>
  <si>
    <t xml:space="preserve">F004</t>
  </si>
  <si>
    <t xml:space="preserve">تحذيرات التابلوه</t>
  </si>
  <si>
    <t xml:space="preserve">كمبيوتر المحرك</t>
  </si>
  <si>
    <t xml:space="preserve">لمبة المحرك (Check Engine) منورة ثابتة</t>
  </si>
  <si>
    <t xml:space="preserve">لمبة المحرك، تشيك أنجن، لمبة صفرا، لمبة البرتقاني، Check Engine</t>
  </si>
  <si>
    <t xml:space="preserve">لمبة المحرك صفراء</t>
  </si>
  <si>
    <t xml:space="preserve">عطل في حساس أو احتراق غير سليم أو غطاء خزان البنزين مش محكم</t>
  </si>
  <si>
    <t xml:space="preserve">قراءة كود العطل بجهاز دياجناسيس الأول وبعدها يتحدد العلاج</t>
  </si>
  <si>
    <t xml:space="preserve">F005</t>
  </si>
  <si>
    <t xml:space="preserve">الاحتراق / الكتالايزر</t>
  </si>
  <si>
    <t xml:space="preserve">لمبة المحرك بتفلش (بتومض)</t>
  </si>
  <si>
    <t xml:space="preserve">لمبة بتفلش، لمبة بتنط، لمبة المحرك بتومض، ميس فاير</t>
  </si>
  <si>
    <t xml:space="preserve">لمبة المحرك وامضة</t>
  </si>
  <si>
    <t xml:space="preserve">احتراق غير مكتمل شديد وممكن يتلف الكتالايزر</t>
  </si>
  <si>
    <t xml:space="preserve">وقف العربية وعدم الاستمرار، وفحص البوجيهات والكويلات فورًا</t>
  </si>
  <si>
    <t xml:space="preserve">خطير</t>
  </si>
  <si>
    <t xml:space="preserve">F006</t>
  </si>
  <si>
    <t xml:space="preserve">طلمبة الزيت</t>
  </si>
  <si>
    <t xml:space="preserve">لمبة الزيت الحمرا منورة</t>
  </si>
  <si>
    <t xml:space="preserve">لمبة الزيت، لمبة حمرا، علبة الزيت، ضغط الزيت، زيت ناقص</t>
  </si>
  <si>
    <t xml:space="preserve">لمبة ضغط الزيت</t>
  </si>
  <si>
    <t xml:space="preserve">نقص الزيت أو ضعف طلمبة الزيت أو عطل الحساس</t>
  </si>
  <si>
    <t xml:space="preserve">وقف المحرك فورًا وفحص مستوى الزيت، ولو الزيت كفاية تتحول لورشة بونش</t>
  </si>
  <si>
    <t xml:space="preserve">F007</t>
  </si>
  <si>
    <t xml:space="preserve">الشنابر / جوانات الصمامات</t>
  </si>
  <si>
    <t xml:space="preserve">العربية بتاكل زيت ودخان أزرق من الشكمان</t>
  </si>
  <si>
    <t xml:space="preserve">دخان أزرق، بتاكل زيت، زيت بيقل، شنابر، استهلاك زيت</t>
  </si>
  <si>
    <t xml:space="preserve">تآكل شنابر أو جوانات صمامات أو تسريب</t>
  </si>
  <si>
    <t xml:space="preserve">فحص الكمبريشن وإصلاح التسريب أو تغيير الجوانات</t>
  </si>
  <si>
    <t xml:space="preserve">F008</t>
  </si>
  <si>
    <t xml:space="preserve">عادم</t>
  </si>
  <si>
    <t xml:space="preserve">حساس الأكسجين / البخاخات</t>
  </si>
  <si>
    <t xml:space="preserve">دخان أسود من الشكمان</t>
  </si>
  <si>
    <t xml:space="preserve">دخان أسود، عادم أسود، بتحرق بنزين، شكمان أسود</t>
  </si>
  <si>
    <t xml:space="preserve">خليط غني بسبب فلتر هواء مسدود أو حساس أكسجين أو بخاخات</t>
  </si>
  <si>
    <t xml:space="preserve">تغيير فلتر الهواء وفحص الحساسات والبخاخات</t>
  </si>
  <si>
    <t xml:space="preserve">بسيط</t>
  </si>
  <si>
    <t xml:space="preserve">F009</t>
  </si>
  <si>
    <t xml:space="preserve">تبريد</t>
  </si>
  <si>
    <t xml:space="preserve">جوان راس السلندر</t>
  </si>
  <si>
    <t xml:space="preserve">دخان أبيض كثيف من الشكمان ومياه الردياتير بتقل</t>
  </si>
  <si>
    <t xml:space="preserve">دخان أبيض، بخار كتير، مياه الردياتير بتقل، جوان راس</t>
  </si>
  <si>
    <t xml:space="preserve">لمبة حرارة المحرك</t>
  </si>
  <si>
    <t xml:space="preserve">تسريب مياه التبريد للسلندرات بسبب جوان راس السلندر</t>
  </si>
  <si>
    <t xml:space="preserve">وقف المحرك وفحص الكمبريشن وتغيير الجوان وتسوية الراس</t>
  </si>
  <si>
    <t xml:space="preserve">F010</t>
  </si>
  <si>
    <t xml:space="preserve">الرافعات / الزيت</t>
  </si>
  <si>
    <t xml:space="preserve">صوت طقطقة (تكتكة) من المحرك</t>
  </si>
  <si>
    <t xml:space="preserve">تكتكة، طقطقة، تاكتك، رافعات، صوت المحرك</t>
  </si>
  <si>
    <t xml:space="preserve">زيت قليل أو لزج أو رافعات صمامات متآكلة</t>
  </si>
  <si>
    <t xml:space="preserve">فحص مستوى الزيت وتغييره بالنوع الصحيح وبعدها فحص الرافعات</t>
  </si>
  <si>
    <t xml:space="preserve">F011</t>
  </si>
  <si>
    <t xml:space="preserve">فلتر الهواء / الحساسات</t>
  </si>
  <si>
    <t xml:space="preserve">العربية تقيلة ومفيهاش سحب</t>
  </si>
  <si>
    <t xml:space="preserve">تقيلة، ضعف سحب، مفيش سحب، مبتجيبش سرعة، بطيئة</t>
  </si>
  <si>
    <t xml:space="preserve">فلتر بنزين أو هواء مسدود أو كتالايزر مسدود أو حساس تالف</t>
  </si>
  <si>
    <t xml:space="preserve">تغيير الفلاتر وفحص الحساسات والكتالايزر بجهاز الكمبيوتر</t>
  </si>
  <si>
    <t xml:space="preserve">F012</t>
  </si>
  <si>
    <t xml:space="preserve">حساس الكرنك / الطلمبة</t>
  </si>
  <si>
    <t xml:space="preserve">العربية بتموت فجأة وأنا ماشي</t>
  </si>
  <si>
    <t xml:space="preserve">بتموت، بتفصل، بتطفي فجأة، بتقف لوحدها</t>
  </si>
  <si>
    <t xml:space="preserve">عطل حساس الكرنك أو طلمبة البنزين أو دينامو أو بطارية</t>
  </si>
  <si>
    <t xml:space="preserve">وقف العربية على جنب بأمان وقراءة الأعطال وفحص الطلمبة والدينامو</t>
  </si>
  <si>
    <t xml:space="preserve">F013</t>
  </si>
  <si>
    <t xml:space="preserve">البوجيهات / البطارية</t>
  </si>
  <si>
    <t xml:space="preserve">صعوبة في التشغيل الصبح</t>
  </si>
  <si>
    <t xml:space="preserve">صعب تدور الصبح، لازم أحاول كذا مرة، تشغيل على البارد</t>
  </si>
  <si>
    <t xml:space="preserve">بوجيهات ضعيفة أو بطارية ضعيفة أو حساس حرارة</t>
  </si>
  <si>
    <t xml:space="preserve">تغيير البوجيهات وفحص البطارية وحساس الحرارة</t>
  </si>
  <si>
    <t xml:space="preserve">F014</t>
  </si>
  <si>
    <t xml:space="preserve">الردياتير / الثرموستات / المروحة</t>
  </si>
  <si>
    <t xml:space="preserve">العربية بتسخن وإبرة الحرارة بتعلى</t>
  </si>
  <si>
    <t xml:space="preserve">سخونة، حرارة عالية، بخار من الكبوت، مروحة، مياه الردياتير، العربية بتسخن</t>
  </si>
  <si>
    <t xml:space="preserve">لمبة حرارة المحرك حمرا</t>
  </si>
  <si>
    <t xml:space="preserve">نقص مياه الردياتير أو عطل الثرموستات أو مروحة التبريد مش شغالة</t>
  </si>
  <si>
    <t xml:space="preserve">وقف العربية فورًا وافصل المحرك، استنى يبرد، افحص مستوى المياه، وغير الثرموستات أو المروحة حسب العطل</t>
  </si>
  <si>
    <t xml:space="preserve">F015</t>
  </si>
  <si>
    <t xml:space="preserve">الردياتير / الخراطيم</t>
  </si>
  <si>
    <t xml:space="preserve">تسريب مياه (أخضر أو وردي) تحت العربية</t>
  </si>
  <si>
    <t xml:space="preserve">بتنقط مياه، تسريب ردياتير، سائل أخضر، مياه تبريد، بقعة تحت العربية</t>
  </si>
  <si>
    <t xml:space="preserve">لمبة مستوى المياه</t>
  </si>
  <si>
    <t xml:space="preserve">تسريب من خرطوم أو الردياتير أو طلمبة المياه</t>
  </si>
  <si>
    <t xml:space="preserve">تحديد مكان التسريب وتغيير الخرطوم أو الردياتير أو الطلمبة وتعبئة مياه تبريد</t>
  </si>
  <si>
    <t xml:space="preserve">F016</t>
  </si>
  <si>
    <t xml:space="preserve">مروحة الردياتير</t>
  </si>
  <si>
    <t xml:space="preserve">المروحة مش شغالة والعربية بتسخن في الزحمة</t>
  </si>
  <si>
    <t xml:space="preserve">مروحة، الفان، سخونة في الزحمة، فان الردياتير</t>
  </si>
  <si>
    <t xml:space="preserve">عطل ريليه المروحة أو موتورها أو حساس الحرارة</t>
  </si>
  <si>
    <t xml:space="preserve">فحص الريليه والموتور والحساس وتغيير التالف</t>
  </si>
  <si>
    <t xml:space="preserve">F017</t>
  </si>
  <si>
    <t xml:space="preserve">فرامل</t>
  </si>
  <si>
    <t xml:space="preserve">تيل الفرامل</t>
  </si>
  <si>
    <t xml:space="preserve">صوت صرير عند الفرملة</t>
  </si>
  <si>
    <t xml:space="preserve">صرير، زيزة، صفير فرامل، تيل فرامل، دواسة الفرامل</t>
  </si>
  <si>
    <t xml:space="preserve">تآكل تيل الفرامل</t>
  </si>
  <si>
    <t xml:space="preserve">فحص وتغيير تيل الفرامل (ويفضل فحص الأسطوانات)</t>
  </si>
  <si>
    <t xml:space="preserve">F018</t>
  </si>
  <si>
    <t xml:space="preserve">طلمبة / زيت الفرامل</t>
  </si>
  <si>
    <t xml:space="preserve">دواسة الفرامل غاطسة أو طرية</t>
  </si>
  <si>
    <t xml:space="preserve">الفرامل بتغطس، دواسة طرية، مفيش فرامل، الفرامل ضعيفة</t>
  </si>
  <si>
    <t xml:space="preserve">لمبة الفرامل</t>
  </si>
  <si>
    <t xml:space="preserve">هواء في النظام أو تسريب زيت فرامل أو عطل طلمبة الفرامل</t>
  </si>
  <si>
    <t xml:space="preserve">وقف العربية وعدم الاستمرار، وفحص التسريب وتغيير زيت الفرامل أو الطلمبة</t>
  </si>
  <si>
    <t xml:space="preserve">F019</t>
  </si>
  <si>
    <t xml:space="preserve">الأقراص (الديسكات)</t>
  </si>
  <si>
    <t xml:space="preserve">اهتزاز في الدركسيون عند الفرملة</t>
  </si>
  <si>
    <t xml:space="preserve">رعشة فرامل، الدركسيون بيهز، ديسكات، الفرامل بتهز</t>
  </si>
  <si>
    <t xml:space="preserve">أقراص الفرامل معوجة بسبب الحرارة</t>
  </si>
  <si>
    <t xml:space="preserve">خراطة أو تغيير الأقراص مع التيل</t>
  </si>
  <si>
    <t xml:space="preserve">F020</t>
  </si>
  <si>
    <t xml:space="preserve">ABS</t>
  </si>
  <si>
    <t xml:space="preserve">لمبة ABS منورة</t>
  </si>
  <si>
    <t xml:space="preserve">لمبة ABS، لمبة الفرامل، ايه بي اس</t>
  </si>
  <si>
    <t xml:space="preserve">لمبة ABS</t>
  </si>
  <si>
    <t xml:space="preserve">عطل حساس سرعة العجلة أو وحدة ABS</t>
  </si>
  <si>
    <t xml:space="preserve">قراءة الكود وتغيير الحساس التالف (الفرامل العادية بتفضل شغالة)</t>
  </si>
  <si>
    <t xml:space="preserve">F021</t>
  </si>
  <si>
    <t xml:space="preserve">الكاليبر / التيل</t>
  </si>
  <si>
    <t xml:space="preserve">العربية بتشد لجنب لما أفرمل</t>
  </si>
  <si>
    <t xml:space="preserve">بتشد يمين، بتشد شمال، بتسحب لجنب، الفرامل</t>
  </si>
  <si>
    <t xml:space="preserve">كاليبر مشتبك أو تيل غير متساوي في التآكل</t>
  </si>
  <si>
    <t xml:space="preserve">فحص الكاليبرات وتنظيفها أو تغييرها مع التيل</t>
  </si>
  <si>
    <t xml:space="preserve">F022</t>
  </si>
  <si>
    <t xml:space="preserve">ريحة حريق من الفرامل</t>
  </si>
  <si>
    <t xml:space="preserve">ريحة حريق، فرامل سخنت، دخان من العجلة، ريحة شياط</t>
  </si>
  <si>
    <t xml:space="preserve">تيل أو كاليبر مشتبك أو استخدام الفرامل بشكل حاد</t>
  </si>
  <si>
    <t xml:space="preserve">وقف العربية وتبريد الفرامل وفحص الكاليبر والتيل</t>
  </si>
  <si>
    <t xml:space="preserve">F023</t>
  </si>
  <si>
    <t xml:space="preserve">الدينامو / البطارية</t>
  </si>
  <si>
    <t xml:space="preserve">البطارية بتفضى بسرعة ولمبة البطارية منورة</t>
  </si>
  <si>
    <t xml:space="preserve">البطارية بتخلص، مفيش شحن، لمبة البطارية، الدينامو</t>
  </si>
  <si>
    <t xml:space="preserve">دينامو ضعيف أو سير الدينامو مفكوك أو سحب كهربائي مستمر</t>
  </si>
  <si>
    <t xml:space="preserve">فحص شحن الدينامو والسير وتغيير التالف أو تغيير البطارية</t>
  </si>
  <si>
    <t xml:space="preserve">F024</t>
  </si>
  <si>
    <t xml:space="preserve">اللمبات / الفيوز</t>
  </si>
  <si>
    <t xml:space="preserve">الأضوية ضعيفة أو لمبة بتطفي</t>
  </si>
  <si>
    <t xml:space="preserve">كشاف، نور ضعيف، لمبة محروقة، فيوز، الأنوار</t>
  </si>
  <si>
    <t xml:space="preserve">لمبة محروقة أو فيوز أو وصلة مفكوكة</t>
  </si>
  <si>
    <t xml:space="preserve">تغيير اللمبة أو الفيوز وفحص الوصلات</t>
  </si>
  <si>
    <t xml:space="preserve">F025</t>
  </si>
  <si>
    <t xml:space="preserve">الزجاج الكهربائي</t>
  </si>
  <si>
    <t xml:space="preserve">الزجاج الكهربائي (الشباك) واقف</t>
  </si>
  <si>
    <t xml:space="preserve">الازاز، الشباك، الشباك الكهربا، رافع الزجاج</t>
  </si>
  <si>
    <t xml:space="preserve">عطل سويتش أو ريليه أو موتور الزجاج</t>
  </si>
  <si>
    <t xml:space="preserve">فحص السويتش والموتور وتغيير التالف</t>
  </si>
  <si>
    <t xml:space="preserve">F026</t>
  </si>
  <si>
    <t xml:space="preserve">الريموت / القفل المركزي</t>
  </si>
  <si>
    <t xml:space="preserve">الريموت أو القفل المركزي مش شغال</t>
  </si>
  <si>
    <t xml:space="preserve">ريموت، مفتاح، القفل المركزي، بطارية الريموت</t>
  </si>
  <si>
    <t xml:space="preserve">بطارية الريموت خلصانة أو موتور القفل تالف</t>
  </si>
  <si>
    <t xml:space="preserve">تغيير بطارية الريموت وفحص موتور القفل</t>
  </si>
  <si>
    <t xml:space="preserve">F027</t>
  </si>
  <si>
    <t xml:space="preserve">الفيوزات / الأسلاك</t>
  </si>
  <si>
    <t xml:space="preserve">فيوز بيحرق باستمرار</t>
  </si>
  <si>
    <t xml:space="preserve">فيوز، ماس كهربائي، بيحرق فيوز، ريحة سلك</t>
  </si>
  <si>
    <t xml:space="preserve">ماس كهربائي في الأسلاك</t>
  </si>
  <si>
    <t xml:space="preserve">فحص الأسلاك وتحديد مكان الماس وإصلاحه فورًا (خطر حريق)</t>
  </si>
  <si>
    <t xml:space="preserve">F028</t>
  </si>
  <si>
    <t xml:space="preserve">تكييف</t>
  </si>
  <si>
    <t xml:space="preserve">الفريون / الكمبروسر</t>
  </si>
  <si>
    <t xml:space="preserve">التكييف مش بيبرد</t>
  </si>
  <si>
    <t xml:space="preserve">تكييف، مبيبردش، سخن، فريون، مكيف</t>
  </si>
  <si>
    <t xml:space="preserve">نقص فريون أو عطل كمبروسر أو كوندنسر مسدود أو فلتر</t>
  </si>
  <si>
    <t xml:space="preserve">فحص ضغط الفريون وتعبئته وفحص الكمبروسر والكوندنسر</t>
  </si>
  <si>
    <t xml:space="preserve">F029</t>
  </si>
  <si>
    <t xml:space="preserve">المبخر / الكلتش</t>
  </si>
  <si>
    <t xml:space="preserve">التكييف بيبرد وبعدين يسخن</t>
  </si>
  <si>
    <t xml:space="preserve">يبرد ويسخن، التكييف بيقطع، تجمد</t>
  </si>
  <si>
    <t xml:space="preserve">تجمد المبخر أو عطل كلتش الكمبروسر أو ريليه</t>
  </si>
  <si>
    <t xml:space="preserve">فحص الفريون والكلتش والريليه وتنظيف المبخر</t>
  </si>
  <si>
    <t xml:space="preserve">F030</t>
  </si>
  <si>
    <t xml:space="preserve">فلتر الكابينة / المبخر</t>
  </si>
  <si>
    <t xml:space="preserve">ريحة وحشة من التكييف</t>
  </si>
  <si>
    <t xml:space="preserve">ريحة، عفن، رطوبة، ريحة التكييف، بو</t>
  </si>
  <si>
    <t xml:space="preserve">فلتر الكابينة قديم أو عفن في المبخر</t>
  </si>
  <si>
    <t xml:space="preserve">تغيير فلتر الكابينة وتنظيف المبخر وتعقيمه</t>
  </si>
  <si>
    <t xml:space="preserve">F031</t>
  </si>
  <si>
    <t xml:space="preserve">مجرى تصريف المياه</t>
  </si>
  <si>
    <t xml:space="preserve">مياه بتنزل جوه العربية من تحت التابلوه</t>
  </si>
  <si>
    <t xml:space="preserve">مياه جوه العربية، رطوبة، بلل تحت الكراسي</t>
  </si>
  <si>
    <t xml:space="preserve">انسداد مجرى تصريف مياه التكييف</t>
  </si>
  <si>
    <t xml:space="preserve">تسليك مجرى التصريف وتنظيف المبخر</t>
  </si>
  <si>
    <t xml:space="preserve">F032</t>
  </si>
  <si>
    <t xml:space="preserve">الكمبروسر</t>
  </si>
  <si>
    <t xml:space="preserve">صوت عالي من التكييف لما أشغله</t>
  </si>
  <si>
    <t xml:space="preserve">صوت التكييف، زن، كمبروسر، بلية الكلتش</t>
  </si>
  <si>
    <t xml:space="preserve">بلية كمبروسر أو كلتش متآكل</t>
  </si>
  <si>
    <t xml:space="preserve">فحص الكمبروسر وتغيير الكلتش أو الكمبروسر</t>
  </si>
  <si>
    <t xml:space="preserve">F033</t>
  </si>
  <si>
    <t xml:space="preserve">عفشة وتعليق</t>
  </si>
  <si>
    <t xml:space="preserve">المساعدين / القصبات</t>
  </si>
  <si>
    <t xml:space="preserve">صوت خبط من العفشة على المطبات</t>
  </si>
  <si>
    <t xml:space="preserve">خبط، قصبات، مساعدين، كاوتش مساعد، عفشة، المطبات</t>
  </si>
  <si>
    <t xml:space="preserve">مساعدين أو قواعد أو قصبات متآكلة</t>
  </si>
  <si>
    <t xml:space="preserve">فحص العفشة وتغيير المساعدين أو القواعد أو القصبات التالفة</t>
  </si>
  <si>
    <t xml:space="preserve">F034</t>
  </si>
  <si>
    <t xml:space="preserve">إطارات</t>
  </si>
  <si>
    <t xml:space="preserve">زوايا العجل</t>
  </si>
  <si>
    <t xml:space="preserve">العربية بتشد يمين أو شمال</t>
  </si>
  <si>
    <t xml:space="preserve">بتشد، فرمتة، ظبط زوايا، ظبط الدركسيون، بتسحب</t>
  </si>
  <si>
    <t xml:space="preserve">زوايا العجل غير مضبوطة أو فرق ضغط الكاوتش</t>
  </si>
  <si>
    <t xml:space="preserve">ظبط زوايا العجل وفحص ضغط الكاوتش</t>
  </si>
  <si>
    <t xml:space="preserve">F035</t>
  </si>
  <si>
    <t xml:space="preserve">ميزان الكاوتش</t>
  </si>
  <si>
    <t xml:space="preserve">اهتزاز الدركسيون على سرعة 80 إلى 100</t>
  </si>
  <si>
    <t xml:space="preserve">رعشة، زنقة، بالانس، ميزان كاوتش، الدركسيون بيهز</t>
  </si>
  <si>
    <t xml:space="preserve">ميزان الكاوتش (البالانس) غير مضبوط أو كاوتش مشوه</t>
  </si>
  <si>
    <t xml:space="preserve">ضبط البالانس وفحص الكاوتش والجنوط</t>
  </si>
  <si>
    <t xml:space="preserve">F036</t>
  </si>
  <si>
    <t xml:space="preserve">مفصل السرعة (CV joint)</t>
  </si>
  <si>
    <t xml:space="preserve">صوت طقطقة لما ألف الدركسيون</t>
  </si>
  <si>
    <t xml:space="preserve">صرير، طقطقة عند اللف، مفصل، سوستة، كاوتش المفصل</t>
  </si>
  <si>
    <t xml:space="preserve">مفصل السرعة (CV joint) تالف أو شنطة المفصل مقطوعة</t>
  </si>
  <si>
    <t xml:space="preserve">تغيير المفصل وشنطته</t>
  </si>
  <si>
    <t xml:space="preserve">F037</t>
  </si>
  <si>
    <t xml:space="preserve">طلمبة باور / زيت الباور</t>
  </si>
  <si>
    <t xml:space="preserve">الدركسيون تقيل أو في صوت عند اللف</t>
  </si>
  <si>
    <t xml:space="preserve">دركسيون تقيل، باور، زيت باور، صرير</t>
  </si>
  <si>
    <t xml:space="preserve">نقص زيت الباور أو ضعف الطلمبة</t>
  </si>
  <si>
    <t xml:space="preserve">تعبئة زيت الباور وفحص التسريب وتغيير الطلمبة لو لزم</t>
  </si>
  <si>
    <t xml:space="preserve">F038</t>
  </si>
  <si>
    <t xml:space="preserve">ناقل حركة</t>
  </si>
  <si>
    <t xml:space="preserve">الجير الأوتوماتيك</t>
  </si>
  <si>
    <t xml:space="preserve">الجير الأوتوماتيك بيخبط أو بيتأخر في التعشيق</t>
  </si>
  <si>
    <t xml:space="preserve">جير، مش بيعشق، خبطة، تأخير، الأوتوماتيك</t>
  </si>
  <si>
    <t xml:space="preserve">زيت جير قديم أو عطل صمامات أو حساسات</t>
  </si>
  <si>
    <t xml:space="preserve">تغيير زيت الجير والفلتر وقراءة الأعطال وفحص الصمامات</t>
  </si>
  <si>
    <t xml:space="preserve">F039</t>
  </si>
  <si>
    <t xml:space="preserve">كلتش DCT / DSG</t>
  </si>
  <si>
    <t xml:space="preserve">رعشة عند الانطلاق في الجير DCT</t>
  </si>
  <si>
    <t xml:space="preserve">رعشة عند الانطلاق، DSG، دبل كلتش، الجير بيهز</t>
  </si>
  <si>
    <t xml:space="preserve">تآكل الكلتش أو وحدة التحكم</t>
  </si>
  <si>
    <t xml:space="preserve">فحص الكلتش وضبطه أو تغييره وتحديث البرمجة</t>
  </si>
  <si>
    <t xml:space="preserve">F040</t>
  </si>
  <si>
    <t xml:space="preserve">الدبرياج (الكلتش)</t>
  </si>
  <si>
    <t xml:space="preserve">الدبرياج بينزلق والدوران بيعلى والسرعة لأ</t>
  </si>
  <si>
    <t xml:space="preserve">دبرياج، الكلتش بيحرق، بينزلق، الدوران بيعلى</t>
  </si>
  <si>
    <t xml:space="preserve">تآكل الدبرياج</t>
  </si>
  <si>
    <t xml:space="preserve">تغيير طقم الدبرياج</t>
  </si>
  <si>
    <t xml:space="preserve">مانيوال</t>
  </si>
  <si>
    <t xml:space="preserve">F041</t>
  </si>
  <si>
    <t xml:space="preserve">الجير المانيوال</t>
  </si>
  <si>
    <t xml:space="preserve">صعوبة تعشيق الجير المانيوال</t>
  </si>
  <si>
    <t xml:space="preserve">الجير مش بيدخل، بيزيق، عشق صعب</t>
  </si>
  <si>
    <t xml:space="preserve">زيت جير أو كابل أو دبرياج</t>
  </si>
  <si>
    <t xml:space="preserve">فحص زيت الجير والكابل والدبرياج</t>
  </si>
  <si>
    <t xml:space="preserve">F042</t>
  </si>
  <si>
    <t xml:space="preserve">جوانات الجير</t>
  </si>
  <si>
    <t xml:space="preserve">تسريب زيت تحت الجير</t>
  </si>
  <si>
    <t xml:space="preserve">زيت أحمر، بقعة، تسريب جير</t>
  </si>
  <si>
    <t xml:space="preserve">تلف جوانات أو سيل الجير</t>
  </si>
  <si>
    <t xml:space="preserve">تحديد التسريب وتغيير الجوان وتعبئة الزيت</t>
  </si>
  <si>
    <t xml:space="preserve">F043</t>
  </si>
  <si>
    <t xml:space="preserve">الشكمان / الكاتم</t>
  </si>
  <si>
    <t xml:space="preserve">صوت عالي من الشكمان</t>
  </si>
  <si>
    <t xml:space="preserve">صوت عادم، شكمان بيزن، كاتم</t>
  </si>
  <si>
    <t xml:space="preserve">خرق في الشكمان أو الكاتم</t>
  </si>
  <si>
    <t xml:space="preserve">لحام أو تغيير الشكمان أو الكاتم</t>
  </si>
  <si>
    <t xml:space="preserve">F044</t>
  </si>
  <si>
    <t xml:space="preserve">الكتالايزر</t>
  </si>
  <si>
    <t xml:space="preserve">ريحة بيض فاسد من الشكمان</t>
  </si>
  <si>
    <t xml:space="preserve">ريحة كبريت، ريحة بيض، كتالايزر</t>
  </si>
  <si>
    <t xml:space="preserve">تلف الكتالايزر أو خليط غني</t>
  </si>
  <si>
    <t xml:space="preserve">فحص الكتالايزر وحساسات الأكسجين وتغييره</t>
  </si>
  <si>
    <t xml:space="preserve">F045</t>
  </si>
  <si>
    <t xml:space="preserve">الكاوتش</t>
  </si>
  <si>
    <t xml:space="preserve">كاوتش بيتآكل من ناحية واحدة</t>
  </si>
  <si>
    <t xml:space="preserve">تآكل، كاوتش بيخلص، فرمتة، ناحية واحدة</t>
  </si>
  <si>
    <t xml:space="preserve">زوايا غير مضبوطة أو مشكلة في العفشة</t>
  </si>
  <si>
    <t xml:space="preserve">ظبط الزوايا وفحص العفشة وتغيير الكاوتش</t>
  </si>
  <si>
    <t xml:space="preserve">F046</t>
  </si>
  <si>
    <t xml:space="preserve">كاوتش نايم أو بيفقد هواء</t>
  </si>
  <si>
    <t xml:space="preserve">كاوتش نايم، مسمار، بنشر، هواء بيخرج</t>
  </si>
  <si>
    <t xml:space="preserve">لمبة ضغط الكاوتش</t>
  </si>
  <si>
    <t xml:space="preserve">مسمار أو تسريب من الصمام أو الجنط</t>
  </si>
  <si>
    <t xml:space="preserve">استبدال بالاستبن أو إصلاح البنشر وعدم القيادة بكاوتش نايم</t>
  </si>
  <si>
    <t xml:space="preserve">F047</t>
  </si>
  <si>
    <t xml:space="preserve">حساسات الكاوتش TPMS</t>
  </si>
  <si>
    <t xml:space="preserve">لمبة ضغط الكاوتش منورة</t>
  </si>
  <si>
    <t xml:space="preserve">لمبة الكاوتش، TPMS، ضغط الكاوتش</t>
  </si>
  <si>
    <t xml:space="preserve">لمبة TPMS</t>
  </si>
  <si>
    <t xml:space="preserve">ضغط منخفض أو حساس تالف</t>
  </si>
  <si>
    <t xml:space="preserve">ضبط ضغط الكاوتش وفحص الحساسات</t>
  </si>
  <si>
    <t xml:space="preserve">F048</t>
  </si>
  <si>
    <t xml:space="preserve">فلتر الهواء / البوجيهات</t>
  </si>
  <si>
    <t xml:space="preserve">استهلاك بنزين عالي</t>
  </si>
  <si>
    <t xml:space="preserve">بتشرب بنزين، استهلاك عالي، بنزين كتير</t>
  </si>
  <si>
    <t xml:space="preserve">فلتر هواء أو بوجيهات أو ضغط كاوتش أو حساس أكسجين</t>
  </si>
  <si>
    <t xml:space="preserve">صيانة دورية وتغيير الفلاتر والبوجيهات وضبط ضغط الكاوتش</t>
  </si>
  <si>
    <t xml:space="preserve">F049</t>
  </si>
  <si>
    <t xml:space="preserve">الخراطيم / البخاخات</t>
  </si>
  <si>
    <t xml:space="preserve">ريحة بنزين داخل أو حوالين العربية</t>
  </si>
  <si>
    <t xml:space="preserve">ريحة بنزين، تسريب بنزين، بنزين بينقط</t>
  </si>
  <si>
    <t xml:space="preserve">تسريب وقود من خرطوم أو بخاخ أو الخزان</t>
  </si>
  <si>
    <t xml:space="preserve">وقف العربية وعدم تشغيلها وفحص التسريب وإصلاحه فورًا (خطر حريق)</t>
  </si>
  <si>
    <t xml:space="preserve">F050</t>
  </si>
  <si>
    <t xml:space="preserve">الوسائد الهوائية</t>
  </si>
  <si>
    <t xml:space="preserve">لمبة الوسائد الهوائية (Airbag) منورة</t>
  </si>
  <si>
    <t xml:space="preserve">لمبة الايرباج، لمبة الوسادة، لمبة الشخص، airbag</t>
  </si>
  <si>
    <t xml:space="preserve">لمبة Airbag</t>
  </si>
  <si>
    <t xml:space="preserve">عطل حساس أو كابل أو وحدة التحكم</t>
  </si>
  <si>
    <t xml:space="preserve">قراءة الكود وإصلاح العطل (ممكن الوسائد متفتحش في حادث)</t>
  </si>
  <si>
    <t xml:space="preserve">F051</t>
  </si>
  <si>
    <t xml:space="preserve">نظام الثبات ESP</t>
  </si>
  <si>
    <t xml:space="preserve">لمبة ESP أو التحكم في الثبات منورة</t>
  </si>
  <si>
    <t xml:space="preserve">لمبة ESP، لمبة التحكم، ثبات، سيارة بتنزلق</t>
  </si>
  <si>
    <t xml:space="preserve">لمبة ESP</t>
  </si>
  <si>
    <t xml:space="preserve">عطل حساس زاوية الدركسيون أو حساس ABS</t>
  </si>
  <si>
    <t xml:space="preserve">قراءة الكود وفحص الحساسات</t>
  </si>
  <si>
    <t xml:space="preserve">F052</t>
  </si>
  <si>
    <t xml:space="preserve">الفرامل اليد / زيت الفرامل</t>
  </si>
  <si>
    <t xml:space="preserve">لمبة الفرامل حمرا منورة</t>
  </si>
  <si>
    <t xml:space="preserve">لمبة الفرامل، لمبة الفرامل اليد، لمبة حمرا</t>
  </si>
  <si>
    <t xml:space="preserve">الفرامل اليد مرفوعة أو مستوى زيت الفرامل ناقص</t>
  </si>
  <si>
    <t xml:space="preserve">نزّل الفرامل اليد وافحص مستوى زيت الفرامل، ولو لسه منورة اوقف العربية</t>
  </si>
  <si>
    <t xml:space="preserve">F053</t>
  </si>
  <si>
    <t xml:space="preserve">نظام الصيانة</t>
  </si>
  <si>
    <t xml:space="preserve">لمبة الصيانة (سيرفيس) منورة</t>
  </si>
  <si>
    <t xml:space="preserve">لمبة السيرفيس، لمبة المفتاح، ميعاد الصيانة</t>
  </si>
  <si>
    <t xml:space="preserve">لمبة صيانة</t>
  </si>
  <si>
    <t xml:space="preserve">ميعاد الصيانة الدورية وصل</t>
  </si>
  <si>
    <t xml:space="preserve">عمل الصيانة وتصفير عداد الصيانة</t>
  </si>
  <si>
    <t xml:space="preserve">F054</t>
  </si>
  <si>
    <t xml:space="preserve">الأسلاك / الكهرباء</t>
  </si>
  <si>
    <t xml:space="preserve">ريحة حريق أو بلاستيك محروق جوه العربية</t>
  </si>
  <si>
    <t xml:space="preserve">ريحة حريق، شياط، بلاستيك محروق، دخان</t>
  </si>
  <si>
    <t xml:space="preserve">ماس كهربائي أو سخونة وصلة</t>
  </si>
  <si>
    <t xml:space="preserve">وقف العربية وفصل البطارية وفحص الكهرباء فورًا (خطر حريق)</t>
  </si>
  <si>
    <t xml:space="preserve">F055</t>
  </si>
  <si>
    <t xml:space="preserve">أخرى</t>
  </si>
  <si>
    <t xml:space="preserve">السيور</t>
  </si>
  <si>
    <t xml:space="preserve">صوت صرير أو صفير من السيور وقت التشغيل</t>
  </si>
  <si>
    <t xml:space="preserve">سير، زيق، صفير، سير الدينامو، سير المروحة</t>
  </si>
  <si>
    <t xml:space="preserve">سير مفكوك أو متآكل</t>
  </si>
  <si>
    <t xml:space="preserve">شد السير أو تغييره</t>
  </si>
  <si>
    <t xml:space="preserve">F056</t>
  </si>
  <si>
    <t xml:space="preserve">جوان غطاء الصمامات / الكارتير</t>
  </si>
  <si>
    <t xml:space="preserve">بقع زيت تحت العربية</t>
  </si>
  <si>
    <t xml:space="preserve">بقع زيت، بتنقط زيت، تسريب زيت</t>
  </si>
  <si>
    <t xml:space="preserve">لمبة الزيت</t>
  </si>
  <si>
    <t xml:space="preserve">تلف جوان غطاء الصمامات أو الكارتير</t>
  </si>
  <si>
    <t xml:space="preserve">تحديد مكان التسريب وتغيير الجوان وتعبئة الزيت</t>
  </si>
  <si>
    <t xml:space="preserve">F057</t>
  </si>
  <si>
    <t xml:space="preserve">F058</t>
  </si>
  <si>
    <t xml:space="preserve">F059</t>
  </si>
  <si>
    <t xml:space="preserve">F060</t>
  </si>
  <si>
    <t xml:space="preserve">F061</t>
  </si>
  <si>
    <t xml:space="preserve">F062</t>
  </si>
  <si>
    <t xml:space="preserve">F063</t>
  </si>
  <si>
    <t xml:space="preserve">F064</t>
  </si>
  <si>
    <t xml:space="preserve">F065</t>
  </si>
  <si>
    <t xml:space="preserve">F066</t>
  </si>
  <si>
    <t xml:space="preserve">F067</t>
  </si>
  <si>
    <t xml:space="preserve">F068</t>
  </si>
  <si>
    <t xml:space="preserve">F069</t>
  </si>
  <si>
    <t xml:space="preserve">F070</t>
  </si>
  <si>
    <t xml:space="preserve">F071</t>
  </si>
  <si>
    <t xml:space="preserve">F072</t>
  </si>
  <si>
    <t xml:space="preserve">F073</t>
  </si>
  <si>
    <t xml:space="preserve">F074</t>
  </si>
  <si>
    <t xml:space="preserve">F075</t>
  </si>
  <si>
    <t xml:space="preserve">F076</t>
  </si>
  <si>
    <t xml:space="preserve">F077</t>
  </si>
  <si>
    <t xml:space="preserve">F078</t>
  </si>
  <si>
    <t xml:space="preserve">F079</t>
  </si>
  <si>
    <t xml:space="preserve">F080</t>
  </si>
  <si>
    <t xml:space="preserve">F081</t>
  </si>
  <si>
    <t xml:space="preserve">F082</t>
  </si>
  <si>
    <t xml:space="preserve">F083</t>
  </si>
  <si>
    <t xml:space="preserve">F084</t>
  </si>
  <si>
    <t xml:space="preserve">F085</t>
  </si>
  <si>
    <t xml:space="preserve">F086</t>
  </si>
  <si>
    <t xml:space="preserve">F087</t>
  </si>
  <si>
    <t xml:space="preserve">F088</t>
  </si>
  <si>
    <t xml:space="preserve">F089</t>
  </si>
  <si>
    <t xml:space="preserve">F090</t>
  </si>
  <si>
    <t xml:space="preserve">F091</t>
  </si>
  <si>
    <t xml:space="preserve">F092</t>
  </si>
  <si>
    <t xml:space="preserve">F093</t>
  </si>
  <si>
    <t xml:space="preserve">F094</t>
  </si>
  <si>
    <t xml:space="preserve">F095</t>
  </si>
  <si>
    <t xml:space="preserve">F096</t>
  </si>
  <si>
    <t xml:space="preserve">F097</t>
  </si>
  <si>
    <t xml:space="preserve">F098</t>
  </si>
  <si>
    <t xml:space="preserve">F099</t>
  </si>
  <si>
    <t xml:space="preserve">F100</t>
  </si>
  <si>
    <t xml:space="preserve">F101</t>
  </si>
  <si>
    <t xml:space="preserve">F102</t>
  </si>
  <si>
    <t xml:space="preserve">F103</t>
  </si>
  <si>
    <t xml:space="preserve">F104</t>
  </si>
  <si>
    <t xml:space="preserve">F105</t>
  </si>
  <si>
    <t xml:space="preserve">F106</t>
  </si>
  <si>
    <t xml:space="preserve">F107</t>
  </si>
  <si>
    <t xml:space="preserve">F108</t>
  </si>
  <si>
    <t xml:space="preserve">F109</t>
  </si>
  <si>
    <t xml:space="preserve">F110</t>
  </si>
  <si>
    <t xml:space="preserve">F111</t>
  </si>
  <si>
    <t xml:space="preserve">F112</t>
  </si>
  <si>
    <t xml:space="preserve">F113</t>
  </si>
  <si>
    <t xml:space="preserve">F114</t>
  </si>
  <si>
    <t xml:space="preserve">F115</t>
  </si>
  <si>
    <t xml:space="preserve">F116</t>
  </si>
  <si>
    <t xml:space="preserve">F117</t>
  </si>
  <si>
    <t xml:space="preserve">F118</t>
  </si>
  <si>
    <t xml:space="preserve">F119</t>
  </si>
  <si>
    <t xml:space="preserve">F120</t>
  </si>
  <si>
    <t xml:space="preserve">F121</t>
  </si>
  <si>
    <t xml:space="preserve">F122</t>
  </si>
  <si>
    <t xml:space="preserve">F123</t>
  </si>
  <si>
    <t xml:space="preserve">F124</t>
  </si>
  <si>
    <t xml:space="preserve">F125</t>
  </si>
  <si>
    <t xml:space="preserve">F126</t>
  </si>
  <si>
    <t xml:space="preserve">F127</t>
  </si>
  <si>
    <t xml:space="preserve">F128</t>
  </si>
  <si>
    <t xml:space="preserve">F129</t>
  </si>
  <si>
    <t xml:space="preserve">F130</t>
  </si>
  <si>
    <t xml:space="preserve">F131</t>
  </si>
  <si>
    <t xml:space="preserve">F132</t>
  </si>
  <si>
    <t xml:space="preserve">F133</t>
  </si>
  <si>
    <t xml:space="preserve">F134</t>
  </si>
  <si>
    <t xml:space="preserve">F135</t>
  </si>
  <si>
    <t xml:space="preserve">F136</t>
  </si>
  <si>
    <t xml:space="preserve">F137</t>
  </si>
  <si>
    <t xml:space="preserve">F138</t>
  </si>
  <si>
    <t xml:space="preserve">F139</t>
  </si>
  <si>
    <t xml:space="preserve">F140</t>
  </si>
  <si>
    <t xml:space="preserve">F141</t>
  </si>
  <si>
    <t xml:space="preserve">F142</t>
  </si>
  <si>
    <t xml:space="preserve">F143</t>
  </si>
  <si>
    <t xml:space="preserve">F144</t>
  </si>
  <si>
    <t xml:space="preserve">F145</t>
  </si>
  <si>
    <t xml:space="preserve">F146</t>
  </si>
  <si>
    <t xml:space="preserve">F147</t>
  </si>
  <si>
    <t xml:space="preserve">F148</t>
  </si>
  <si>
    <t xml:space="preserve">F149</t>
  </si>
  <si>
    <t xml:space="preserve">F150</t>
  </si>
  <si>
    <t xml:space="preserve">F151</t>
  </si>
  <si>
    <t xml:space="preserve">F152</t>
  </si>
  <si>
    <t xml:space="preserve">F153</t>
  </si>
  <si>
    <t xml:space="preserve">F154</t>
  </si>
  <si>
    <t xml:space="preserve">F155</t>
  </si>
  <si>
    <t xml:space="preserve">F156</t>
  </si>
  <si>
    <t xml:space="preserve">F157</t>
  </si>
  <si>
    <t xml:space="preserve">F158</t>
  </si>
  <si>
    <t xml:space="preserve">F159</t>
  </si>
  <si>
    <t xml:space="preserve">F160</t>
  </si>
  <si>
    <t xml:space="preserve">F161</t>
  </si>
  <si>
    <t xml:space="preserve">F162</t>
  </si>
  <si>
    <t xml:space="preserve">F163</t>
  </si>
  <si>
    <t xml:space="preserve">F164</t>
  </si>
  <si>
    <t xml:space="preserve">F165</t>
  </si>
  <si>
    <t xml:space="preserve">F166</t>
  </si>
  <si>
    <t xml:space="preserve">F167</t>
  </si>
  <si>
    <t xml:space="preserve">F168</t>
  </si>
  <si>
    <t xml:space="preserve">F169</t>
  </si>
  <si>
    <t xml:space="preserve">F170</t>
  </si>
  <si>
    <t xml:space="preserve">F171</t>
  </si>
  <si>
    <t xml:space="preserve">F172</t>
  </si>
  <si>
    <t xml:space="preserve">F173</t>
  </si>
  <si>
    <t xml:space="preserve">F174</t>
  </si>
  <si>
    <t xml:space="preserve">F175</t>
  </si>
  <si>
    <t xml:space="preserve">F176</t>
  </si>
  <si>
    <t xml:space="preserve">F177</t>
  </si>
  <si>
    <t xml:space="preserve">F178</t>
  </si>
  <si>
    <t xml:space="preserve">F179</t>
  </si>
  <si>
    <t xml:space="preserve">F180</t>
  </si>
  <si>
    <t xml:space="preserve">F181</t>
  </si>
  <si>
    <t xml:space="preserve">F182</t>
  </si>
  <si>
    <t xml:space="preserve">F183</t>
  </si>
  <si>
    <t xml:space="preserve">F184</t>
  </si>
  <si>
    <t xml:space="preserve">F185</t>
  </si>
  <si>
    <t xml:space="preserve">F186</t>
  </si>
  <si>
    <t xml:space="preserve">F187</t>
  </si>
  <si>
    <t xml:space="preserve">F188</t>
  </si>
  <si>
    <t xml:space="preserve">F189</t>
  </si>
  <si>
    <t xml:space="preserve">F190</t>
  </si>
  <si>
    <t xml:space="preserve">F191</t>
  </si>
  <si>
    <t xml:space="preserve">F192</t>
  </si>
  <si>
    <t xml:space="preserve">F193</t>
  </si>
  <si>
    <t xml:space="preserve">F194</t>
  </si>
  <si>
    <t xml:space="preserve">F195</t>
  </si>
  <si>
    <t xml:space="preserve">F196</t>
  </si>
  <si>
    <t xml:space="preserve">F197</t>
  </si>
  <si>
    <t xml:space="preserve">F198</t>
  </si>
  <si>
    <t xml:space="preserve">F199</t>
  </si>
  <si>
    <t xml:space="preserve">F200</t>
  </si>
  <si>
    <t xml:space="preserve">F201</t>
  </si>
  <si>
    <t xml:space="preserve">F202</t>
  </si>
  <si>
    <t xml:space="preserve">F203</t>
  </si>
  <si>
    <t xml:space="preserve">F204</t>
  </si>
  <si>
    <t xml:space="preserve">F205</t>
  </si>
  <si>
    <t xml:space="preserve">F206</t>
  </si>
  <si>
    <t xml:space="preserve">F207</t>
  </si>
  <si>
    <t xml:space="preserve">F208</t>
  </si>
  <si>
    <t xml:space="preserve">F209</t>
  </si>
  <si>
    <t xml:space="preserve">F210</t>
  </si>
  <si>
    <t xml:space="preserve">F211</t>
  </si>
  <si>
    <t xml:space="preserve">F212</t>
  </si>
  <si>
    <t xml:space="preserve">F213</t>
  </si>
  <si>
    <t xml:space="preserve">F214</t>
  </si>
  <si>
    <t xml:space="preserve">F215</t>
  </si>
  <si>
    <t xml:space="preserve">F216</t>
  </si>
  <si>
    <t xml:space="preserve">F217</t>
  </si>
  <si>
    <t xml:space="preserve">F218</t>
  </si>
  <si>
    <t xml:space="preserve">F219</t>
  </si>
  <si>
    <t xml:space="preserve">F220</t>
  </si>
  <si>
    <t xml:space="preserve">F221</t>
  </si>
  <si>
    <t xml:space="preserve">F222</t>
  </si>
  <si>
    <t xml:space="preserve">F223</t>
  </si>
  <si>
    <t xml:space="preserve">F224</t>
  </si>
  <si>
    <t xml:space="preserve">F225</t>
  </si>
  <si>
    <t xml:space="preserve">F226</t>
  </si>
  <si>
    <t xml:space="preserve">F227</t>
  </si>
  <si>
    <t xml:space="preserve">F228</t>
  </si>
  <si>
    <t xml:space="preserve">F229</t>
  </si>
  <si>
    <t xml:space="preserve">F230</t>
  </si>
  <si>
    <t xml:space="preserve">F231</t>
  </si>
  <si>
    <t xml:space="preserve">F232</t>
  </si>
  <si>
    <t xml:space="preserve">F233</t>
  </si>
  <si>
    <t xml:space="preserve">F234</t>
  </si>
  <si>
    <t xml:space="preserve">F235</t>
  </si>
  <si>
    <t xml:space="preserve">F236</t>
  </si>
  <si>
    <t xml:space="preserve">F237</t>
  </si>
  <si>
    <t xml:space="preserve">F238</t>
  </si>
  <si>
    <t xml:space="preserve">F239</t>
  </si>
  <si>
    <t xml:space="preserve">F240</t>
  </si>
  <si>
    <t xml:space="preserve">F241</t>
  </si>
  <si>
    <t xml:space="preserve">F242</t>
  </si>
  <si>
    <t xml:space="preserve">F243</t>
  </si>
  <si>
    <t xml:space="preserve">F244</t>
  </si>
  <si>
    <t xml:space="preserve">F245</t>
  </si>
  <si>
    <t xml:space="preserve">F246</t>
  </si>
  <si>
    <t xml:space="preserve">F247</t>
  </si>
  <si>
    <t xml:space="preserve">F248</t>
  </si>
  <si>
    <t xml:space="preserve">F249</t>
  </si>
  <si>
    <t xml:space="preserve">F250</t>
  </si>
  <si>
    <t xml:space="preserve">F251</t>
  </si>
  <si>
    <t xml:space="preserve">F252</t>
  </si>
  <si>
    <t xml:space="preserve">F253</t>
  </si>
  <si>
    <t xml:space="preserve">F254</t>
  </si>
  <si>
    <t xml:space="preserve">F255</t>
  </si>
  <si>
    <t xml:space="preserve">F256</t>
  </si>
  <si>
    <t xml:space="preserve">F257</t>
  </si>
  <si>
    <t xml:space="preserve">F258</t>
  </si>
  <si>
    <t xml:space="preserve">F259</t>
  </si>
  <si>
    <t xml:space="preserve">F260</t>
  </si>
  <si>
    <t xml:space="preserve">F261</t>
  </si>
  <si>
    <t xml:space="preserve">F262</t>
  </si>
  <si>
    <t xml:space="preserve">F263</t>
  </si>
  <si>
    <t xml:space="preserve">F264</t>
  </si>
  <si>
    <t xml:space="preserve">F265</t>
  </si>
  <si>
    <t xml:space="preserve">F266</t>
  </si>
  <si>
    <t xml:space="preserve">F267</t>
  </si>
  <si>
    <t xml:space="preserve">F268</t>
  </si>
  <si>
    <t xml:space="preserve">F269</t>
  </si>
  <si>
    <t xml:space="preserve">F270</t>
  </si>
  <si>
    <t xml:space="preserve">F271</t>
  </si>
  <si>
    <t xml:space="preserve">F272</t>
  </si>
  <si>
    <t xml:space="preserve">F273</t>
  </si>
  <si>
    <t xml:space="preserve">F274</t>
  </si>
  <si>
    <t xml:space="preserve">F275</t>
  </si>
  <si>
    <t xml:space="preserve">F276</t>
  </si>
  <si>
    <t xml:space="preserve">F277</t>
  </si>
  <si>
    <t xml:space="preserve">F278</t>
  </si>
  <si>
    <t xml:space="preserve">F279</t>
  </si>
  <si>
    <t xml:space="preserve">F280</t>
  </si>
  <si>
    <t xml:space="preserve">F281</t>
  </si>
  <si>
    <t xml:space="preserve">F282</t>
  </si>
  <si>
    <t xml:space="preserve">F283</t>
  </si>
  <si>
    <t xml:space="preserve">F284</t>
  </si>
  <si>
    <t xml:space="preserve">F285</t>
  </si>
  <si>
    <t xml:space="preserve">F286</t>
  </si>
  <si>
    <t xml:space="preserve">F287</t>
  </si>
  <si>
    <t xml:space="preserve">F288</t>
  </si>
  <si>
    <t xml:space="preserve">F289</t>
  </si>
  <si>
    <t xml:space="preserve">F290</t>
  </si>
  <si>
    <t xml:space="preserve">F291</t>
  </si>
  <si>
    <t xml:space="preserve">F292</t>
  </si>
  <si>
    <t xml:space="preserve">F293</t>
  </si>
  <si>
    <t xml:space="preserve">F294</t>
  </si>
  <si>
    <t xml:space="preserve">F295</t>
  </si>
  <si>
    <t xml:space="preserve">F296</t>
  </si>
  <si>
    <t xml:space="preserve">F297</t>
  </si>
  <si>
    <t xml:space="preserve">F298</t>
  </si>
  <si>
    <t xml:space="preserve">F299</t>
  </si>
  <si>
    <t xml:space="preserve">F300</t>
  </si>
  <si>
    <t xml:space="preserve">YesNo</t>
  </si>
  <si>
    <t xml:space="preserve">أضف براند جديد في آخر القائمة (حتى صف 60) وهيظهر تلقائي في القوائم.</t>
  </si>
  <si>
    <t xml:space="preserve">تويوتا</t>
  </si>
  <si>
    <t xml:space="preserve">مستعمل</t>
  </si>
  <si>
    <t xml:space="preserve">هاتشباك</t>
  </si>
  <si>
    <t xml:space="preserve">ديزل</t>
  </si>
  <si>
    <t xml:space="preserve">هيونداي</t>
  </si>
  <si>
    <t xml:space="preserve">كيا</t>
  </si>
  <si>
    <t xml:space="preserve">نيسان</t>
  </si>
  <si>
    <t xml:space="preserve">بنزين/غاز طبيعي</t>
  </si>
  <si>
    <t xml:space="preserve">Chevrolet</t>
  </si>
  <si>
    <t xml:space="preserve">شيفروليه</t>
  </si>
  <si>
    <t xml:space="preserve">بيك أب</t>
  </si>
  <si>
    <t xml:space="preserve">Suzuki</t>
  </si>
  <si>
    <t xml:space="preserve">سوزوكي</t>
  </si>
  <si>
    <t xml:space="preserve">كوبيه</t>
  </si>
  <si>
    <t xml:space="preserve">Mitsubishi</t>
  </si>
  <si>
    <t xml:space="preserve">ميتسوبيشي</t>
  </si>
  <si>
    <t xml:space="preserve">فان</t>
  </si>
  <si>
    <t xml:space="preserve">Honda</t>
  </si>
  <si>
    <t xml:space="preserve">هوندا</t>
  </si>
  <si>
    <t xml:space="preserve">مازدا</t>
  </si>
  <si>
    <t xml:space="preserve">Renault</t>
  </si>
  <si>
    <t xml:space="preserve">رينو</t>
  </si>
  <si>
    <t xml:space="preserve">Peugeot</t>
  </si>
  <si>
    <t xml:space="preserve">بيجو</t>
  </si>
  <si>
    <t xml:space="preserve">Fiat</t>
  </si>
  <si>
    <t xml:space="preserve">فيات</t>
  </si>
  <si>
    <t xml:space="preserve">سكودا</t>
  </si>
  <si>
    <t xml:space="preserve">Volkswagen</t>
  </si>
  <si>
    <t xml:space="preserve">فولكس فاجن</t>
  </si>
  <si>
    <t xml:space="preserve">BMW</t>
  </si>
  <si>
    <t xml:space="preserve">بي إم دبليو</t>
  </si>
  <si>
    <t xml:space="preserve">Mercedes-Benz</t>
  </si>
  <si>
    <t xml:space="preserve">مرسيدس</t>
  </si>
  <si>
    <t xml:space="preserve">Audi</t>
  </si>
  <si>
    <t xml:space="preserve">أودي</t>
  </si>
  <si>
    <t xml:space="preserve">Ford</t>
  </si>
  <si>
    <t xml:space="preserve">فورد</t>
  </si>
  <si>
    <t xml:space="preserve">Opel</t>
  </si>
  <si>
    <t xml:space="preserve">أوبل</t>
  </si>
  <si>
    <t xml:space="preserve">شيري</t>
  </si>
  <si>
    <t xml:space="preserve">إم جي</t>
  </si>
  <si>
    <t xml:space="preserve">BYD</t>
  </si>
  <si>
    <t xml:space="preserve">بي واي دي</t>
  </si>
  <si>
    <t xml:space="preserve">Geely</t>
  </si>
  <si>
    <t xml:space="preserve">جيلي</t>
  </si>
  <si>
    <t xml:space="preserve">هافال</t>
  </si>
  <si>
    <t xml:space="preserve">Jetour</t>
  </si>
  <si>
    <t xml:space="preserve">جيتور</t>
  </si>
  <si>
    <t xml:space="preserve">شانجان</t>
  </si>
  <si>
    <t xml:space="preserve">Lada</t>
  </si>
  <si>
    <t xml:space="preserve">لادا</t>
  </si>
  <si>
    <t xml:space="preserve">ديبال</t>
  </si>
  <si>
    <t xml:space="preserve">Seat</t>
  </si>
  <si>
    <t xml:space="preserve">سيات</t>
  </si>
  <si>
    <t xml:space="preserve">Citroen</t>
  </si>
  <si>
    <t xml:space="preserve">ستروين</t>
  </si>
  <si>
    <t xml:space="preserve">Jeep</t>
  </si>
  <si>
    <t xml:space="preserve">جيب</t>
  </si>
</sst>
</file>

<file path=xl/styles.xml><?xml version="1.0" encoding="utf-8"?>
<styleSheet xmlns="http://schemas.openxmlformats.org/spreadsheetml/2006/main">
  <numFmts count="3">
    <numFmt numFmtId="164" formatCode="General"/>
    <numFmt numFmtId="165" formatCode="#,##0"/>
    <numFmt numFmtId="166" formatCode="0"/>
  </numFmts>
  <fonts count="10">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0"/>
      <name val="Arial"/>
      <family val="0"/>
      <charset val="1"/>
    </font>
    <font>
      <sz val="11"/>
      <name val="SUV"/>
      <family val="0"/>
      <charset val="1"/>
    </font>
    <font>
      <b val="true"/>
      <sz val="10"/>
      <color rgb="FFFFFFFF"/>
      <name val="Arial"/>
      <family val="0"/>
      <charset val="1"/>
    </font>
    <font>
      <sz val="10"/>
      <name val="Arial"/>
      <family val="0"/>
      <charset val="1"/>
    </font>
    <font>
      <i val="true"/>
      <sz val="1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D9D9D9"/>
        <bgColor rgb="FFC6EFCE"/>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right" vertical="top" textRotation="0" wrapText="true" indent="0" shrinkToFit="false"/>
      <protection locked="true" hidden="false"/>
    </xf>
    <xf numFmtId="164" fontId="5" fillId="0" borderId="0" xfId="0" applyFont="true" applyBorder="false" applyAlignment="true" applyProtection="false">
      <alignment horizontal="right" vertical="top" textRotation="0" wrapText="true" indent="0" shrinkToFit="false"/>
      <protection locked="true" hidden="false"/>
    </xf>
    <xf numFmtId="164" fontId="6" fillId="0" borderId="0" xfId="0" applyFont="true" applyBorder="false" applyAlignment="true" applyProtection="false">
      <alignment horizontal="right" vertical="top" textRotation="0" wrapText="true" indent="0" shrinkToFit="false"/>
      <protection locked="true" hidden="false"/>
    </xf>
    <xf numFmtId="164" fontId="7" fillId="2" borderId="0" xfId="0" applyFont="true" applyBorder="true" applyAlignment="true" applyProtection="false">
      <alignment horizontal="right" vertical="top"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6" fontId="8"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fgColor rgb="FFD9D9D9"/>
          <bgColor rgb="FF000000"/>
        </patternFill>
      </fill>
    </dxf>
    <dxf>
      <fill>
        <patternFill patternType="solid">
          <fgColor rgb="FFFFFFFF"/>
          <bgColor rgb="FF000000"/>
        </patternFill>
      </fill>
    </dxf>
    <dxf>
      <fill>
        <patternFill patternType="solid">
          <bgColor rgb="FF000000"/>
        </patternFill>
      </fill>
    </dxf>
    <dxf>
      <fill>
        <patternFill patternType="solid">
          <fgColor rgb="FFC6EFCE"/>
          <bgColor rgb="FF000000"/>
        </patternFill>
      </fill>
    </dxf>
    <dxf>
      <fill>
        <patternFill patternType="solid">
          <fgColor rgb="FFF8CBAD"/>
          <bgColor rgb="FF000000"/>
        </patternFill>
      </fill>
    </dxf>
    <dxf>
      <fill>
        <patternFill>
          <bgColor rgb="FFC6EFCE"/>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0"/>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95"/>
  </cols>
  <sheetData>
    <row r="1" customFormat="false" ht="16.15" hidden="false" customHeight="true" outlineLevel="0" collapsed="false">
      <c r="A1" s="1" t="s">
        <v>0</v>
      </c>
      <c r="B1" s="1"/>
    </row>
    <row r="2" customFormat="false" ht="15" hidden="false" customHeight="false" outlineLevel="0" collapsed="false">
      <c r="A2" s="2" t="s">
        <v>1</v>
      </c>
      <c r="B2" s="3" t="s">
        <v>2</v>
      </c>
    </row>
    <row r="3" customFormat="false" ht="15" hidden="false" customHeight="false" outlineLevel="0" collapsed="false">
      <c r="A3" s="3"/>
      <c r="B3" s="3"/>
    </row>
    <row r="4" customFormat="false" ht="15" hidden="false" customHeight="true" outlineLevel="0" collapsed="false">
      <c r="A4" s="4" t="s">
        <v>3</v>
      </c>
      <c r="B4" s="4"/>
    </row>
    <row r="5" customFormat="false" ht="23.85" hidden="false" customHeight="false" outlineLevel="0" collapsed="false">
      <c r="A5" s="2" t="s">
        <v>4</v>
      </c>
      <c r="B5" s="3" t="s">
        <v>5</v>
      </c>
    </row>
    <row r="6" customFormat="false" ht="15" hidden="false" customHeight="false" outlineLevel="0" collapsed="false">
      <c r="A6" s="2" t="s">
        <v>6</v>
      </c>
      <c r="B6" s="3" t="s">
        <v>7</v>
      </c>
    </row>
    <row r="7" customFormat="false" ht="26.1" hidden="false" customHeight="false" outlineLevel="0" collapsed="false">
      <c r="A7" s="2" t="s">
        <v>8</v>
      </c>
      <c r="B7" s="3" t="s">
        <v>9</v>
      </c>
    </row>
    <row r="8" customFormat="false" ht="15" hidden="false" customHeight="false" outlineLevel="0" collapsed="false">
      <c r="A8" s="2" t="s">
        <v>10</v>
      </c>
      <c r="B8" s="3" t="s">
        <v>11</v>
      </c>
    </row>
    <row r="9" customFormat="false" ht="15" hidden="false" customHeight="false" outlineLevel="0" collapsed="false">
      <c r="A9" s="2" t="s">
        <v>12</v>
      </c>
      <c r="B9" s="3" t="s">
        <v>13</v>
      </c>
    </row>
    <row r="10" customFormat="false" ht="15" hidden="false" customHeight="false" outlineLevel="0" collapsed="false">
      <c r="A10" s="2" t="s">
        <v>14</v>
      </c>
      <c r="B10" s="3" t="s">
        <v>15</v>
      </c>
    </row>
    <row r="11" customFormat="false" ht="15" hidden="false" customHeight="false" outlineLevel="0" collapsed="false">
      <c r="A11" s="2" t="s">
        <v>16</v>
      </c>
      <c r="B11" s="3" t="s">
        <v>17</v>
      </c>
    </row>
    <row r="12" customFormat="false" ht="41.75" hidden="false" customHeight="false" outlineLevel="0" collapsed="false">
      <c r="A12" s="2" t="s">
        <v>18</v>
      </c>
      <c r="B12" s="3" t="s">
        <v>19</v>
      </c>
    </row>
    <row r="13" customFormat="false" ht="15" hidden="false" customHeight="false" outlineLevel="0" collapsed="false">
      <c r="A13" s="2" t="s">
        <v>20</v>
      </c>
      <c r="B13" s="3" t="s">
        <v>21</v>
      </c>
    </row>
    <row r="14" customFormat="false" ht="15" hidden="false" customHeight="false" outlineLevel="0" collapsed="false">
      <c r="A14" s="3"/>
      <c r="B14" s="3"/>
    </row>
    <row r="15" customFormat="false" ht="15" hidden="false" customHeight="true" outlineLevel="0" collapsed="false">
      <c r="A15" s="4" t="s">
        <v>22</v>
      </c>
      <c r="B15" s="4"/>
    </row>
    <row r="16" customFormat="false" ht="15" hidden="false" customHeight="false" outlineLevel="0" collapsed="false">
      <c r="A16" s="2" t="s">
        <v>23</v>
      </c>
      <c r="B16" s="3" t="s">
        <v>24</v>
      </c>
    </row>
    <row r="17" customFormat="false" ht="15" hidden="false" customHeight="false" outlineLevel="0" collapsed="false">
      <c r="A17" s="2" t="s">
        <v>25</v>
      </c>
      <c r="B17" s="3" t="s">
        <v>26</v>
      </c>
    </row>
    <row r="18" customFormat="false" ht="15" hidden="false" customHeight="false" outlineLevel="0" collapsed="false">
      <c r="A18" s="2" t="s">
        <v>27</v>
      </c>
      <c r="B18" s="3" t="s">
        <v>28</v>
      </c>
    </row>
    <row r="19" customFormat="false" ht="15" hidden="false" customHeight="false" outlineLevel="0" collapsed="false">
      <c r="A19" s="2" t="s">
        <v>29</v>
      </c>
      <c r="B19" s="3" t="s">
        <v>30</v>
      </c>
    </row>
    <row r="20" customFormat="false" ht="15" hidden="false" customHeight="false" outlineLevel="0" collapsed="false">
      <c r="A20" s="2" t="s">
        <v>31</v>
      </c>
      <c r="B20" s="3" t="s">
        <v>32</v>
      </c>
    </row>
    <row r="21" customFormat="false" ht="15" hidden="false" customHeight="false" outlineLevel="0" collapsed="false">
      <c r="A21" s="2" t="s">
        <v>33</v>
      </c>
      <c r="B21" s="3" t="s">
        <v>34</v>
      </c>
    </row>
    <row r="22" customFormat="false" ht="15" hidden="false" customHeight="false" outlineLevel="0" collapsed="false">
      <c r="A22" s="3"/>
      <c r="B22" s="3"/>
    </row>
    <row r="23" customFormat="false" ht="15" hidden="false" customHeight="true" outlineLevel="0" collapsed="false">
      <c r="A23" s="4" t="s">
        <v>35</v>
      </c>
      <c r="B23" s="4"/>
    </row>
    <row r="24" customFormat="false" ht="15" hidden="false" customHeight="false" outlineLevel="0" collapsed="false">
      <c r="A24" s="2" t="s">
        <v>36</v>
      </c>
      <c r="B24" s="3" t="s">
        <v>37</v>
      </c>
    </row>
    <row r="25" customFormat="false" ht="15" hidden="false" customHeight="false" outlineLevel="0" collapsed="false">
      <c r="A25" s="2" t="s">
        <v>38</v>
      </c>
      <c r="B25" s="3" t="s">
        <v>39</v>
      </c>
    </row>
    <row r="26" customFormat="false" ht="15" hidden="false" customHeight="false" outlineLevel="0" collapsed="false">
      <c r="A26" s="2" t="s">
        <v>40</v>
      </c>
      <c r="B26" s="3" t="s">
        <v>41</v>
      </c>
    </row>
    <row r="27" customFormat="false" ht="15" hidden="false" customHeight="false" outlineLevel="0" collapsed="false">
      <c r="A27" s="2" t="s">
        <v>42</v>
      </c>
      <c r="B27" s="3" t="s">
        <v>43</v>
      </c>
    </row>
    <row r="28" customFormat="false" ht="15" hidden="false" customHeight="false" outlineLevel="0" collapsed="false">
      <c r="A28" s="2" t="s">
        <v>44</v>
      </c>
      <c r="B28" s="3" t="s">
        <v>45</v>
      </c>
    </row>
    <row r="29" customFormat="false" ht="15" hidden="false" customHeight="false" outlineLevel="0" collapsed="false">
      <c r="A29" s="2" t="s">
        <v>46</v>
      </c>
      <c r="B29" s="3" t="s">
        <v>47</v>
      </c>
    </row>
    <row r="30" customFormat="false" ht="15" hidden="false" customHeight="false" outlineLevel="0" collapsed="false">
      <c r="A30" s="2" t="s">
        <v>48</v>
      </c>
      <c r="B30" s="3" t="s">
        <v>49</v>
      </c>
    </row>
  </sheetData>
  <mergeCells count="4">
    <mergeCell ref="A1:B1"/>
    <mergeCell ref="A4:B4"/>
    <mergeCell ref="A15:B15"/>
    <mergeCell ref="A23:B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5" min="2" style="0" width="14"/>
    <col collapsed="false" customWidth="true" hidden="false" outlineLevel="0" max="6" min="6" style="0" width="8"/>
    <col collapsed="false" customWidth="true" hidden="false" outlineLevel="0" max="7" min="7" style="0" width="11"/>
    <col collapsed="false" customWidth="true" hidden="false" outlineLevel="0" max="9" min="8" style="0" width="13"/>
    <col collapsed="false" customWidth="true" hidden="false" outlineLevel="0" max="11" min="10" style="0" width="11"/>
    <col collapsed="false" customWidth="true" hidden="false" outlineLevel="0" max="12" min="12" style="0" width="14"/>
    <col collapsed="false" customWidth="true" hidden="false" outlineLevel="0" max="13" min="13" style="0" width="15"/>
    <col collapsed="false" customWidth="true" hidden="false" outlineLevel="0" max="14" min="14" style="0" width="14"/>
    <col collapsed="false" customWidth="true" hidden="false" outlineLevel="0" max="15" min="15" style="0" width="8"/>
    <col collapsed="false" customWidth="true" hidden="false" outlineLevel="0" max="17" min="16" style="0" width="9"/>
    <col collapsed="false" customWidth="true" hidden="false" outlineLevel="0" max="19" min="18" style="0" width="10"/>
    <col collapsed="false" customWidth="true" hidden="false" outlineLevel="0" max="20" min="20" style="0" width="11"/>
    <col collapsed="false" customWidth="true" hidden="false" outlineLevel="0" max="21" min="21" style="0" width="32"/>
    <col collapsed="false" customWidth="true" hidden="false" outlineLevel="0" max="22" min="22" style="0" width="26"/>
    <col collapsed="false" customWidth="true" hidden="false" outlineLevel="0" max="23" min="23" style="0" width="16"/>
    <col collapsed="false" customWidth="true" hidden="false" outlineLevel="0" max="24" min="24" style="0" width="50"/>
  </cols>
  <sheetData>
    <row r="1" customFormat="false" ht="31.5" hidden="false" customHeight="true" outlineLevel="0" collapsed="false">
      <c r="A1" s="5" t="s">
        <v>50</v>
      </c>
      <c r="B1" s="5" t="s">
        <v>51</v>
      </c>
      <c r="C1" s="5" t="s">
        <v>52</v>
      </c>
      <c r="D1" s="5" t="s">
        <v>53</v>
      </c>
      <c r="E1" s="5" t="s">
        <v>25</v>
      </c>
      <c r="F1" s="5" t="s">
        <v>54</v>
      </c>
      <c r="G1" s="5" t="s">
        <v>55</v>
      </c>
      <c r="H1" s="5" t="s">
        <v>27</v>
      </c>
      <c r="I1" s="5" t="s">
        <v>29</v>
      </c>
      <c r="J1" s="5" t="s">
        <v>56</v>
      </c>
      <c r="K1" s="5" t="s">
        <v>57</v>
      </c>
      <c r="L1" s="5" t="s">
        <v>58</v>
      </c>
      <c r="M1" s="5" t="s">
        <v>59</v>
      </c>
      <c r="N1" s="5" t="s">
        <v>60</v>
      </c>
      <c r="O1" s="5" t="s">
        <v>61</v>
      </c>
      <c r="P1" s="5" t="s">
        <v>62</v>
      </c>
      <c r="Q1" s="5" t="s">
        <v>63</v>
      </c>
      <c r="R1" s="5" t="s">
        <v>64</v>
      </c>
      <c r="S1" s="5" t="s">
        <v>65</v>
      </c>
      <c r="T1" s="5" t="s">
        <v>66</v>
      </c>
      <c r="U1" s="5" t="s">
        <v>33</v>
      </c>
      <c r="V1" s="5" t="s">
        <v>67</v>
      </c>
      <c r="W1" s="5" t="s">
        <v>68</v>
      </c>
      <c r="X1" s="5" t="s">
        <v>69</v>
      </c>
    </row>
    <row r="2" customFormat="false" ht="23.85" hidden="false" customHeight="false" outlineLevel="0" collapsed="false">
      <c r="A2" s="6" t="s">
        <v>70</v>
      </c>
      <c r="B2" s="7" t="s">
        <v>71</v>
      </c>
      <c r="C2" s="6" t="str">
        <f aca="false">IF(B2="","",IFERROR(INDEX(Lists!$K$2:$K$60,MATCH(B2,Lists!$J$2:$J$60,0)),""))</f>
        <v>تويوتا</v>
      </c>
      <c r="D2" s="7" t="s">
        <v>72</v>
      </c>
      <c r="E2" s="7" t="s">
        <v>73</v>
      </c>
      <c r="F2" s="7" t="n">
        <v>2026</v>
      </c>
      <c r="G2" s="7" t="s">
        <v>74</v>
      </c>
      <c r="H2" s="8" t="n">
        <v>1150000</v>
      </c>
      <c r="I2" s="7" t="s">
        <v>75</v>
      </c>
      <c r="J2" s="9" t="n">
        <v>1600</v>
      </c>
      <c r="K2" s="7" t="n">
        <v>120</v>
      </c>
      <c r="L2" s="7" t="s">
        <v>76</v>
      </c>
      <c r="M2" s="7" t="s">
        <v>77</v>
      </c>
      <c r="N2" s="7" t="n">
        <v>6.8</v>
      </c>
      <c r="O2" s="7" t="n">
        <v>5</v>
      </c>
      <c r="P2" s="7"/>
      <c r="Q2" s="7"/>
      <c r="R2" s="7"/>
      <c r="S2" s="7"/>
      <c r="T2" s="7"/>
      <c r="U2" s="7" t="s">
        <v>78</v>
      </c>
      <c r="V2" s="7" t="s">
        <v>79</v>
      </c>
      <c r="W2" s="6" t="str">
        <f aca="false">IF(COUNTA(B2:V2)=0,"",IF(OR(B2="",C2="",D2="",F2="",G2="",H2="",I2="",L2="",M2=""),"ناقص",IF(AND(ISNUMBER(F2),ISNUMBER(H2)),"OK","السنة/السعر لازم أرقام")))</f>
        <v>OK</v>
      </c>
      <c r="X2" s="6" t="str">
        <f aca="false">IF(B2="","",B2&amp;" "&amp;C2&amp;" "&amp;D2&amp;" "&amp;E2&amp;" "&amp;F2&amp;" "&amp;G2&amp;" "&amp;I2&amp;" "&amp;L2&amp;" "&amp;M2&amp;" سعر "&amp;H2&amp;" جنيه "&amp;U2)</f>
        <v>Toyota تويوتا Corolla Active كورولا أكتيف 2026 جديد سيدان أوتوماتيك بنزين سعر 1150000 جنيه الفئة الأولى</v>
      </c>
    </row>
    <row r="3" customFormat="false" ht="23.85" hidden="false" customHeight="false" outlineLevel="0" collapsed="false">
      <c r="A3" s="6" t="s">
        <v>80</v>
      </c>
      <c r="B3" s="7" t="s">
        <v>71</v>
      </c>
      <c r="C3" s="6" t="str">
        <f aca="false">IF(B3="","",IFERROR(INDEX(Lists!$K$2:$K$60,MATCH(B3,Lists!$J$2:$J$60,0)),""))</f>
        <v>تويوتا</v>
      </c>
      <c r="D3" s="7" t="s">
        <v>81</v>
      </c>
      <c r="E3" s="7" t="s">
        <v>82</v>
      </c>
      <c r="F3" s="7" t="n">
        <v>2026</v>
      </c>
      <c r="G3" s="7" t="s">
        <v>74</v>
      </c>
      <c r="H3" s="8" t="n">
        <v>1500000</v>
      </c>
      <c r="I3" s="7" t="s">
        <v>75</v>
      </c>
      <c r="J3" s="9" t="n">
        <v>1600</v>
      </c>
      <c r="K3" s="7" t="n">
        <v>120</v>
      </c>
      <c r="L3" s="7" t="s">
        <v>76</v>
      </c>
      <c r="M3" s="7" t="s">
        <v>77</v>
      </c>
      <c r="N3" s="7" t="n">
        <v>6.8</v>
      </c>
      <c r="O3" s="7" t="n">
        <v>5</v>
      </c>
      <c r="P3" s="7"/>
      <c r="Q3" s="7"/>
      <c r="R3" s="7"/>
      <c r="S3" s="7"/>
      <c r="T3" s="7" t="s">
        <v>83</v>
      </c>
      <c r="U3" s="7" t="s">
        <v>84</v>
      </c>
      <c r="V3" s="7" t="s">
        <v>79</v>
      </c>
      <c r="W3" s="6" t="str">
        <f aca="false">IF(COUNTA(B3:V3)=0,"",IF(OR(B3="",C3="",D3="",F3="",G3="",H3="",I3="",L3="",M3=""),"ناقص",IF(AND(ISNUMBER(F3),ISNUMBER(H3)),"OK","السنة/السعر لازم أرقام")))</f>
        <v>OK</v>
      </c>
      <c r="X3" s="6" t="str">
        <f aca="false">IF(B3="","",B3&amp;" "&amp;C3&amp;" "&amp;D3&amp;" "&amp;E3&amp;" "&amp;F3&amp;" "&amp;G3&amp;" "&amp;I3&amp;" "&amp;L3&amp;" "&amp;M3&amp;" سعر "&amp;H3&amp;" جنيه "&amp;U3)</f>
        <v>Toyota تويوتا Corolla Elegance كورولا إليجانس 2026 جديد سيدان أوتوماتيك بنزين سعر 1500000 جنيه شاشة لمس 7 بوصة</v>
      </c>
    </row>
    <row r="4" customFormat="false" ht="23.85" hidden="false" customHeight="false" outlineLevel="0" collapsed="false">
      <c r="A4" s="6" t="s">
        <v>85</v>
      </c>
      <c r="B4" s="7" t="s">
        <v>71</v>
      </c>
      <c r="C4" s="6" t="str">
        <f aca="false">IF(B4="","",IFERROR(INDEX(Lists!$K$2:$K$60,MATCH(B4,Lists!$J$2:$J$60,0)),""))</f>
        <v>تويوتا</v>
      </c>
      <c r="D4" s="7" t="s">
        <v>86</v>
      </c>
      <c r="E4" s="7" t="s">
        <v>87</v>
      </c>
      <c r="F4" s="7" t="n">
        <v>2026</v>
      </c>
      <c r="G4" s="7" t="s">
        <v>74</v>
      </c>
      <c r="H4" s="8" t="n">
        <v>2000000</v>
      </c>
      <c r="I4" s="7" t="s">
        <v>75</v>
      </c>
      <c r="J4" s="9" t="n">
        <v>1800</v>
      </c>
      <c r="K4" s="7"/>
      <c r="L4" s="7" t="s">
        <v>76</v>
      </c>
      <c r="M4" s="7" t="s">
        <v>88</v>
      </c>
      <c r="N4" s="7"/>
      <c r="O4" s="7" t="n">
        <v>5</v>
      </c>
      <c r="P4" s="7"/>
      <c r="Q4" s="7"/>
      <c r="R4" s="7"/>
      <c r="S4" s="7"/>
      <c r="T4" s="7"/>
      <c r="U4" s="7" t="s">
        <v>89</v>
      </c>
      <c r="V4" s="7" t="s">
        <v>79</v>
      </c>
      <c r="W4" s="6" t="str">
        <f aca="false">IF(COUNTA(B4:V4)=0,"",IF(OR(B4="",C4="",D4="",F4="",G4="",H4="",I4="",L4="",M4=""),"ناقص",IF(AND(ISNUMBER(F4),ISNUMBER(H4)),"OK","السنة/السعر لازم أرقام")))</f>
        <v>OK</v>
      </c>
      <c r="X4" s="6" t="str">
        <f aca="false">IF(B4="","",B4&amp;" "&amp;C4&amp;" "&amp;D4&amp;" "&amp;E4&amp;" "&amp;F4&amp;" "&amp;G4&amp;" "&amp;I4&amp;" "&amp;L4&amp;" "&amp;M4&amp;" سعر "&amp;H4&amp;" جنيه "&amp;U4)</f>
        <v>Toyota تويوتا Corolla Hybrid كورولا هايبرد 2026 جديد سيدان أوتوماتيك هايبرد سعر 2000000 جنيه محرك هايبرد</v>
      </c>
    </row>
    <row r="5" customFormat="false" ht="35.05" hidden="false" customHeight="false" outlineLevel="0" collapsed="false">
      <c r="A5" s="6" t="s">
        <v>90</v>
      </c>
      <c r="B5" s="7" t="s">
        <v>91</v>
      </c>
      <c r="C5" s="6" t="str">
        <f aca="false">IF(B5="","",IFERROR(INDEX(Lists!$K$2:$K$60,MATCH(B5,Lists!$J$2:$J$60,0)),""))</f>
        <v>هيونداي</v>
      </c>
      <c r="D5" s="7" t="s">
        <v>92</v>
      </c>
      <c r="E5" s="7" t="s">
        <v>93</v>
      </c>
      <c r="F5" s="7" t="n">
        <v>2026</v>
      </c>
      <c r="G5" s="7" t="s">
        <v>74</v>
      </c>
      <c r="H5" s="8" t="n">
        <v>1035000</v>
      </c>
      <c r="I5" s="7" t="s">
        <v>75</v>
      </c>
      <c r="J5" s="9" t="n">
        <v>1600</v>
      </c>
      <c r="K5" s="7" t="n">
        <v>128</v>
      </c>
      <c r="L5" s="7" t="s">
        <v>76</v>
      </c>
      <c r="M5" s="7" t="s">
        <v>77</v>
      </c>
      <c r="N5" s="7"/>
      <c r="O5" s="7" t="n">
        <v>5</v>
      </c>
      <c r="P5" s="7"/>
      <c r="Q5" s="7"/>
      <c r="R5" s="7"/>
      <c r="S5" s="7"/>
      <c r="T5" s="7"/>
      <c r="U5" s="7" t="s">
        <v>94</v>
      </c>
      <c r="V5" s="7" t="s">
        <v>95</v>
      </c>
      <c r="W5" s="6" t="str">
        <f aca="false">IF(COUNTA(B5:V5)=0,"",IF(OR(B5="",C5="",D5="",F5="",G5="",H5="",I5="",L5="",M5=""),"ناقص",IF(AND(ISNUMBER(F5),ISNUMBER(H5)),"OK","السنة/السعر لازم أرقام")))</f>
        <v>OK</v>
      </c>
      <c r="X5" s="6" t="str">
        <f aca="false">IF(B5="","",B5&amp;" "&amp;C5&amp;" "&amp;D5&amp;" "&amp;E5&amp;" "&amp;F5&amp;" "&amp;G5&amp;" "&amp;I5&amp;" "&amp;L5&amp;" "&amp;M5&amp;" سعر "&amp;H5&amp;" جنيه "&amp;U5)</f>
        <v>Hyundai هيونداي Elantra AD Entry إلنترا AD الفئة الأولى 2026 جديد سيدان أوتوماتيك بنزين سعر 1035000 جنيه مجمعة محليًا</v>
      </c>
    </row>
    <row r="6" customFormat="false" ht="35.05" hidden="false" customHeight="false" outlineLevel="0" collapsed="false">
      <c r="A6" s="6" t="s">
        <v>96</v>
      </c>
      <c r="B6" s="7" t="s">
        <v>91</v>
      </c>
      <c r="C6" s="6" t="str">
        <f aca="false">IF(B6="","",IFERROR(INDEX(Lists!$K$2:$K$60,MATCH(B6,Lists!$J$2:$J$60,0)),""))</f>
        <v>هيونداي</v>
      </c>
      <c r="D6" s="7" t="s">
        <v>97</v>
      </c>
      <c r="E6" s="7" t="s">
        <v>98</v>
      </c>
      <c r="F6" s="7" t="n">
        <v>2026</v>
      </c>
      <c r="G6" s="7" t="s">
        <v>74</v>
      </c>
      <c r="H6" s="8" t="n">
        <v>1250000</v>
      </c>
      <c r="I6" s="7" t="s">
        <v>75</v>
      </c>
      <c r="J6" s="9" t="n">
        <v>1600</v>
      </c>
      <c r="K6" s="7" t="n">
        <v>128</v>
      </c>
      <c r="L6" s="7" t="s">
        <v>76</v>
      </c>
      <c r="M6" s="7" t="s">
        <v>77</v>
      </c>
      <c r="N6" s="7"/>
      <c r="O6" s="7" t="n">
        <v>5</v>
      </c>
      <c r="P6" s="7"/>
      <c r="Q6" s="7"/>
      <c r="R6" s="7"/>
      <c r="S6" s="7"/>
      <c r="T6" s="7"/>
      <c r="U6" s="7" t="s">
        <v>94</v>
      </c>
      <c r="V6" s="7" t="s">
        <v>95</v>
      </c>
      <c r="W6" s="6" t="str">
        <f aca="false">IF(COUNTA(B6:V6)=0,"",IF(OR(B6="",C6="",D6="",F6="",G6="",H6="",I6="",L6="",M6=""),"ناقص",IF(AND(ISNUMBER(F6),ISNUMBER(H6)),"OK","السنة/السعر لازم أرقام")))</f>
        <v>OK</v>
      </c>
      <c r="X6" s="6" t="str">
        <f aca="false">IF(B6="","",B6&amp;" "&amp;C6&amp;" "&amp;D6&amp;" "&amp;E6&amp;" "&amp;F6&amp;" "&amp;G6&amp;" "&amp;I6&amp;" "&amp;L6&amp;" "&amp;M6&amp;" سعر "&amp;H6&amp;" جنيه "&amp;U6)</f>
        <v>Hyundai هيونداي Elantra AD Top إلنترا AD الفئة الأعلى 2026 جديد سيدان أوتوماتيك بنزين سعر 1250000 جنيه مجمعة محليًا</v>
      </c>
    </row>
    <row r="7" customFormat="false" ht="35.05" hidden="false" customHeight="false" outlineLevel="0" collapsed="false">
      <c r="A7" s="6" t="s">
        <v>99</v>
      </c>
      <c r="B7" s="7" t="s">
        <v>91</v>
      </c>
      <c r="C7" s="6" t="str">
        <f aca="false">IF(B7="","",IFERROR(INDEX(Lists!$K$2:$K$60,MATCH(B7,Lists!$J$2:$J$60,0)),""))</f>
        <v>هيونداي</v>
      </c>
      <c r="D7" s="7" t="s">
        <v>100</v>
      </c>
      <c r="E7" s="7" t="s">
        <v>101</v>
      </c>
      <c r="F7" s="7" t="n">
        <v>2026</v>
      </c>
      <c r="G7" s="7" t="s">
        <v>74</v>
      </c>
      <c r="H7" s="8" t="n">
        <v>869000</v>
      </c>
      <c r="I7" s="7" t="s">
        <v>102</v>
      </c>
      <c r="J7" s="9"/>
      <c r="K7" s="7"/>
      <c r="L7" s="7" t="s">
        <v>76</v>
      </c>
      <c r="M7" s="7" t="s">
        <v>77</v>
      </c>
      <c r="N7" s="7"/>
      <c r="O7" s="7" t="n">
        <v>5</v>
      </c>
      <c r="P7" s="7"/>
      <c r="Q7" s="7"/>
      <c r="R7" s="7"/>
      <c r="S7" s="7"/>
      <c r="T7" s="7"/>
      <c r="U7" s="7" t="s">
        <v>94</v>
      </c>
      <c r="V7" s="7" t="s">
        <v>95</v>
      </c>
      <c r="W7" s="6" t="str">
        <f aca="false">IF(COUNTA(B7:V7)=0,"",IF(OR(B7="",C7="",D7="",F7="",G7="",H7="",I7="",L7="",M7=""),"ناقص",IF(AND(ISNUMBER(F7),ISNUMBER(H7)),"OK","السنة/السعر لازم أرقام")))</f>
        <v>OK</v>
      </c>
      <c r="X7" s="6" t="str">
        <f aca="false">IF(B7="","",B7&amp;" "&amp;C7&amp;" "&amp;D7&amp;" "&amp;E7&amp;" "&amp;F7&amp;" "&amp;G7&amp;" "&amp;I7&amp;" "&amp;L7&amp;" "&amp;M7&amp;" سعر "&amp;H7&amp;" جنيه "&amp;U7)</f>
        <v>Hyundai هيونداي Venue Blaze فينيو بليز 2026 جديد كروس أوفر أوتوماتيك بنزين سعر 869000 جنيه مجمعة محليًا</v>
      </c>
    </row>
    <row r="8" customFormat="false" ht="35.05" hidden="false" customHeight="false" outlineLevel="0" collapsed="false">
      <c r="A8" s="6" t="s">
        <v>103</v>
      </c>
      <c r="B8" s="7" t="s">
        <v>91</v>
      </c>
      <c r="C8" s="6" t="str">
        <f aca="false">IF(B8="","",IFERROR(INDEX(Lists!$K$2:$K$60,MATCH(B8,Lists!$J$2:$J$60,0)),""))</f>
        <v>هيونداي</v>
      </c>
      <c r="D8" s="7" t="s">
        <v>104</v>
      </c>
      <c r="E8" s="7" t="s">
        <v>105</v>
      </c>
      <c r="F8" s="7" t="n">
        <v>2026</v>
      </c>
      <c r="G8" s="7" t="s">
        <v>74</v>
      </c>
      <c r="H8" s="8" t="n">
        <v>945000</v>
      </c>
      <c r="I8" s="7" t="s">
        <v>102</v>
      </c>
      <c r="J8" s="9"/>
      <c r="K8" s="7"/>
      <c r="L8" s="7" t="s">
        <v>76</v>
      </c>
      <c r="M8" s="7" t="s">
        <v>77</v>
      </c>
      <c r="N8" s="7"/>
      <c r="O8" s="7" t="n">
        <v>5</v>
      </c>
      <c r="P8" s="7"/>
      <c r="Q8" s="7"/>
      <c r="R8" s="7"/>
      <c r="S8" s="7"/>
      <c r="T8" s="7"/>
      <c r="U8" s="7" t="s">
        <v>94</v>
      </c>
      <c r="V8" s="7" t="s">
        <v>95</v>
      </c>
      <c r="W8" s="6" t="str">
        <f aca="false">IF(COUNTA(B8:V8)=0,"",IF(OR(B8="",C8="",D8="",F8="",G8="",H8="",I8="",L8="",M8=""),"ناقص",IF(AND(ISNUMBER(F8),ISNUMBER(H8)),"OK","السنة/السعر لازم أرقام")))</f>
        <v>OK</v>
      </c>
      <c r="X8" s="6" t="str">
        <f aca="false">IF(B8="","",B8&amp;" "&amp;C8&amp;" "&amp;D8&amp;" "&amp;E8&amp;" "&amp;F8&amp;" "&amp;G8&amp;" "&amp;I8&amp;" "&amp;L8&amp;" "&amp;M8&amp;" سعر "&amp;H8&amp;" جنيه "&amp;U8)</f>
        <v>Hyundai هيونداي Venue Redline فينيو ريدلاين 2026 جديد كروس أوفر أوتوماتيك بنزين سعر 945000 جنيه مجمعة محليًا</v>
      </c>
    </row>
    <row r="9" customFormat="false" ht="35.05" hidden="false" customHeight="false" outlineLevel="0" collapsed="false">
      <c r="A9" s="6" t="s">
        <v>106</v>
      </c>
      <c r="B9" s="7" t="s">
        <v>107</v>
      </c>
      <c r="C9" s="6" t="str">
        <f aca="false">IF(B9="","",IFERROR(INDEX(Lists!$K$2:$K$60,MATCH(B9,Lists!$J$2:$J$60,0)),""))</f>
        <v>كيا</v>
      </c>
      <c r="D9" s="7" t="s">
        <v>108</v>
      </c>
      <c r="E9" s="7" t="s">
        <v>109</v>
      </c>
      <c r="F9" s="7" t="n">
        <v>2027</v>
      </c>
      <c r="G9" s="7" t="s">
        <v>74</v>
      </c>
      <c r="H9" s="8" t="n">
        <v>1369900</v>
      </c>
      <c r="I9" s="7" t="s">
        <v>110</v>
      </c>
      <c r="J9" s="9"/>
      <c r="K9" s="7"/>
      <c r="L9" s="7" t="s">
        <v>76</v>
      </c>
      <c r="M9" s="7" t="s">
        <v>77</v>
      </c>
      <c r="N9" s="7"/>
      <c r="O9" s="7" t="n">
        <v>5</v>
      </c>
      <c r="P9" s="7"/>
      <c r="Q9" s="7"/>
      <c r="R9" s="7"/>
      <c r="S9" s="7"/>
      <c r="T9" s="7"/>
      <c r="U9" s="7" t="s">
        <v>111</v>
      </c>
      <c r="V9" s="7" t="s">
        <v>95</v>
      </c>
      <c r="W9" s="6" t="str">
        <f aca="false">IF(COUNTA(B9:V9)=0,"",IF(OR(B9="",C9="",D9="",F9="",G9="",H9="",I9="",L9="",M9=""),"ناقص",IF(AND(ISNUMBER(F9),ISNUMBER(H9)),"OK","السنة/السعر لازم أرقام")))</f>
        <v>OK</v>
      </c>
      <c r="X9" s="6" t="str">
        <f aca="false">IF(B9="","",B9&amp;" "&amp;C9&amp;" "&amp;D9&amp;" "&amp;E9&amp;" "&amp;F9&amp;" "&amp;G9&amp;" "&amp;I9&amp;" "&amp;L9&amp;" "&amp;M9&amp;" سعر "&amp;H9&amp;" جنيه "&amp;U9)</f>
        <v>Kia كيا Seltos Entry سيلتوس الفئة الأولى 2027 جديد SUV أوتوماتيك بنزين سعر 1369900 جنيه موديل 2027</v>
      </c>
    </row>
    <row r="10" customFormat="false" ht="35.05" hidden="false" customHeight="false" outlineLevel="0" collapsed="false">
      <c r="A10" s="6" t="s">
        <v>112</v>
      </c>
      <c r="B10" s="7" t="s">
        <v>107</v>
      </c>
      <c r="C10" s="6" t="str">
        <f aca="false">IF(B10="","",IFERROR(INDEX(Lists!$K$2:$K$60,MATCH(B10,Lists!$J$2:$J$60,0)),""))</f>
        <v>كيا</v>
      </c>
      <c r="D10" s="7" t="s">
        <v>113</v>
      </c>
      <c r="E10" s="7" t="s">
        <v>114</v>
      </c>
      <c r="F10" s="7" t="n">
        <v>2027</v>
      </c>
      <c r="G10" s="7" t="s">
        <v>74</v>
      </c>
      <c r="H10" s="8" t="n">
        <v>1674900</v>
      </c>
      <c r="I10" s="7" t="s">
        <v>110</v>
      </c>
      <c r="J10" s="9"/>
      <c r="K10" s="7"/>
      <c r="L10" s="7" t="s">
        <v>76</v>
      </c>
      <c r="M10" s="7" t="s">
        <v>77</v>
      </c>
      <c r="N10" s="7"/>
      <c r="O10" s="7" t="n">
        <v>5</v>
      </c>
      <c r="P10" s="7"/>
      <c r="Q10" s="7"/>
      <c r="R10" s="7"/>
      <c r="S10" s="7"/>
      <c r="T10" s="7"/>
      <c r="U10" s="7" t="s">
        <v>111</v>
      </c>
      <c r="V10" s="7" t="s">
        <v>95</v>
      </c>
      <c r="W10" s="6" t="str">
        <f aca="false">IF(COUNTA(B10:V10)=0,"",IF(OR(B10="",C10="",D10="",F10="",G10="",H10="",I10="",L10="",M10=""),"ناقص",IF(AND(ISNUMBER(F10),ISNUMBER(H10)),"OK","السنة/السعر لازم أرقام")))</f>
        <v>OK</v>
      </c>
      <c r="X10" s="6" t="str">
        <f aca="false">IF(B10="","",B10&amp;" "&amp;C10&amp;" "&amp;D10&amp;" "&amp;E10&amp;" "&amp;F10&amp;" "&amp;G10&amp;" "&amp;I10&amp;" "&amp;L10&amp;" "&amp;M10&amp;" سعر "&amp;H10&amp;" جنيه "&amp;U10)</f>
        <v>Kia كيا Seltos Top سيلتوس الفئة الأعلى 2027 جديد SUV أوتوماتيك بنزين سعر 1674900 جنيه موديل 2027</v>
      </c>
    </row>
    <row r="11" customFormat="false" ht="35.05" hidden="false" customHeight="false" outlineLevel="0" collapsed="false">
      <c r="A11" s="6" t="s">
        <v>115</v>
      </c>
      <c r="B11" s="7" t="s">
        <v>116</v>
      </c>
      <c r="C11" s="6" t="str">
        <f aca="false">IF(B11="","",IFERROR(INDEX(Lists!$K$2:$K$60,MATCH(B11,Lists!$J$2:$J$60,0)),""))</f>
        <v>مازدا</v>
      </c>
      <c r="D11" s="7" t="s">
        <v>117</v>
      </c>
      <c r="E11" s="7" t="s">
        <v>118</v>
      </c>
      <c r="F11" s="7" t="n">
        <v>2027</v>
      </c>
      <c r="G11" s="7" t="s">
        <v>74</v>
      </c>
      <c r="H11" s="8" t="n">
        <v>1355000</v>
      </c>
      <c r="I11" s="7" t="s">
        <v>102</v>
      </c>
      <c r="J11" s="9"/>
      <c r="K11" s="7"/>
      <c r="L11" s="7" t="s">
        <v>76</v>
      </c>
      <c r="M11" s="7" t="s">
        <v>77</v>
      </c>
      <c r="N11" s="7"/>
      <c r="O11" s="7" t="n">
        <v>5</v>
      </c>
      <c r="P11" s="7"/>
      <c r="Q11" s="7"/>
      <c r="R11" s="7"/>
      <c r="S11" s="7"/>
      <c r="T11" s="7"/>
      <c r="U11" s="7" t="s">
        <v>111</v>
      </c>
      <c r="V11" s="7" t="s">
        <v>95</v>
      </c>
      <c r="W11" s="6" t="str">
        <f aca="false">IF(COUNTA(B11:V11)=0,"",IF(OR(B11="",C11="",D11="",F11="",G11="",H11="",I11="",L11="",M11=""),"ناقص",IF(AND(ISNUMBER(F11),ISNUMBER(H11)),"OK","السنة/السعر لازم أرقام")))</f>
        <v>OK</v>
      </c>
      <c r="X11" s="6" t="str">
        <f aca="false">IF(B11="","",B11&amp;" "&amp;C11&amp;" "&amp;D11&amp;" "&amp;E11&amp;" "&amp;F11&amp;" "&amp;G11&amp;" "&amp;I11&amp;" "&amp;L11&amp;" "&amp;M11&amp;" سعر "&amp;H11&amp;" جنيه "&amp;U11)</f>
        <v>Mazda مازدا CX-3 سي إكس 3 2027 جديد كروس أوفر أوتوماتيك بنزين سعر 1355000 جنيه موديل 2027</v>
      </c>
    </row>
    <row r="12" customFormat="false" ht="35.05" hidden="false" customHeight="false" outlineLevel="0" collapsed="false">
      <c r="A12" s="6" t="s">
        <v>119</v>
      </c>
      <c r="B12" s="7" t="s">
        <v>120</v>
      </c>
      <c r="C12" s="6" t="str">
        <f aca="false">IF(B12="","",IFERROR(INDEX(Lists!$K$2:$K$60,MATCH(B12,Lists!$J$2:$J$60,0)),""))</f>
        <v>نيسان</v>
      </c>
      <c r="D12" s="7" t="s">
        <v>121</v>
      </c>
      <c r="E12" s="7" t="s">
        <v>122</v>
      </c>
      <c r="F12" s="7" t="n">
        <v>2026</v>
      </c>
      <c r="G12" s="7" t="s">
        <v>74</v>
      </c>
      <c r="H12" s="8" t="n">
        <v>819999</v>
      </c>
      <c r="I12" s="7" t="s">
        <v>102</v>
      </c>
      <c r="J12" s="9" t="n">
        <v>1000</v>
      </c>
      <c r="K12" s="7"/>
      <c r="L12" s="7" t="s">
        <v>76</v>
      </c>
      <c r="M12" s="7" t="s">
        <v>77</v>
      </c>
      <c r="N12" s="7"/>
      <c r="O12" s="7" t="n">
        <v>5</v>
      </c>
      <c r="P12" s="7"/>
      <c r="Q12" s="7"/>
      <c r="R12" s="7"/>
      <c r="S12" s="7"/>
      <c r="T12" s="7"/>
      <c r="U12" s="7" t="s">
        <v>123</v>
      </c>
      <c r="V12" s="7" t="s">
        <v>95</v>
      </c>
      <c r="W12" s="6" t="str">
        <f aca="false">IF(COUNTA(B12:V12)=0,"",IF(OR(B12="",C12="",D12="",F12="",G12="",H12="",I12="",L12="",M12=""),"ناقص",IF(AND(ISNUMBER(F12),ISNUMBER(H12)),"OK","السنة/السعر لازم أرقام")))</f>
        <v>OK</v>
      </c>
      <c r="X12" s="6" t="str">
        <f aca="false">IF(B12="","",B12&amp;" "&amp;C12&amp;" "&amp;D12&amp;" "&amp;E12&amp;" "&amp;F12&amp;" "&amp;G12&amp;" "&amp;I12&amp;" "&amp;L12&amp;" "&amp;M12&amp;" سعر "&amp;H12&amp;" جنيه "&amp;U12)</f>
        <v>Nissan نيسان Magnite Visia ماجنيت فيزيا 2026 جديد كروس أوفر أوتوماتيك بنزين سعر 819999 جنيه الفئة الأقل</v>
      </c>
    </row>
    <row r="13" customFormat="false" ht="35.05" hidden="false" customHeight="false" outlineLevel="0" collapsed="false">
      <c r="A13" s="6" t="s">
        <v>124</v>
      </c>
      <c r="B13" s="7" t="s">
        <v>120</v>
      </c>
      <c r="C13" s="6" t="str">
        <f aca="false">IF(B13="","",IFERROR(INDEX(Lists!$K$2:$K$60,MATCH(B13,Lists!$J$2:$J$60,0)),""))</f>
        <v>نيسان</v>
      </c>
      <c r="D13" s="7" t="s">
        <v>125</v>
      </c>
      <c r="E13" s="7" t="s">
        <v>126</v>
      </c>
      <c r="F13" s="7" t="n">
        <v>2026</v>
      </c>
      <c r="G13" s="7" t="s">
        <v>74</v>
      </c>
      <c r="H13" s="8" t="n">
        <v>899999</v>
      </c>
      <c r="I13" s="7" t="s">
        <v>102</v>
      </c>
      <c r="J13" s="9" t="n">
        <v>1000</v>
      </c>
      <c r="K13" s="7"/>
      <c r="L13" s="7" t="s">
        <v>76</v>
      </c>
      <c r="M13" s="7" t="s">
        <v>77</v>
      </c>
      <c r="N13" s="7"/>
      <c r="O13" s="7" t="n">
        <v>5</v>
      </c>
      <c r="P13" s="7"/>
      <c r="Q13" s="7"/>
      <c r="R13" s="7"/>
      <c r="S13" s="7"/>
      <c r="T13" s="7"/>
      <c r="U13" s="7" t="s">
        <v>127</v>
      </c>
      <c r="V13" s="7" t="s">
        <v>95</v>
      </c>
      <c r="W13" s="6" t="str">
        <f aca="false">IF(COUNTA(B13:V13)=0,"",IF(OR(B13="",C13="",D13="",F13="",G13="",H13="",I13="",L13="",M13=""),"ناقص",IF(AND(ISNUMBER(F13),ISNUMBER(H13)),"OK","السنة/السعر لازم أرقام")))</f>
        <v>OK</v>
      </c>
      <c r="X13" s="6" t="str">
        <f aca="false">IF(B13="","",B13&amp;" "&amp;C13&amp;" "&amp;D13&amp;" "&amp;E13&amp;" "&amp;F13&amp;" "&amp;G13&amp;" "&amp;I13&amp;" "&amp;L13&amp;" "&amp;M13&amp;" سعر "&amp;H13&amp;" جنيه "&amp;U13)</f>
        <v>Nissan نيسان Magnite Tekna+ ماجنيت تيكنا بلس 2026 جديد كروس أوفر أوتوماتيك بنزين سعر 899999 جنيه الفئة الأعلى</v>
      </c>
    </row>
    <row r="14" customFormat="false" ht="35.05" hidden="false" customHeight="false" outlineLevel="0" collapsed="false">
      <c r="A14" s="6" t="s">
        <v>128</v>
      </c>
      <c r="B14" s="7" t="s">
        <v>129</v>
      </c>
      <c r="C14" s="6" t="str">
        <f aca="false">IF(B14="","",IFERROR(INDEX(Lists!$K$2:$K$60,MATCH(B14,Lists!$J$2:$J$60,0)),""))</f>
        <v>سكودا</v>
      </c>
      <c r="D14" s="7" t="s">
        <v>130</v>
      </c>
      <c r="E14" s="7" t="s">
        <v>131</v>
      </c>
      <c r="F14" s="7" t="n">
        <v>2027</v>
      </c>
      <c r="G14" s="7" t="s">
        <v>74</v>
      </c>
      <c r="H14" s="8" t="n">
        <v>1825000</v>
      </c>
      <c r="I14" s="7" t="s">
        <v>75</v>
      </c>
      <c r="J14" s="9" t="n">
        <v>1400</v>
      </c>
      <c r="K14" s="7" t="n">
        <v>150</v>
      </c>
      <c r="L14" s="7" t="s">
        <v>132</v>
      </c>
      <c r="M14" s="7" t="s">
        <v>77</v>
      </c>
      <c r="N14" s="7"/>
      <c r="O14" s="7" t="n">
        <v>5</v>
      </c>
      <c r="P14" s="7"/>
      <c r="Q14" s="7"/>
      <c r="R14" s="7"/>
      <c r="S14" s="7"/>
      <c r="T14" s="7" t="s">
        <v>83</v>
      </c>
      <c r="U14" s="7" t="s">
        <v>133</v>
      </c>
      <c r="V14" s="7" t="s">
        <v>95</v>
      </c>
      <c r="W14" s="6" t="str">
        <f aca="false">IF(COUNTA(B14:V14)=0,"",IF(OR(B14="",C14="",D14="",F14="",G14="",H14="",I14="",L14="",M14=""),"ناقص",IF(AND(ISNUMBER(F14),ISNUMBER(H14)),"OK","السنة/السعر لازم أرقام")))</f>
        <v>OK</v>
      </c>
      <c r="X14" s="6" t="str">
        <f aca="false">IF(B14="","",B14&amp;" "&amp;C14&amp;" "&amp;D14&amp;" "&amp;E14&amp;" "&amp;F14&amp;" "&amp;G14&amp;" "&amp;I14&amp;" "&amp;L14&amp;" "&amp;M14&amp;" سعر "&amp;H14&amp;" جنيه "&amp;U14)</f>
        <v>Skoda سكودا Octavia Loft أوكتافيا لوفت 2027 جديد سيدان DCT بنزين سعر 1825000 جنيه شاشة 10 بوصة وApple CarPlay، ثبات إلكتروني ESC</v>
      </c>
    </row>
    <row r="15" customFormat="false" ht="35.05" hidden="false" customHeight="false" outlineLevel="0" collapsed="false">
      <c r="A15" s="6" t="s">
        <v>134</v>
      </c>
      <c r="B15" s="7" t="s">
        <v>129</v>
      </c>
      <c r="C15" s="6" t="str">
        <f aca="false">IF(B15="","",IFERROR(INDEX(Lists!$K$2:$K$60,MATCH(B15,Lists!$J$2:$J$60,0)),""))</f>
        <v>سكودا</v>
      </c>
      <c r="D15" s="7" t="s">
        <v>135</v>
      </c>
      <c r="E15" s="7" t="s">
        <v>136</v>
      </c>
      <c r="F15" s="7" t="n">
        <v>2027</v>
      </c>
      <c r="G15" s="7" t="s">
        <v>74</v>
      </c>
      <c r="H15" s="8" t="n">
        <v>2250000</v>
      </c>
      <c r="I15" s="7" t="s">
        <v>75</v>
      </c>
      <c r="J15" s="9" t="n">
        <v>1400</v>
      </c>
      <c r="K15" s="7" t="n">
        <v>150</v>
      </c>
      <c r="L15" s="7" t="s">
        <v>132</v>
      </c>
      <c r="M15" s="7" t="s">
        <v>77</v>
      </c>
      <c r="N15" s="7"/>
      <c r="O15" s="7" t="n">
        <v>5</v>
      </c>
      <c r="P15" s="7"/>
      <c r="Q15" s="7"/>
      <c r="R15" s="7"/>
      <c r="S15" s="7"/>
      <c r="T15" s="7" t="s">
        <v>83</v>
      </c>
      <c r="U15" s="7" t="s">
        <v>133</v>
      </c>
      <c r="V15" s="7" t="s">
        <v>95</v>
      </c>
      <c r="W15" s="6" t="str">
        <f aca="false">IF(COUNTA(B15:V15)=0,"",IF(OR(B15="",C15="",D15="",F15="",G15="",H15="",I15="",L15="",M15=""),"ناقص",IF(AND(ISNUMBER(F15),ISNUMBER(H15)),"OK","السنة/السعر لازم أرقام")))</f>
        <v>OK</v>
      </c>
      <c r="X15" s="6" t="str">
        <f aca="false">IF(B15="","",B15&amp;" "&amp;C15&amp;" "&amp;D15&amp;" "&amp;E15&amp;" "&amp;F15&amp;" "&amp;G15&amp;" "&amp;I15&amp;" "&amp;L15&amp;" "&amp;M15&amp;" سعر "&amp;H15&amp;" جنيه "&amp;U15)</f>
        <v>Skoda سكودا Octavia Suite أوكتافيا سويت 2027 جديد سيدان DCT بنزين سعر 2250000 جنيه شاشة 10 بوصة وApple CarPlay، ثبات إلكتروني ESC</v>
      </c>
    </row>
    <row r="16" customFormat="false" ht="35.05" hidden="false" customHeight="false" outlineLevel="0" collapsed="false">
      <c r="A16" s="6" t="s">
        <v>137</v>
      </c>
      <c r="B16" s="7" t="s">
        <v>138</v>
      </c>
      <c r="C16" s="6" t="str">
        <f aca="false">IF(B16="","",IFERROR(INDEX(Lists!$K$2:$K$60,MATCH(B16,Lists!$J$2:$J$60,0)),""))</f>
        <v>إم جي</v>
      </c>
      <c r="D16" s="7" t="s">
        <v>139</v>
      </c>
      <c r="E16" s="7" t="s">
        <v>140</v>
      </c>
      <c r="F16" s="7" t="n">
        <v>2027</v>
      </c>
      <c r="G16" s="7" t="s">
        <v>74</v>
      </c>
      <c r="H16" s="8" t="n">
        <v>890000</v>
      </c>
      <c r="I16" s="7" t="s">
        <v>75</v>
      </c>
      <c r="J16" s="9"/>
      <c r="K16" s="7"/>
      <c r="L16" s="7" t="s">
        <v>76</v>
      </c>
      <c r="M16" s="7" t="s">
        <v>77</v>
      </c>
      <c r="N16" s="7"/>
      <c r="O16" s="7" t="n">
        <v>5</v>
      </c>
      <c r="P16" s="7"/>
      <c r="Q16" s="7"/>
      <c r="R16" s="7"/>
      <c r="S16" s="7"/>
      <c r="T16" s="7"/>
      <c r="U16" s="7"/>
      <c r="V16" s="7" t="s">
        <v>95</v>
      </c>
      <c r="W16" s="6" t="str">
        <f aca="false">IF(COUNTA(B16:V16)=0,"",IF(OR(B16="",C16="",D16="",F16="",G16="",H16="",I16="",L16="",M16=""),"ناقص",IF(AND(ISNUMBER(F16),ISNUMBER(H16)),"OK","السنة/السعر لازم أرقام")))</f>
        <v>OK</v>
      </c>
      <c r="X16" s="6" t="str">
        <f aca="false">IF(B16="","",B16&amp;" "&amp;C16&amp;" "&amp;D16&amp;" "&amp;E16&amp;" "&amp;F16&amp;" "&amp;G16&amp;" "&amp;I16&amp;" "&amp;L16&amp;" "&amp;M16&amp;" سعر "&amp;H16&amp;" جنيه "&amp;U16)</f>
        <v>MG إم جي MG5 Entry إم جي 5 الفئة الأولى 2027 جديد سيدان أوتوماتيك بنزين سعر 890000 جنيه </v>
      </c>
    </row>
    <row r="17" customFormat="false" ht="35.05" hidden="false" customHeight="false" outlineLevel="0" collapsed="false">
      <c r="A17" s="6" t="s">
        <v>141</v>
      </c>
      <c r="B17" s="7" t="s">
        <v>138</v>
      </c>
      <c r="C17" s="6" t="str">
        <f aca="false">IF(B17="","",IFERROR(INDEX(Lists!$K$2:$K$60,MATCH(B17,Lists!$J$2:$J$60,0)),""))</f>
        <v>إم جي</v>
      </c>
      <c r="D17" s="7" t="s">
        <v>142</v>
      </c>
      <c r="E17" s="7" t="s">
        <v>143</v>
      </c>
      <c r="F17" s="7" t="n">
        <v>2027</v>
      </c>
      <c r="G17" s="7" t="s">
        <v>74</v>
      </c>
      <c r="H17" s="8" t="n">
        <v>990000</v>
      </c>
      <c r="I17" s="7" t="s">
        <v>75</v>
      </c>
      <c r="J17" s="9"/>
      <c r="K17" s="7"/>
      <c r="L17" s="7" t="s">
        <v>76</v>
      </c>
      <c r="M17" s="7" t="s">
        <v>77</v>
      </c>
      <c r="N17" s="7"/>
      <c r="O17" s="7" t="n">
        <v>5</v>
      </c>
      <c r="P17" s="7"/>
      <c r="Q17" s="7"/>
      <c r="R17" s="7"/>
      <c r="S17" s="7"/>
      <c r="T17" s="7"/>
      <c r="U17" s="7"/>
      <c r="V17" s="7" t="s">
        <v>95</v>
      </c>
      <c r="W17" s="6" t="str">
        <f aca="false">IF(COUNTA(B17:V17)=0,"",IF(OR(B17="",C17="",D17="",F17="",G17="",H17="",I17="",L17="",M17=""),"ناقص",IF(AND(ISNUMBER(F17),ISNUMBER(H17)),"OK","السنة/السعر لازم أرقام")))</f>
        <v>OK</v>
      </c>
      <c r="X17" s="6" t="str">
        <f aca="false">IF(B17="","",B17&amp;" "&amp;C17&amp;" "&amp;D17&amp;" "&amp;E17&amp;" "&amp;F17&amp;" "&amp;G17&amp;" "&amp;I17&amp;" "&amp;L17&amp;" "&amp;M17&amp;" سعر "&amp;H17&amp;" جنيه "&amp;U17)</f>
        <v>MG إم جي MG5 Top إم جي 5 الفئة الأعلى 2027 جديد سيدان أوتوماتيك بنزين سعر 990000 جنيه </v>
      </c>
    </row>
    <row r="18" customFormat="false" ht="35.05" hidden="false" customHeight="false" outlineLevel="0" collapsed="false">
      <c r="A18" s="6" t="s">
        <v>144</v>
      </c>
      <c r="B18" s="7" t="s">
        <v>138</v>
      </c>
      <c r="C18" s="6" t="str">
        <f aca="false">IF(B18="","",IFERROR(INDEX(Lists!$K$2:$K$60,MATCH(B18,Lists!$J$2:$J$60,0)),""))</f>
        <v>إم جي</v>
      </c>
      <c r="D18" s="7" t="s">
        <v>145</v>
      </c>
      <c r="E18" s="7" t="s">
        <v>146</v>
      </c>
      <c r="F18" s="7" t="n">
        <v>2026</v>
      </c>
      <c r="G18" s="7" t="s">
        <v>74</v>
      </c>
      <c r="H18" s="8" t="n">
        <v>1165000</v>
      </c>
      <c r="I18" s="7" t="s">
        <v>102</v>
      </c>
      <c r="J18" s="9"/>
      <c r="K18" s="7"/>
      <c r="L18" s="7" t="s">
        <v>76</v>
      </c>
      <c r="M18" s="7" t="s">
        <v>77</v>
      </c>
      <c r="N18" s="7"/>
      <c r="O18" s="7" t="n">
        <v>5</v>
      </c>
      <c r="P18" s="7"/>
      <c r="Q18" s="7"/>
      <c r="R18" s="7"/>
      <c r="S18" s="7"/>
      <c r="T18" s="7"/>
      <c r="U18" s="7"/>
      <c r="V18" s="7" t="s">
        <v>95</v>
      </c>
      <c r="W18" s="6" t="str">
        <f aca="false">IF(COUNTA(B18:V18)=0,"",IF(OR(B18="",C18="",D18="",F18="",G18="",H18="",I18="",L18="",M18=""),"ناقص",IF(AND(ISNUMBER(F18),ISNUMBER(H18)),"OK","السنة/السعر لازم أرقام")))</f>
        <v>OK</v>
      </c>
      <c r="X18" s="6" t="str">
        <f aca="false">IF(B18="","",B18&amp;" "&amp;C18&amp;" "&amp;D18&amp;" "&amp;E18&amp;" "&amp;F18&amp;" "&amp;G18&amp;" "&amp;I18&amp;" "&amp;L18&amp;" "&amp;M18&amp;" سعر "&amp;H18&amp;" جنيه "&amp;U18)</f>
        <v>MG إم جي ZS Plus زد إس بلس 2026 جديد كروس أوفر أوتوماتيك بنزين سعر 1165000 جنيه </v>
      </c>
    </row>
    <row r="19" customFormat="false" ht="35.05" hidden="false" customHeight="false" outlineLevel="0" collapsed="false">
      <c r="A19" s="6" t="s">
        <v>147</v>
      </c>
      <c r="B19" s="7" t="s">
        <v>138</v>
      </c>
      <c r="C19" s="6" t="str">
        <f aca="false">IF(B19="","",IFERROR(INDEX(Lists!$K$2:$K$60,MATCH(B19,Lists!$J$2:$J$60,0)),""))</f>
        <v>إم جي</v>
      </c>
      <c r="D19" s="7" t="s">
        <v>148</v>
      </c>
      <c r="E19" s="7" t="s">
        <v>149</v>
      </c>
      <c r="F19" s="7" t="n">
        <v>2026</v>
      </c>
      <c r="G19" s="7" t="s">
        <v>74</v>
      </c>
      <c r="H19" s="8" t="n">
        <v>1175000</v>
      </c>
      <c r="I19" s="7" t="s">
        <v>75</v>
      </c>
      <c r="J19" s="9"/>
      <c r="K19" s="7"/>
      <c r="L19" s="7" t="s">
        <v>76</v>
      </c>
      <c r="M19" s="7" t="s">
        <v>77</v>
      </c>
      <c r="N19" s="7"/>
      <c r="O19" s="7" t="n">
        <v>5</v>
      </c>
      <c r="P19" s="7"/>
      <c r="Q19" s="7"/>
      <c r="R19" s="7"/>
      <c r="S19" s="7"/>
      <c r="T19" s="7"/>
      <c r="U19" s="7" t="s">
        <v>150</v>
      </c>
      <c r="V19" s="7" t="s">
        <v>95</v>
      </c>
      <c r="W19" s="6" t="str">
        <f aca="false">IF(COUNTA(B19:V19)=0,"",IF(OR(B19="",C19="",D19="",F19="",G19="",H19="",I19="",L19="",M19=""),"ناقص",IF(AND(ISNUMBER(F19),ISNUMBER(H19)),"OK","السنة/السعر لازم أرقام")))</f>
        <v>OK</v>
      </c>
      <c r="X19" s="6" t="str">
        <f aca="false">IF(B19="","",B19&amp;" "&amp;C19&amp;" "&amp;D19&amp;" "&amp;E19&amp;" "&amp;F19&amp;" "&amp;G19&amp;" "&amp;I19&amp;" "&amp;L19&amp;" "&amp;M19&amp;" سعر "&amp;H19&amp;" جنيه "&amp;U19)</f>
        <v>MG إم جي GT جي تي 2026 جديد سيدان أوتوماتيك بنزين سعر 1175000 جنيه الفئة الأعلى المتاحة</v>
      </c>
    </row>
    <row r="20" customFormat="false" ht="35.05" hidden="false" customHeight="false" outlineLevel="0" collapsed="false">
      <c r="A20" s="6" t="s">
        <v>151</v>
      </c>
      <c r="B20" s="7" t="s">
        <v>138</v>
      </c>
      <c r="C20" s="6" t="str">
        <f aca="false">IF(B20="","",IFERROR(INDEX(Lists!$K$2:$K$60,MATCH(B20,Lists!$J$2:$J$60,0)),""))</f>
        <v>إم جي</v>
      </c>
      <c r="D20" s="7" t="s">
        <v>152</v>
      </c>
      <c r="E20" s="7" t="s">
        <v>153</v>
      </c>
      <c r="F20" s="7" t="n">
        <v>2026</v>
      </c>
      <c r="G20" s="7" t="s">
        <v>74</v>
      </c>
      <c r="H20" s="8" t="n">
        <v>1325000</v>
      </c>
      <c r="I20" s="7" t="s">
        <v>154</v>
      </c>
      <c r="J20" s="9"/>
      <c r="K20" s="7"/>
      <c r="L20" s="7" t="s">
        <v>76</v>
      </c>
      <c r="M20" s="7" t="s">
        <v>77</v>
      </c>
      <c r="N20" s="7"/>
      <c r="O20" s="7" t="n">
        <v>7</v>
      </c>
      <c r="P20" s="7"/>
      <c r="Q20" s="7"/>
      <c r="R20" s="7"/>
      <c r="S20" s="7"/>
      <c r="T20" s="7"/>
      <c r="U20" s="7"/>
      <c r="V20" s="7" t="s">
        <v>95</v>
      </c>
      <c r="W20" s="6" t="str">
        <f aca="false">IF(COUNTA(B20:V20)=0,"",IF(OR(B20="",C20="",D20="",F20="",G20="",H20="",I20="",L20="",M20=""),"ناقص",IF(AND(ISNUMBER(F20),ISNUMBER(H20)),"OK","السنة/السعر لازم أرقام")))</f>
        <v>OK</v>
      </c>
      <c r="X20" s="6" t="str">
        <f aca="false">IF(B20="","",B20&amp;" "&amp;C20&amp;" "&amp;D20&amp;" "&amp;E20&amp;" "&amp;F20&amp;" "&amp;G20&amp;" "&amp;I20&amp;" "&amp;L20&amp;" "&amp;M20&amp;" سعر "&amp;H20&amp;" جنيه "&amp;U20)</f>
        <v>MG إم جي G50 Plus G50 بلس 2026 جديد ميني فان أوتوماتيك بنزين سعر 1325000 جنيه </v>
      </c>
    </row>
    <row r="21" customFormat="false" ht="35.05" hidden="false" customHeight="false" outlineLevel="0" collapsed="false">
      <c r="A21" s="6" t="s">
        <v>155</v>
      </c>
      <c r="B21" s="7" t="s">
        <v>138</v>
      </c>
      <c r="C21" s="6" t="str">
        <f aca="false">IF(B21="","",IFERROR(INDEX(Lists!$K$2:$K$60,MATCH(B21,Lists!$J$2:$J$60,0)),""))</f>
        <v>إم جي</v>
      </c>
      <c r="D21" s="7" t="s">
        <v>156</v>
      </c>
      <c r="E21" s="7" t="s">
        <v>157</v>
      </c>
      <c r="F21" s="7" t="n">
        <v>2026</v>
      </c>
      <c r="G21" s="7" t="s">
        <v>74</v>
      </c>
      <c r="H21" s="8" t="n">
        <v>1425000</v>
      </c>
      <c r="I21" s="7" t="s">
        <v>102</v>
      </c>
      <c r="J21" s="9"/>
      <c r="K21" s="7"/>
      <c r="L21" s="7" t="s">
        <v>76</v>
      </c>
      <c r="M21" s="7" t="s">
        <v>77</v>
      </c>
      <c r="N21" s="7"/>
      <c r="O21" s="7" t="n">
        <v>5</v>
      </c>
      <c r="P21" s="7"/>
      <c r="Q21" s="7"/>
      <c r="R21" s="7"/>
      <c r="S21" s="7"/>
      <c r="T21" s="7"/>
      <c r="U21" s="7"/>
      <c r="V21" s="7" t="s">
        <v>95</v>
      </c>
      <c r="W21" s="6" t="str">
        <f aca="false">IF(COUNTA(B21:V21)=0,"",IF(OR(B21="",C21="",D21="",F21="",G21="",H21="",I21="",L21="",M21=""),"ناقص",IF(AND(ISNUMBER(F21),ISNUMBER(H21)),"OK","السنة/السعر لازم أرقام")))</f>
        <v>OK</v>
      </c>
      <c r="X21" s="6" t="str">
        <f aca="false">IF(B21="","",B21&amp;" "&amp;C21&amp;" "&amp;D21&amp;" "&amp;E21&amp;" "&amp;F21&amp;" "&amp;G21&amp;" "&amp;I21&amp;" "&amp;L21&amp;" "&amp;M21&amp;" سعر "&amp;H21&amp;" جنيه "&amp;U21)</f>
        <v>MG إم جي One ون 2026 جديد كروس أوفر أوتوماتيك بنزين سعر 1425000 جنيه </v>
      </c>
    </row>
    <row r="22" customFormat="false" ht="35.05" hidden="false" customHeight="false" outlineLevel="0" collapsed="false">
      <c r="A22" s="6" t="s">
        <v>158</v>
      </c>
      <c r="B22" s="7" t="s">
        <v>138</v>
      </c>
      <c r="C22" s="6" t="str">
        <f aca="false">IF(B22="","",IFERROR(INDEX(Lists!$K$2:$K$60,MATCH(B22,Lists!$J$2:$J$60,0)),""))</f>
        <v>إم جي</v>
      </c>
      <c r="D22" s="7" t="s">
        <v>159</v>
      </c>
      <c r="E22" s="7" t="s">
        <v>160</v>
      </c>
      <c r="F22" s="7" t="n">
        <v>2027</v>
      </c>
      <c r="G22" s="7" t="s">
        <v>74</v>
      </c>
      <c r="H22" s="8" t="n">
        <v>1475000</v>
      </c>
      <c r="I22" s="7" t="s">
        <v>110</v>
      </c>
      <c r="J22" s="9"/>
      <c r="K22" s="7"/>
      <c r="L22" s="7" t="s">
        <v>76</v>
      </c>
      <c r="M22" s="7" t="s">
        <v>77</v>
      </c>
      <c r="N22" s="7"/>
      <c r="O22" s="7" t="n">
        <v>5</v>
      </c>
      <c r="P22" s="7"/>
      <c r="Q22" s="7"/>
      <c r="R22" s="7"/>
      <c r="S22" s="7"/>
      <c r="T22" s="7"/>
      <c r="U22" s="7" t="s">
        <v>111</v>
      </c>
      <c r="V22" s="7" t="s">
        <v>95</v>
      </c>
      <c r="W22" s="6" t="str">
        <f aca="false">IF(COUNTA(B22:V22)=0,"",IF(OR(B22="",C22="",D22="",F22="",G22="",H22="",I22="",L22="",M22=""),"ناقص",IF(AND(ISNUMBER(F22),ISNUMBER(H22)),"OK","السنة/السعر لازم أرقام")))</f>
        <v>OK</v>
      </c>
      <c r="X22" s="6" t="str">
        <f aca="false">IF(B22="","",B22&amp;" "&amp;C22&amp;" "&amp;D22&amp;" "&amp;E22&amp;" "&amp;F22&amp;" "&amp;G22&amp;" "&amp;I22&amp;" "&amp;L22&amp;" "&amp;M22&amp;" سعر "&amp;H22&amp;" جنيه "&amp;U22)</f>
        <v>MG إم جي RX5+ RX5 بلس 2027 جديد SUV أوتوماتيك بنزين سعر 1475000 جنيه موديل 2027</v>
      </c>
    </row>
    <row r="23" customFormat="false" ht="35.05" hidden="false" customHeight="false" outlineLevel="0" collapsed="false">
      <c r="A23" s="6" t="s">
        <v>161</v>
      </c>
      <c r="B23" s="7" t="s">
        <v>138</v>
      </c>
      <c r="C23" s="6" t="str">
        <f aca="false">IF(B23="","",IFERROR(INDEX(Lists!$K$2:$K$60,MATCH(B23,Lists!$J$2:$J$60,0)),""))</f>
        <v>إم جي</v>
      </c>
      <c r="D23" s="7" t="s">
        <v>162</v>
      </c>
      <c r="E23" s="7" t="s">
        <v>163</v>
      </c>
      <c r="F23" s="7" t="n">
        <v>2027</v>
      </c>
      <c r="G23" s="7" t="s">
        <v>74</v>
      </c>
      <c r="H23" s="8" t="n">
        <v>1575000</v>
      </c>
      <c r="I23" s="7" t="s">
        <v>110</v>
      </c>
      <c r="J23" s="9"/>
      <c r="K23" s="7"/>
      <c r="L23" s="7" t="s">
        <v>132</v>
      </c>
      <c r="M23" s="7" t="s">
        <v>77</v>
      </c>
      <c r="N23" s="7"/>
      <c r="O23" s="7" t="n">
        <v>5</v>
      </c>
      <c r="P23" s="7"/>
      <c r="Q23" s="7"/>
      <c r="R23" s="7"/>
      <c r="S23" s="7"/>
      <c r="T23" s="7"/>
      <c r="U23" s="7" t="s">
        <v>111</v>
      </c>
      <c r="V23" s="7" t="s">
        <v>95</v>
      </c>
      <c r="W23" s="6" t="str">
        <f aca="false">IF(COUNTA(B23:V23)=0,"",IF(OR(B23="",C23="",D23="",F23="",G23="",H23="",I23="",L23="",M23=""),"ناقص",IF(AND(ISNUMBER(F23),ISNUMBER(H23)),"OK","السنة/السعر لازم أرقام")))</f>
        <v>OK</v>
      </c>
      <c r="X23" s="6" t="str">
        <f aca="false">IF(B23="","",B23&amp;" "&amp;C23&amp;" "&amp;D23&amp;" "&amp;E23&amp;" "&amp;F23&amp;" "&amp;G23&amp;" "&amp;I23&amp;" "&amp;L23&amp;" "&amp;M23&amp;" سعر "&amp;H23&amp;" جنيه "&amp;U23)</f>
        <v>MG إم جي HS AS33 HS بنزين 2027 جديد SUV DCT بنزين سعر 1575000 جنيه موديل 2027</v>
      </c>
    </row>
    <row r="24" customFormat="false" ht="35.05" hidden="false" customHeight="false" outlineLevel="0" collapsed="false">
      <c r="A24" s="6" t="s">
        <v>164</v>
      </c>
      <c r="B24" s="7" t="s">
        <v>138</v>
      </c>
      <c r="C24" s="6" t="str">
        <f aca="false">IF(B24="","",IFERROR(INDEX(Lists!$K$2:$K$60,MATCH(B24,Lists!$J$2:$J$60,0)),""))</f>
        <v>إم جي</v>
      </c>
      <c r="D24" s="7" t="s">
        <v>165</v>
      </c>
      <c r="E24" s="7" t="s">
        <v>166</v>
      </c>
      <c r="F24" s="7" t="n">
        <v>2027</v>
      </c>
      <c r="G24" s="7" t="s">
        <v>74</v>
      </c>
      <c r="H24" s="8" t="n">
        <v>1650000</v>
      </c>
      <c r="I24" s="7" t="s">
        <v>110</v>
      </c>
      <c r="J24" s="9"/>
      <c r="K24" s="7"/>
      <c r="L24" s="7" t="s">
        <v>76</v>
      </c>
      <c r="M24" s="7" t="s">
        <v>88</v>
      </c>
      <c r="N24" s="7"/>
      <c r="O24" s="7" t="n">
        <v>5</v>
      </c>
      <c r="P24" s="7"/>
      <c r="Q24" s="7"/>
      <c r="R24" s="7"/>
      <c r="S24" s="7"/>
      <c r="T24" s="7"/>
      <c r="U24" s="7" t="s">
        <v>167</v>
      </c>
      <c r="V24" s="7" t="s">
        <v>95</v>
      </c>
      <c r="W24" s="6" t="str">
        <f aca="false">IF(COUNTA(B24:V24)=0,"",IF(OR(B24="",C24="",D24="",F24="",G24="",H24="",I24="",L24="",M24=""),"ناقص",IF(AND(ISNUMBER(F24),ISNUMBER(H24)),"OK","السنة/السعر لازم أرقام")))</f>
        <v>OK</v>
      </c>
      <c r="X24" s="6" t="str">
        <f aca="false">IF(B24="","",B24&amp;" "&amp;C24&amp;" "&amp;D24&amp;" "&amp;E24&amp;" "&amp;F24&amp;" "&amp;G24&amp;" "&amp;I24&amp;" "&amp;L24&amp;" "&amp;M24&amp;" سعر "&amp;H24&amp;" جنيه "&amp;U24)</f>
        <v>MG إم جي HS HEV HS هايبرد 2027 جديد SUV أوتوماتيك هايبرد سعر 1650000 جنيه محرك هايبرد، موديل 2027</v>
      </c>
    </row>
    <row r="25" customFormat="false" ht="35.05" hidden="false" customHeight="false" outlineLevel="0" collapsed="false">
      <c r="A25" s="6" t="s">
        <v>168</v>
      </c>
      <c r="B25" s="7" t="s">
        <v>138</v>
      </c>
      <c r="C25" s="6" t="str">
        <f aca="false">IF(B25="","",IFERROR(INDEX(Lists!$K$2:$K$60,MATCH(B25,Lists!$J$2:$J$60,0)),""))</f>
        <v>إم جي</v>
      </c>
      <c r="D25" s="7" t="s">
        <v>169</v>
      </c>
      <c r="E25" s="7" t="s">
        <v>170</v>
      </c>
      <c r="F25" s="7" t="n">
        <v>2026</v>
      </c>
      <c r="G25" s="7" t="s">
        <v>74</v>
      </c>
      <c r="H25" s="8" t="n">
        <v>1750000</v>
      </c>
      <c r="I25" s="7" t="s">
        <v>75</v>
      </c>
      <c r="J25" s="9"/>
      <c r="K25" s="7"/>
      <c r="L25" s="7" t="s">
        <v>76</v>
      </c>
      <c r="M25" s="7" t="s">
        <v>77</v>
      </c>
      <c r="N25" s="7"/>
      <c r="O25" s="7" t="n">
        <v>5</v>
      </c>
      <c r="P25" s="7"/>
      <c r="Q25" s="7"/>
      <c r="R25" s="7"/>
      <c r="S25" s="7"/>
      <c r="T25" s="7"/>
      <c r="U25" s="7"/>
      <c r="V25" s="7" t="s">
        <v>95</v>
      </c>
      <c r="W25" s="6" t="str">
        <f aca="false">IF(COUNTA(B25:V25)=0,"",IF(OR(B25="",C25="",D25="",F25="",G25="",H25="",I25="",L25="",M25=""),"ناقص",IF(AND(ISNUMBER(F25),ISNUMBER(H25)),"OK","السنة/السعر لازم أرقام")))</f>
        <v>OK</v>
      </c>
      <c r="X25" s="6" t="str">
        <f aca="false">IF(B25="","",B25&amp;" "&amp;C25&amp;" "&amp;D25&amp;" "&amp;E25&amp;" "&amp;F25&amp;" "&amp;G25&amp;" "&amp;I25&amp;" "&amp;L25&amp;" "&amp;M25&amp;" سعر "&amp;H25&amp;" جنيه "&amp;U25)</f>
        <v>MG إم جي 7 Trophy إم جي 7 تروفي 2026 جديد سيدان أوتوماتيك بنزين سعر 1750000 جنيه </v>
      </c>
    </row>
    <row r="26" customFormat="false" ht="35.05" hidden="false" customHeight="false" outlineLevel="0" collapsed="false">
      <c r="A26" s="6" t="s">
        <v>171</v>
      </c>
      <c r="B26" s="7" t="s">
        <v>138</v>
      </c>
      <c r="C26" s="6" t="str">
        <f aca="false">IF(B26="","",IFERROR(INDEX(Lists!$K$2:$K$60,MATCH(B26,Lists!$J$2:$J$60,0)),""))</f>
        <v>إم جي</v>
      </c>
      <c r="D26" s="7" t="s">
        <v>172</v>
      </c>
      <c r="E26" s="7" t="s">
        <v>172</v>
      </c>
      <c r="F26" s="7" t="n">
        <v>2026</v>
      </c>
      <c r="G26" s="7" t="s">
        <v>74</v>
      </c>
      <c r="H26" s="8" t="n">
        <v>1960000</v>
      </c>
      <c r="I26" s="7" t="s">
        <v>110</v>
      </c>
      <c r="J26" s="9"/>
      <c r="K26" s="7"/>
      <c r="L26" s="7" t="s">
        <v>76</v>
      </c>
      <c r="M26" s="7" t="s">
        <v>77</v>
      </c>
      <c r="N26" s="7"/>
      <c r="O26" s="7"/>
      <c r="P26" s="7"/>
      <c r="Q26" s="7"/>
      <c r="R26" s="7"/>
      <c r="S26" s="7"/>
      <c r="T26" s="7"/>
      <c r="U26" s="7"/>
      <c r="V26" s="7" t="s">
        <v>95</v>
      </c>
      <c r="W26" s="6" t="str">
        <f aca="false">IF(COUNTA(B26:V26)=0,"",IF(OR(B26="",C26="",D26="",F26="",G26="",H26="",I26="",L26="",M26=""),"ناقص",IF(AND(ISNUMBER(F26),ISNUMBER(H26)),"OK","السنة/السعر لازم أرقام")))</f>
        <v>OK</v>
      </c>
      <c r="X26" s="6" t="str">
        <f aca="false">IF(B26="","",B26&amp;" "&amp;C26&amp;" "&amp;D26&amp;" "&amp;E26&amp;" "&amp;F26&amp;" "&amp;G26&amp;" "&amp;I26&amp;" "&amp;L26&amp;" "&amp;M26&amp;" سعر "&amp;H26&amp;" جنيه "&amp;U26)</f>
        <v>MG إم جي RX9 RX9 2026 جديد SUV أوتوماتيك بنزين سعر 1960000 جنيه </v>
      </c>
    </row>
    <row r="27" customFormat="false" ht="35.05" hidden="false" customHeight="false" outlineLevel="0" collapsed="false">
      <c r="A27" s="6" t="s">
        <v>173</v>
      </c>
      <c r="B27" s="7" t="s">
        <v>174</v>
      </c>
      <c r="C27" s="6" t="str">
        <f aca="false">IF(B27="","",IFERROR(INDEX(Lists!$K$2:$K$60,MATCH(B27,Lists!$J$2:$J$60,0)),""))</f>
        <v>ديبال</v>
      </c>
      <c r="D27" s="7" t="s">
        <v>175</v>
      </c>
      <c r="E27" s="7" t="s">
        <v>176</v>
      </c>
      <c r="F27" s="7" t="n">
        <v>2026</v>
      </c>
      <c r="G27" s="7" t="s">
        <v>74</v>
      </c>
      <c r="H27" s="8" t="n">
        <v>1625000</v>
      </c>
      <c r="I27" s="7" t="s">
        <v>102</v>
      </c>
      <c r="J27" s="9"/>
      <c r="K27" s="7"/>
      <c r="L27" s="7" t="s">
        <v>76</v>
      </c>
      <c r="M27" s="7" t="s">
        <v>88</v>
      </c>
      <c r="N27" s="7"/>
      <c r="O27" s="7" t="n">
        <v>5</v>
      </c>
      <c r="P27" s="7"/>
      <c r="Q27" s="7"/>
      <c r="R27" s="7"/>
      <c r="S27" s="7"/>
      <c r="T27" s="7"/>
      <c r="U27" s="7" t="s">
        <v>177</v>
      </c>
      <c r="V27" s="7" t="s">
        <v>95</v>
      </c>
      <c r="W27" s="6" t="str">
        <f aca="false">IF(COUNTA(B27:V27)=0,"",IF(OR(B27="",C27="",D27="",F27="",G27="",H27="",I27="",L27="",M27=""),"ناقص",IF(AND(ISNUMBER(F27),ISNUMBER(H27)),"OK","السنة/السعر لازم أرقام")))</f>
        <v>OK</v>
      </c>
      <c r="X27" s="6" t="str">
        <f aca="false">IF(B27="","",B27&amp;" "&amp;C27&amp;" "&amp;D27&amp;" "&amp;E27&amp;" "&amp;F27&amp;" "&amp;G27&amp;" "&amp;I27&amp;" "&amp;L27&amp;" "&amp;M27&amp;" سعر "&amp;H27&amp;" جنيه "&amp;U27)</f>
        <v>Deepal ديبال S05 REEV S05 مدى ممتد 2026 جديد كروس أوفر أوتوماتيك هايبرد سعر 1625000 جنيه نسخة المدى الممتد REEV</v>
      </c>
    </row>
    <row r="28" customFormat="false" ht="35.05" hidden="false" customHeight="false" outlineLevel="0" collapsed="false">
      <c r="A28" s="6" t="s">
        <v>178</v>
      </c>
      <c r="B28" s="7" t="s">
        <v>174</v>
      </c>
      <c r="C28" s="6" t="str">
        <f aca="false">IF(B28="","",IFERROR(INDEX(Lists!$K$2:$K$60,MATCH(B28,Lists!$J$2:$J$60,0)),""))</f>
        <v>ديبال</v>
      </c>
      <c r="D28" s="7" t="s">
        <v>179</v>
      </c>
      <c r="E28" s="7" t="s">
        <v>180</v>
      </c>
      <c r="F28" s="7" t="n">
        <v>2026</v>
      </c>
      <c r="G28" s="7" t="s">
        <v>74</v>
      </c>
      <c r="H28" s="8" t="n">
        <v>1775000</v>
      </c>
      <c r="I28" s="7" t="s">
        <v>102</v>
      </c>
      <c r="J28" s="9" t="n">
        <v>0</v>
      </c>
      <c r="K28" s="7"/>
      <c r="L28" s="7" t="s">
        <v>76</v>
      </c>
      <c r="M28" s="7" t="s">
        <v>181</v>
      </c>
      <c r="N28" s="7" t="n">
        <v>0</v>
      </c>
      <c r="O28" s="7" t="n">
        <v>5</v>
      </c>
      <c r="P28" s="7"/>
      <c r="Q28" s="7"/>
      <c r="R28" s="7"/>
      <c r="S28" s="7"/>
      <c r="T28" s="7"/>
      <c r="U28" s="7" t="s">
        <v>182</v>
      </c>
      <c r="V28" s="7" t="s">
        <v>95</v>
      </c>
      <c r="W28" s="6" t="str">
        <f aca="false">IF(COUNTA(B28:V28)=0,"",IF(OR(B28="",C28="",D28="",F28="",G28="",H28="",I28="",L28="",M28=""),"ناقص",IF(AND(ISNUMBER(F28),ISNUMBER(H28)),"OK","السنة/السعر لازم أرقام")))</f>
        <v>OK</v>
      </c>
      <c r="X28" s="6" t="str">
        <f aca="false">IF(B28="","",B28&amp;" "&amp;C28&amp;" "&amp;D28&amp;" "&amp;E28&amp;" "&amp;F28&amp;" "&amp;G28&amp;" "&amp;I28&amp;" "&amp;L28&amp;" "&amp;M28&amp;" سعر "&amp;H28&amp;" جنيه "&amp;U28)</f>
        <v>Deepal ديبال S05 BEV S05 كهرباء 2026 جديد كروس أوفر أوتوماتيك كهرباء سعر 1775000 جنيه كهربائية بالكامل BEV</v>
      </c>
    </row>
    <row r="29" customFormat="false" ht="35.05" hidden="false" customHeight="false" outlineLevel="0" collapsed="false">
      <c r="A29" s="6" t="s">
        <v>183</v>
      </c>
      <c r="B29" s="7" t="s">
        <v>184</v>
      </c>
      <c r="C29" s="6" t="str">
        <f aca="false">IF(B29="","",IFERROR(INDEX(Lists!$K$2:$K$60,MATCH(B29,Lists!$J$2:$J$60,0)),""))</f>
        <v>شانجان</v>
      </c>
      <c r="D29" s="7" t="s">
        <v>185</v>
      </c>
      <c r="E29" s="7" t="s">
        <v>186</v>
      </c>
      <c r="F29" s="7" t="n">
        <v>2026</v>
      </c>
      <c r="G29" s="7" t="s">
        <v>74</v>
      </c>
      <c r="H29" s="8" t="n">
        <v>1500000</v>
      </c>
      <c r="I29" s="7" t="s">
        <v>110</v>
      </c>
      <c r="J29" s="9"/>
      <c r="K29" s="7"/>
      <c r="L29" s="7" t="s">
        <v>76</v>
      </c>
      <c r="M29" s="7" t="s">
        <v>77</v>
      </c>
      <c r="N29" s="7"/>
      <c r="O29" s="7" t="n">
        <v>5</v>
      </c>
      <c r="P29" s="7"/>
      <c r="Q29" s="7"/>
      <c r="R29" s="7"/>
      <c r="S29" s="7"/>
      <c r="T29" s="7"/>
      <c r="U29" s="7"/>
      <c r="V29" s="7" t="s">
        <v>95</v>
      </c>
      <c r="W29" s="6" t="str">
        <f aca="false">IF(COUNTA(B29:V29)=0,"",IF(OR(B29="",C29="",D29="",F29="",G29="",H29="",I29="",L29="",M29=""),"ناقص",IF(AND(ISNUMBER(F29),ISNUMBER(H29)),"OK","السنة/السعر لازم أرقام")))</f>
        <v>OK</v>
      </c>
      <c r="X29" s="6" t="str">
        <f aca="false">IF(B29="","",B29&amp;" "&amp;C29&amp;" "&amp;D29&amp;" "&amp;E29&amp;" "&amp;F29&amp;" "&amp;G29&amp;" "&amp;I29&amp;" "&amp;L29&amp;" "&amp;M29&amp;" سعر "&amp;H29&amp;" جنيه "&amp;U29)</f>
        <v>Changan شانجان CS75 Plus Premium CS75 بلس بريميوم 2026 جديد SUV أوتوماتيك بنزين سعر 1500000 جنيه </v>
      </c>
    </row>
    <row r="30" customFormat="false" ht="35.05" hidden="false" customHeight="false" outlineLevel="0" collapsed="false">
      <c r="A30" s="6" t="s">
        <v>187</v>
      </c>
      <c r="B30" s="7" t="s">
        <v>184</v>
      </c>
      <c r="C30" s="6" t="str">
        <f aca="false">IF(B30="","",IFERROR(INDEX(Lists!$K$2:$K$60,MATCH(B30,Lists!$J$2:$J$60,0)),""))</f>
        <v>شانجان</v>
      </c>
      <c r="D30" s="7" t="s">
        <v>188</v>
      </c>
      <c r="E30" s="7" t="s">
        <v>189</v>
      </c>
      <c r="F30" s="7" t="n">
        <v>2026</v>
      </c>
      <c r="G30" s="7" t="s">
        <v>74</v>
      </c>
      <c r="H30" s="8" t="n">
        <v>1650000</v>
      </c>
      <c r="I30" s="7" t="s">
        <v>110</v>
      </c>
      <c r="J30" s="9"/>
      <c r="K30" s="7"/>
      <c r="L30" s="7" t="s">
        <v>76</v>
      </c>
      <c r="M30" s="7" t="s">
        <v>77</v>
      </c>
      <c r="N30" s="7"/>
      <c r="O30" s="7" t="n">
        <v>5</v>
      </c>
      <c r="P30" s="7"/>
      <c r="Q30" s="7"/>
      <c r="R30" s="7"/>
      <c r="S30" s="7"/>
      <c r="T30" s="7"/>
      <c r="U30" s="7"/>
      <c r="V30" s="7" t="s">
        <v>95</v>
      </c>
      <c r="W30" s="6" t="str">
        <f aca="false">IF(COUNTA(B30:V30)=0,"",IF(OR(B30="",C30="",D30="",F30="",G30="",H30="",I30="",L30="",M30=""),"ناقص",IF(AND(ISNUMBER(F30),ISNUMBER(H30)),"OK","السنة/السعر لازم أرقام")))</f>
        <v>OK</v>
      </c>
      <c r="X30" s="6" t="str">
        <f aca="false">IF(B30="","",B30&amp;" "&amp;C30&amp;" "&amp;D30&amp;" "&amp;E30&amp;" "&amp;F30&amp;" "&amp;G30&amp;" "&amp;I30&amp;" "&amp;L30&amp;" "&amp;M30&amp;" سعر "&amp;H30&amp;" جنيه "&amp;U30)</f>
        <v>Changan شانجان CS75 Plus Flagship CS75 بلس فلاج شيب 2026 جديد SUV أوتوماتيك بنزين سعر 1650000 جنيه </v>
      </c>
    </row>
    <row r="31" customFormat="false" ht="35.05" hidden="false" customHeight="false" outlineLevel="0" collapsed="false">
      <c r="A31" s="6" t="s">
        <v>190</v>
      </c>
      <c r="B31" s="7" t="s">
        <v>184</v>
      </c>
      <c r="C31" s="6" t="str">
        <f aca="false">IF(B31="","",IFERROR(INDEX(Lists!$K$2:$K$60,MATCH(B31,Lists!$J$2:$J$60,0)),""))</f>
        <v>شانجان</v>
      </c>
      <c r="D31" s="7" t="s">
        <v>191</v>
      </c>
      <c r="E31" s="7" t="s">
        <v>192</v>
      </c>
      <c r="F31" s="7" t="n">
        <v>2026</v>
      </c>
      <c r="G31" s="7" t="s">
        <v>74</v>
      </c>
      <c r="H31" s="8" t="n">
        <v>1145000</v>
      </c>
      <c r="I31" s="7" t="s">
        <v>102</v>
      </c>
      <c r="J31" s="9"/>
      <c r="K31" s="7"/>
      <c r="L31" s="7" t="s">
        <v>76</v>
      </c>
      <c r="M31" s="7" t="s">
        <v>77</v>
      </c>
      <c r="N31" s="7"/>
      <c r="O31" s="7" t="n">
        <v>5</v>
      </c>
      <c r="P31" s="7"/>
      <c r="Q31" s="7"/>
      <c r="R31" s="7"/>
      <c r="S31" s="7"/>
      <c r="T31" s="7"/>
      <c r="U31" s="7" t="s">
        <v>94</v>
      </c>
      <c r="V31" s="7" t="s">
        <v>95</v>
      </c>
      <c r="W31" s="6" t="str">
        <f aca="false">IF(COUNTA(B31:V31)=0,"",IF(OR(B31="",C31="",D31="",F31="",G31="",H31="",I31="",L31="",M31=""),"ناقص",IF(AND(ISNUMBER(F31),ISNUMBER(H31)),"OK","السنة/السعر لازم أرقام")))</f>
        <v>OK</v>
      </c>
      <c r="X31" s="6" t="str">
        <f aca="false">IF(B31="","",B31&amp;" "&amp;C31&amp;" "&amp;D31&amp;" "&amp;E31&amp;" "&amp;F31&amp;" "&amp;G31&amp;" "&amp;I31&amp;" "&amp;L31&amp;" "&amp;M31&amp;" سعر "&amp;H31&amp;" جنيه "&amp;U31)</f>
        <v>Changan شانجان CS55 Plus Elite CS55 بلس إيليت 2026 جديد كروس أوفر أوتوماتيك بنزين سعر 1145000 جنيه مجمعة محليًا</v>
      </c>
    </row>
    <row r="32" customFormat="false" ht="35.05" hidden="false" customHeight="false" outlineLevel="0" collapsed="false">
      <c r="A32" s="6" t="s">
        <v>193</v>
      </c>
      <c r="B32" s="7" t="s">
        <v>184</v>
      </c>
      <c r="C32" s="6" t="str">
        <f aca="false">IF(B32="","",IFERROR(INDEX(Lists!$K$2:$K$60,MATCH(B32,Lists!$J$2:$J$60,0)),""))</f>
        <v>شانجان</v>
      </c>
      <c r="D32" s="7" t="s">
        <v>194</v>
      </c>
      <c r="E32" s="7" t="s">
        <v>195</v>
      </c>
      <c r="F32" s="7" t="n">
        <v>2026</v>
      </c>
      <c r="G32" s="7" t="s">
        <v>74</v>
      </c>
      <c r="H32" s="8" t="n">
        <v>1275000</v>
      </c>
      <c r="I32" s="7" t="s">
        <v>102</v>
      </c>
      <c r="J32" s="9"/>
      <c r="K32" s="7"/>
      <c r="L32" s="7" t="s">
        <v>76</v>
      </c>
      <c r="M32" s="7" t="s">
        <v>77</v>
      </c>
      <c r="N32" s="7"/>
      <c r="O32" s="7" t="n">
        <v>5</v>
      </c>
      <c r="P32" s="7"/>
      <c r="Q32" s="7"/>
      <c r="R32" s="7"/>
      <c r="S32" s="7"/>
      <c r="T32" s="7"/>
      <c r="U32" s="7" t="s">
        <v>94</v>
      </c>
      <c r="V32" s="7" t="s">
        <v>95</v>
      </c>
      <c r="W32" s="6" t="str">
        <f aca="false">IF(COUNTA(B32:V32)=0,"",IF(OR(B32="",C32="",D32="",F32="",G32="",H32="",I32="",L32="",M32=""),"ناقص",IF(AND(ISNUMBER(F32),ISNUMBER(H32)),"OK","السنة/السعر لازم أرقام")))</f>
        <v>OK</v>
      </c>
      <c r="X32" s="6" t="str">
        <f aca="false">IF(B32="","",B32&amp;" "&amp;C32&amp;" "&amp;D32&amp;" "&amp;E32&amp;" "&amp;F32&amp;" "&amp;G32&amp;" "&amp;I32&amp;" "&amp;L32&amp;" "&amp;M32&amp;" سعر "&amp;H32&amp;" جنيه "&amp;U32)</f>
        <v>Changan شانجان CS55 Plus Premium CS55 بلس بريميوم 2026 جديد كروس أوفر أوتوماتيك بنزين سعر 1275000 جنيه مجمعة محليًا</v>
      </c>
    </row>
    <row r="33" customFormat="false" ht="35.05" hidden="false" customHeight="false" outlineLevel="0" collapsed="false">
      <c r="A33" s="6" t="s">
        <v>196</v>
      </c>
      <c r="B33" s="7" t="s">
        <v>184</v>
      </c>
      <c r="C33" s="6" t="str">
        <f aca="false">IF(B33="","",IFERROR(INDEX(Lists!$K$2:$K$60,MATCH(B33,Lists!$J$2:$J$60,0)),""))</f>
        <v>شانجان</v>
      </c>
      <c r="D33" s="7" t="s">
        <v>197</v>
      </c>
      <c r="E33" s="7" t="s">
        <v>198</v>
      </c>
      <c r="F33" s="7" t="n">
        <v>2026</v>
      </c>
      <c r="G33" s="7" t="s">
        <v>74</v>
      </c>
      <c r="H33" s="8" t="n">
        <v>1350000</v>
      </c>
      <c r="I33" s="7" t="s">
        <v>75</v>
      </c>
      <c r="J33" s="9"/>
      <c r="K33" s="7"/>
      <c r="L33" s="7" t="s">
        <v>76</v>
      </c>
      <c r="M33" s="7" t="s">
        <v>77</v>
      </c>
      <c r="N33" s="7"/>
      <c r="O33" s="7" t="n">
        <v>5</v>
      </c>
      <c r="P33" s="7"/>
      <c r="Q33" s="7"/>
      <c r="R33" s="7"/>
      <c r="S33" s="7"/>
      <c r="T33" s="7"/>
      <c r="U33" s="7" t="s">
        <v>199</v>
      </c>
      <c r="V33" s="7" t="s">
        <v>95</v>
      </c>
      <c r="W33" s="6" t="str">
        <f aca="false">IF(COUNTA(B33:V33)=0,"",IF(OR(B33="",C33="",D33="",F33="",G33="",H33="",I33="",L33="",M33=""),"ناقص",IF(AND(ISNUMBER(F33),ISNUMBER(H33)),"OK","السنة/السعر لازم أرقام")))</f>
        <v>OK</v>
      </c>
      <c r="X33" s="6" t="str">
        <f aca="false">IF(B33="","",B33&amp;" "&amp;C33&amp;" "&amp;D33&amp;" "&amp;E33&amp;" "&amp;F33&amp;" "&amp;G33&amp;" "&amp;I33&amp;" "&amp;L33&amp;" "&amp;M33&amp;" سعر "&amp;H33&amp;" جنيه "&amp;U33)</f>
        <v>Changan شانجان UNI-V Flagship يوني في فلاج شيب 2026 جديد سيدان أوتوماتيك بنزين سعر 1350000 جنيه فئة وحيدة</v>
      </c>
    </row>
    <row r="34" customFormat="false" ht="35.05" hidden="false" customHeight="false" outlineLevel="0" collapsed="false">
      <c r="A34" s="6" t="s">
        <v>200</v>
      </c>
      <c r="B34" s="7" t="s">
        <v>201</v>
      </c>
      <c r="C34" s="6" t="str">
        <f aca="false">IF(B34="","",IFERROR(INDEX(Lists!$K$2:$K$60,MATCH(B34,Lists!$J$2:$J$60,0)),""))</f>
        <v>هافال</v>
      </c>
      <c r="D34" s="7" t="s">
        <v>202</v>
      </c>
      <c r="E34" s="7" t="s">
        <v>203</v>
      </c>
      <c r="F34" s="7" t="n">
        <v>2026</v>
      </c>
      <c r="G34" s="7" t="s">
        <v>74</v>
      </c>
      <c r="H34" s="8" t="n">
        <v>1310000</v>
      </c>
      <c r="I34" s="7" t="s">
        <v>110</v>
      </c>
      <c r="J34" s="9"/>
      <c r="K34" s="7"/>
      <c r="L34" s="7" t="s">
        <v>132</v>
      </c>
      <c r="M34" s="7" t="s">
        <v>77</v>
      </c>
      <c r="N34" s="7"/>
      <c r="O34" s="7" t="n">
        <v>5</v>
      </c>
      <c r="P34" s="7"/>
      <c r="Q34" s="7"/>
      <c r="R34" s="7"/>
      <c r="S34" s="7"/>
      <c r="T34" s="7"/>
      <c r="U34" s="7"/>
      <c r="V34" s="7" t="s">
        <v>95</v>
      </c>
      <c r="W34" s="6" t="str">
        <f aca="false">IF(COUNTA(B34:V34)=0,"",IF(OR(B34="",C34="",D34="",F34="",G34="",H34="",I34="",L34="",M34=""),"ناقص",IF(AND(ISNUMBER(F34),ISNUMBER(H34)),"OK","السنة/السعر لازم أرقام")))</f>
        <v>OK</v>
      </c>
      <c r="X34" s="6" t="str">
        <f aca="false">IF(B34="","",B34&amp;" "&amp;C34&amp;" "&amp;D34&amp;" "&amp;E34&amp;" "&amp;F34&amp;" "&amp;G34&amp;" "&amp;I34&amp;" "&amp;L34&amp;" "&amp;M34&amp;" سعر "&amp;H34&amp;" جنيه "&amp;U34)</f>
        <v>Haval هافال H6 Platinum H6 بلاتينيوم 2026 جديد SUV DCT بنزين سعر 1310000 جنيه </v>
      </c>
    </row>
    <row r="35" customFormat="false" ht="35.05" hidden="false" customHeight="false" outlineLevel="0" collapsed="false">
      <c r="A35" s="6" t="s">
        <v>204</v>
      </c>
      <c r="B35" s="7" t="s">
        <v>201</v>
      </c>
      <c r="C35" s="6" t="str">
        <f aca="false">IF(B35="","",IFERROR(INDEX(Lists!$K$2:$K$60,MATCH(B35,Lists!$J$2:$J$60,0)),""))</f>
        <v>هافال</v>
      </c>
      <c r="D35" s="7" t="s">
        <v>205</v>
      </c>
      <c r="E35" s="7" t="s">
        <v>206</v>
      </c>
      <c r="F35" s="7" t="n">
        <v>2026</v>
      </c>
      <c r="G35" s="7" t="s">
        <v>74</v>
      </c>
      <c r="H35" s="8" t="n">
        <v>1500000</v>
      </c>
      <c r="I35" s="7" t="s">
        <v>110</v>
      </c>
      <c r="J35" s="9"/>
      <c r="K35" s="7"/>
      <c r="L35" s="7" t="s">
        <v>132</v>
      </c>
      <c r="M35" s="7" t="s">
        <v>77</v>
      </c>
      <c r="N35" s="7"/>
      <c r="O35" s="7" t="n">
        <v>5</v>
      </c>
      <c r="P35" s="7"/>
      <c r="Q35" s="7"/>
      <c r="R35" s="7"/>
      <c r="S35" s="7"/>
      <c r="T35" s="7"/>
      <c r="U35" s="7"/>
      <c r="V35" s="7" t="s">
        <v>95</v>
      </c>
      <c r="W35" s="6" t="str">
        <f aca="false">IF(COUNTA(B35:V35)=0,"",IF(OR(B35="",C35="",D35="",F35="",G35="",H35="",I35="",L35="",M35=""),"ناقص",IF(AND(ISNUMBER(F35),ISNUMBER(H35)),"OK","السنة/السعر لازم أرقام")))</f>
        <v>OK</v>
      </c>
      <c r="X35" s="6" t="str">
        <f aca="false">IF(B35="","",B35&amp;" "&amp;C35&amp;" "&amp;D35&amp;" "&amp;E35&amp;" "&amp;F35&amp;" "&amp;G35&amp;" "&amp;I35&amp;" "&amp;L35&amp;" "&amp;M35&amp;" سعر "&amp;H35&amp;" جنيه "&amp;U35)</f>
        <v>Haval هافال H6 Ultra H6 ألترا 2026 جديد SUV DCT بنزين سعر 1500000 جنيه </v>
      </c>
    </row>
    <row r="36" customFormat="false" ht="35.05" hidden="false" customHeight="false" outlineLevel="0" collapsed="false">
      <c r="A36" s="6" t="s">
        <v>207</v>
      </c>
      <c r="B36" s="7" t="s">
        <v>201</v>
      </c>
      <c r="C36" s="6" t="str">
        <f aca="false">IF(B36="","",IFERROR(INDEX(Lists!$K$2:$K$60,MATCH(B36,Lists!$J$2:$J$60,0)),""))</f>
        <v>هافال</v>
      </c>
      <c r="D36" s="7" t="s">
        <v>208</v>
      </c>
      <c r="E36" s="7" t="s">
        <v>209</v>
      </c>
      <c r="F36" s="7" t="n">
        <v>2027</v>
      </c>
      <c r="G36" s="7" t="s">
        <v>74</v>
      </c>
      <c r="H36" s="8" t="n">
        <v>1740000</v>
      </c>
      <c r="I36" s="7" t="s">
        <v>110</v>
      </c>
      <c r="J36" s="9"/>
      <c r="K36" s="7"/>
      <c r="L36" s="7" t="s">
        <v>76</v>
      </c>
      <c r="M36" s="7" t="s">
        <v>88</v>
      </c>
      <c r="N36" s="7"/>
      <c r="O36" s="7" t="n">
        <v>5</v>
      </c>
      <c r="P36" s="7"/>
      <c r="Q36" s="7"/>
      <c r="R36" s="7"/>
      <c r="S36" s="7"/>
      <c r="T36" s="7"/>
      <c r="U36" s="7" t="s">
        <v>210</v>
      </c>
      <c r="V36" s="7" t="s">
        <v>95</v>
      </c>
      <c r="W36" s="6" t="str">
        <f aca="false">IF(COUNTA(B36:V36)=0,"",IF(OR(B36="",C36="",D36="",F36="",G36="",H36="",I36="",L36="",M36=""),"ناقص",IF(AND(ISNUMBER(F36),ISNUMBER(H36)),"OK","السنة/السعر لازم أرقام")))</f>
        <v>OK</v>
      </c>
      <c r="X36" s="6" t="str">
        <f aca="false">IF(B36="","",B36&amp;" "&amp;C36&amp;" "&amp;D36&amp;" "&amp;E36&amp;" "&amp;F36&amp;" "&amp;G36&amp;" "&amp;I36&amp;" "&amp;L36&amp;" "&amp;M36&amp;" سعر "&amp;H36&amp;" جنيه "&amp;U36)</f>
        <v>Haval هافال H7 Ultra Black H7 ألترا بلاك 2027 جديد SUV أوتوماتيك هايبرد سعر 1740000 جنيه نظام دفع هايبرد</v>
      </c>
    </row>
    <row r="37" customFormat="false" ht="35.05" hidden="false" customHeight="false" outlineLevel="0" collapsed="false">
      <c r="A37" s="6" t="s">
        <v>211</v>
      </c>
      <c r="B37" s="7" t="s">
        <v>201</v>
      </c>
      <c r="C37" s="6" t="str">
        <f aca="false">IF(B37="","",IFERROR(INDEX(Lists!$K$2:$K$60,MATCH(B37,Lists!$J$2:$J$60,0)),""))</f>
        <v>هافال</v>
      </c>
      <c r="D37" s="7" t="s">
        <v>212</v>
      </c>
      <c r="E37" s="7" t="s">
        <v>213</v>
      </c>
      <c r="F37" s="7" t="n">
        <v>2027</v>
      </c>
      <c r="G37" s="7" t="s">
        <v>74</v>
      </c>
      <c r="H37" s="8" t="n">
        <v>1000000</v>
      </c>
      <c r="I37" s="7" t="s">
        <v>102</v>
      </c>
      <c r="J37" s="9"/>
      <c r="K37" s="7"/>
      <c r="L37" s="7" t="s">
        <v>76</v>
      </c>
      <c r="M37" s="7" t="s">
        <v>77</v>
      </c>
      <c r="N37" s="7"/>
      <c r="O37" s="7" t="n">
        <v>5</v>
      </c>
      <c r="P37" s="7"/>
      <c r="Q37" s="7"/>
      <c r="R37" s="7"/>
      <c r="S37" s="7"/>
      <c r="T37" s="7"/>
      <c r="U37" s="7" t="s">
        <v>94</v>
      </c>
      <c r="V37" s="7" t="s">
        <v>95</v>
      </c>
      <c r="W37" s="6" t="str">
        <f aca="false">IF(COUNTA(B37:V37)=0,"",IF(OR(B37="",C37="",D37="",F37="",G37="",H37="",I37="",L37="",M37=""),"ناقص",IF(AND(ISNUMBER(F37),ISNUMBER(H37)),"OK","السنة/السعر لازم أرقام")))</f>
        <v>OK</v>
      </c>
      <c r="X37" s="6" t="str">
        <f aca="false">IF(B37="","",B37&amp;" "&amp;C37&amp;" "&amp;D37&amp;" "&amp;E37&amp;" "&amp;F37&amp;" "&amp;G37&amp;" "&amp;I37&amp;" "&amp;L37&amp;" "&amp;M37&amp;" سعر "&amp;H37&amp;" جنيه "&amp;U37)</f>
        <v>Haval هافال Jolion Standard جوليان ستاندرد 2027 جديد كروس أوفر أوتوماتيك بنزين سعر 1000000 جنيه مجمعة محليًا</v>
      </c>
    </row>
    <row r="38" customFormat="false" ht="35.05" hidden="false" customHeight="false" outlineLevel="0" collapsed="false">
      <c r="A38" s="6" t="s">
        <v>214</v>
      </c>
      <c r="B38" s="7" t="s">
        <v>201</v>
      </c>
      <c r="C38" s="6" t="str">
        <f aca="false">IF(B38="","",IFERROR(INDEX(Lists!$K$2:$K$60,MATCH(B38,Lists!$J$2:$J$60,0)),""))</f>
        <v>هافال</v>
      </c>
      <c r="D38" s="7" t="s">
        <v>215</v>
      </c>
      <c r="E38" s="7" t="s">
        <v>216</v>
      </c>
      <c r="F38" s="7" t="n">
        <v>2027</v>
      </c>
      <c r="G38" s="7" t="s">
        <v>74</v>
      </c>
      <c r="H38" s="8" t="n">
        <v>1155000</v>
      </c>
      <c r="I38" s="7" t="s">
        <v>102</v>
      </c>
      <c r="J38" s="9"/>
      <c r="K38" s="7"/>
      <c r="L38" s="7" t="s">
        <v>76</v>
      </c>
      <c r="M38" s="7" t="s">
        <v>77</v>
      </c>
      <c r="N38" s="7"/>
      <c r="O38" s="7" t="n">
        <v>5</v>
      </c>
      <c r="P38" s="7"/>
      <c r="Q38" s="7"/>
      <c r="R38" s="7"/>
      <c r="S38" s="7"/>
      <c r="T38" s="7"/>
      <c r="U38" s="7" t="s">
        <v>94</v>
      </c>
      <c r="V38" s="7" t="s">
        <v>95</v>
      </c>
      <c r="W38" s="6" t="str">
        <f aca="false">IF(COUNTA(B38:V38)=0,"",IF(OR(B38="",C38="",D38="",F38="",G38="",H38="",I38="",L38="",M38=""),"ناقص",IF(AND(ISNUMBER(F38),ISNUMBER(H38)),"OK","السنة/السعر لازم أرقام")))</f>
        <v>OK</v>
      </c>
      <c r="X38" s="6" t="str">
        <f aca="false">IF(B38="","",B38&amp;" "&amp;C38&amp;" "&amp;D38&amp;" "&amp;E38&amp;" "&amp;F38&amp;" "&amp;G38&amp;" "&amp;I38&amp;" "&amp;L38&amp;" "&amp;M38&amp;" سعر "&amp;H38&amp;" جنيه "&amp;U38)</f>
        <v>Haval هافال Jolion High Deluxe جوليان هاي ديلوكس 2027 جديد كروس أوفر أوتوماتيك بنزين سعر 1155000 جنيه مجمعة محليًا</v>
      </c>
    </row>
    <row r="39" customFormat="false" ht="35.05" hidden="false" customHeight="false" outlineLevel="0" collapsed="false">
      <c r="A39" s="6" t="s">
        <v>217</v>
      </c>
      <c r="B39" s="7" t="s">
        <v>218</v>
      </c>
      <c r="C39" s="6" t="str">
        <f aca="false">IF(B39="","",IFERROR(INDEX(Lists!$K$2:$K$60,MATCH(B39,Lists!$J$2:$J$60,0)),""))</f>
        <v>شيري</v>
      </c>
      <c r="D39" s="7" t="s">
        <v>219</v>
      </c>
      <c r="E39" s="7" t="s">
        <v>220</v>
      </c>
      <c r="F39" s="7" t="n">
        <v>2027</v>
      </c>
      <c r="G39" s="7" t="s">
        <v>74</v>
      </c>
      <c r="H39" s="8" t="n">
        <v>690000</v>
      </c>
      <c r="I39" s="7" t="s">
        <v>75</v>
      </c>
      <c r="J39" s="9"/>
      <c r="K39" s="7"/>
      <c r="L39" s="7" t="s">
        <v>76</v>
      </c>
      <c r="M39" s="7" t="s">
        <v>77</v>
      </c>
      <c r="N39" s="7"/>
      <c r="O39" s="7" t="n">
        <v>5</v>
      </c>
      <c r="P39" s="7"/>
      <c r="Q39" s="7"/>
      <c r="R39" s="7"/>
      <c r="S39" s="7"/>
      <c r="T39" s="7"/>
      <c r="U39" s="7" t="s">
        <v>221</v>
      </c>
      <c r="V39" s="7" t="s">
        <v>95</v>
      </c>
      <c r="W39" s="6" t="str">
        <f aca="false">IF(COUNTA(B39:V39)=0,"",IF(OR(B39="",C39="",D39="",F39="",G39="",H39="",I39="",L39="",M39=""),"ناقص",IF(AND(ISNUMBER(F39),ISNUMBER(H39)),"OK","السنة/السعر لازم أرقام")))</f>
        <v>OK</v>
      </c>
      <c r="X39" s="6" t="str">
        <f aca="false">IF(B39="","",B39&amp;" "&amp;C39&amp;" "&amp;D39&amp;" "&amp;E39&amp;" "&amp;F39&amp;" "&amp;G39&amp;" "&amp;I39&amp;" "&amp;L39&amp;" "&amp;M39&amp;" سعر "&amp;H39&amp;" جنيه "&amp;U39)</f>
        <v>Chery شيري Arrizo 5 Basic أريزو 5 بيسك 2027 جديد سيدان أوتوماتيك بنزين سعر 690000 جنيه أرخص فئة</v>
      </c>
    </row>
    <row r="40" customFormat="false" ht="35.05" hidden="false" customHeight="false" outlineLevel="0" collapsed="false">
      <c r="A40" s="6" t="s">
        <v>222</v>
      </c>
      <c r="B40" s="7" t="s">
        <v>218</v>
      </c>
      <c r="C40" s="6" t="str">
        <f aca="false">IF(B40="","",IFERROR(INDEX(Lists!$K$2:$K$60,MATCH(B40,Lists!$J$2:$J$60,0)),""))</f>
        <v>شيري</v>
      </c>
      <c r="D40" s="7" t="s">
        <v>223</v>
      </c>
      <c r="E40" s="7" t="s">
        <v>224</v>
      </c>
      <c r="F40" s="7" t="n">
        <v>2027</v>
      </c>
      <c r="G40" s="7" t="s">
        <v>74</v>
      </c>
      <c r="H40" s="8" t="n">
        <v>775000</v>
      </c>
      <c r="I40" s="7" t="s">
        <v>75</v>
      </c>
      <c r="J40" s="9"/>
      <c r="K40" s="7"/>
      <c r="L40" s="7" t="s">
        <v>225</v>
      </c>
      <c r="M40" s="7" t="s">
        <v>77</v>
      </c>
      <c r="N40" s="7"/>
      <c r="O40" s="7" t="n">
        <v>5</v>
      </c>
      <c r="P40" s="7"/>
      <c r="Q40" s="7"/>
      <c r="R40" s="7"/>
      <c r="S40" s="7"/>
      <c r="T40" s="7"/>
      <c r="U40" s="7"/>
      <c r="V40" s="7" t="s">
        <v>95</v>
      </c>
      <c r="W40" s="6" t="str">
        <f aca="false">IF(COUNTA(B40:V40)=0,"",IF(OR(B40="",C40="",D40="",F40="",G40="",H40="",I40="",L40="",M40=""),"ناقص",IF(AND(ISNUMBER(F40),ISNUMBER(H40)),"OK","السنة/السعر لازم أرقام")))</f>
        <v>OK</v>
      </c>
      <c r="X40" s="6" t="str">
        <f aca="false">IF(B40="","",B40&amp;" "&amp;C40&amp;" "&amp;D40&amp;" "&amp;E40&amp;" "&amp;F40&amp;" "&amp;G40&amp;" "&amp;I40&amp;" "&amp;L40&amp;" "&amp;M40&amp;" سعر "&amp;H40&amp;" جنيه "&amp;U40)</f>
        <v>Chery شيري Arrizo 5 CVT Comfort أريزو 5 كومفورت 2027 جديد سيدان CVT بنزين سعر 775000 جنيه </v>
      </c>
    </row>
    <row r="41" customFormat="false" ht="35.05" hidden="false" customHeight="false" outlineLevel="0" collapsed="false">
      <c r="A41" s="6" t="s">
        <v>226</v>
      </c>
      <c r="B41" s="7" t="s">
        <v>218</v>
      </c>
      <c r="C41" s="6" t="str">
        <f aca="false">IF(B41="","",IFERROR(INDEX(Lists!$K$2:$K$60,MATCH(B41,Lists!$J$2:$J$60,0)),""))</f>
        <v>شيري</v>
      </c>
      <c r="D41" s="7" t="s">
        <v>227</v>
      </c>
      <c r="E41" s="7" t="s">
        <v>228</v>
      </c>
      <c r="F41" s="7" t="n">
        <v>2027</v>
      </c>
      <c r="G41" s="7" t="s">
        <v>74</v>
      </c>
      <c r="H41" s="8" t="n">
        <v>1090000</v>
      </c>
      <c r="I41" s="7" t="s">
        <v>110</v>
      </c>
      <c r="J41" s="9"/>
      <c r="K41" s="7"/>
      <c r="L41" s="7" t="s">
        <v>76</v>
      </c>
      <c r="M41" s="7" t="s">
        <v>77</v>
      </c>
      <c r="N41" s="7"/>
      <c r="O41" s="7" t="n">
        <v>5</v>
      </c>
      <c r="P41" s="7"/>
      <c r="Q41" s="7"/>
      <c r="R41" s="7"/>
      <c r="S41" s="7"/>
      <c r="T41" s="7"/>
      <c r="U41" s="7"/>
      <c r="V41" s="7" t="s">
        <v>95</v>
      </c>
      <c r="W41" s="6" t="str">
        <f aca="false">IF(COUNTA(B41:V41)=0,"",IF(OR(B41="",C41="",D41="",F41="",G41="",H41="",I41="",L41="",M41=""),"ناقص",IF(AND(ISNUMBER(F41),ISNUMBER(H41)),"OK","السنة/السعر لازم أرقام")))</f>
        <v>OK</v>
      </c>
      <c r="X41" s="6" t="str">
        <f aca="false">IF(B41="","",B41&amp;" "&amp;C41&amp;" "&amp;D41&amp;" "&amp;E41&amp;" "&amp;F41&amp;" "&amp;G41&amp;" "&amp;I41&amp;" "&amp;L41&amp;" "&amp;M41&amp;" سعر "&amp;H41&amp;" جنيه "&amp;U41)</f>
        <v>Chery شيري Tiggo 7 Pro Comfort تيجو 7 برو كومفورت 2027 جديد SUV أوتوماتيك بنزين سعر 1090000 جنيه </v>
      </c>
    </row>
    <row r="42" customFormat="false" ht="35.05" hidden="false" customHeight="false" outlineLevel="0" collapsed="false">
      <c r="A42" s="6" t="s">
        <v>229</v>
      </c>
      <c r="B42" s="7" t="s">
        <v>218</v>
      </c>
      <c r="C42" s="6" t="str">
        <f aca="false">IF(B42="","",IFERROR(INDEX(Lists!$K$2:$K$60,MATCH(B42,Lists!$J$2:$J$60,0)),""))</f>
        <v>شيري</v>
      </c>
      <c r="D42" s="7" t="s">
        <v>230</v>
      </c>
      <c r="E42" s="7" t="s">
        <v>231</v>
      </c>
      <c r="F42" s="7" t="n">
        <v>2027</v>
      </c>
      <c r="G42" s="7" t="s">
        <v>74</v>
      </c>
      <c r="H42" s="8" t="n">
        <v>1190000</v>
      </c>
      <c r="I42" s="7" t="s">
        <v>110</v>
      </c>
      <c r="J42" s="9"/>
      <c r="K42" s="7"/>
      <c r="L42" s="7" t="s">
        <v>76</v>
      </c>
      <c r="M42" s="7" t="s">
        <v>77</v>
      </c>
      <c r="N42" s="7"/>
      <c r="O42" s="7" t="n">
        <v>5</v>
      </c>
      <c r="P42" s="7"/>
      <c r="Q42" s="7"/>
      <c r="R42" s="7"/>
      <c r="S42" s="7"/>
      <c r="T42" s="7"/>
      <c r="U42" s="7"/>
      <c r="V42" s="7" t="s">
        <v>95</v>
      </c>
      <c r="W42" s="6" t="str">
        <f aca="false">IF(COUNTA(B42:V42)=0,"",IF(OR(B42="",C42="",D42="",F42="",G42="",H42="",I42="",L42="",M42=""),"ناقص",IF(AND(ISNUMBER(F42),ISNUMBER(H42)),"OK","السنة/السعر لازم أرقام")))</f>
        <v>OK</v>
      </c>
      <c r="X42" s="6" t="str">
        <f aca="false">IF(B42="","",B42&amp;" "&amp;C42&amp;" "&amp;D42&amp;" "&amp;E42&amp;" "&amp;F42&amp;" "&amp;G42&amp;" "&amp;I42&amp;" "&amp;L42&amp;" "&amp;M42&amp;" سعر "&amp;H42&amp;" جنيه "&amp;U42)</f>
        <v>Chery شيري Tiggo 7 Pro Luxury تيجو 7 برو لاكشري 2027 جديد SUV أوتوماتيك بنزين سعر 1190000 جنيه </v>
      </c>
    </row>
    <row r="43" customFormat="false" ht="35.05" hidden="false" customHeight="false" outlineLevel="0" collapsed="false">
      <c r="A43" s="6" t="s">
        <v>232</v>
      </c>
      <c r="B43" s="7" t="s">
        <v>218</v>
      </c>
      <c r="C43" s="6" t="str">
        <f aca="false">IF(B43="","",IFERROR(INDEX(Lists!$K$2:$K$60,MATCH(B43,Lists!$J$2:$J$60,0)),""))</f>
        <v>شيري</v>
      </c>
      <c r="D43" s="7" t="s">
        <v>233</v>
      </c>
      <c r="E43" s="7" t="s">
        <v>234</v>
      </c>
      <c r="F43" s="7" t="n">
        <v>2027</v>
      </c>
      <c r="G43" s="7" t="s">
        <v>74</v>
      </c>
      <c r="H43" s="8" t="n">
        <v>1180000</v>
      </c>
      <c r="I43" s="7" t="s">
        <v>110</v>
      </c>
      <c r="J43" s="9"/>
      <c r="K43" s="7"/>
      <c r="L43" s="7" t="s">
        <v>76</v>
      </c>
      <c r="M43" s="7" t="s">
        <v>77</v>
      </c>
      <c r="N43" s="7"/>
      <c r="O43" s="7" t="n">
        <v>7</v>
      </c>
      <c r="P43" s="7"/>
      <c r="Q43" s="7"/>
      <c r="R43" s="7"/>
      <c r="S43" s="7"/>
      <c r="T43" s="7"/>
      <c r="U43" s="7"/>
      <c r="V43" s="7" t="s">
        <v>95</v>
      </c>
      <c r="W43" s="6" t="str">
        <f aca="false">IF(COUNTA(B43:V43)=0,"",IF(OR(B43="",C43="",D43="",F43="",G43="",H43="",I43="",L43="",M43=""),"ناقص",IF(AND(ISNUMBER(F43),ISNUMBER(H43)),"OK","السنة/السعر لازم أرقام")))</f>
        <v>OK</v>
      </c>
      <c r="X43" s="6" t="str">
        <f aca="false">IF(B43="","",B43&amp;" "&amp;C43&amp;" "&amp;D43&amp;" "&amp;E43&amp;" "&amp;F43&amp;" "&amp;G43&amp;" "&amp;I43&amp;" "&amp;L43&amp;" "&amp;M43&amp;" سعر "&amp;H43&amp;" جنيه "&amp;U43)</f>
        <v>Chery شيري Tiggo 8 Comfort 7 Seats تيجو 8 كومفورت 7 مقاعد 2027 جديد SUV أوتوماتيك بنزين سعر 1180000 جنيه </v>
      </c>
    </row>
    <row r="44" customFormat="false" ht="35.05" hidden="false" customHeight="false" outlineLevel="0" collapsed="false">
      <c r="A44" s="6" t="s">
        <v>235</v>
      </c>
      <c r="B44" s="7" t="s">
        <v>218</v>
      </c>
      <c r="C44" s="6" t="str">
        <f aca="false">IF(B44="","",IFERROR(INDEX(Lists!$K$2:$K$60,MATCH(B44,Lists!$J$2:$J$60,0)),""))</f>
        <v>شيري</v>
      </c>
      <c r="D44" s="7" t="s">
        <v>236</v>
      </c>
      <c r="E44" s="7" t="s">
        <v>237</v>
      </c>
      <c r="F44" s="7" t="n">
        <v>2027</v>
      </c>
      <c r="G44" s="7" t="s">
        <v>74</v>
      </c>
      <c r="H44" s="8" t="n">
        <v>1240000</v>
      </c>
      <c r="I44" s="7" t="s">
        <v>110</v>
      </c>
      <c r="J44" s="9"/>
      <c r="K44" s="7"/>
      <c r="L44" s="7" t="s">
        <v>76</v>
      </c>
      <c r="M44" s="7" t="s">
        <v>77</v>
      </c>
      <c r="N44" s="7"/>
      <c r="O44" s="7" t="n">
        <v>5</v>
      </c>
      <c r="P44" s="7"/>
      <c r="Q44" s="7"/>
      <c r="R44" s="7"/>
      <c r="S44" s="7"/>
      <c r="T44" s="7"/>
      <c r="U44" s="7"/>
      <c r="V44" s="7" t="s">
        <v>95</v>
      </c>
      <c r="W44" s="6" t="str">
        <f aca="false">IF(COUNTA(B44:V44)=0,"",IF(OR(B44="",C44="",D44="",F44="",G44="",H44="",I44="",L44="",M44=""),"ناقص",IF(AND(ISNUMBER(F44),ISNUMBER(H44)),"OK","السنة/السعر لازم أرقام")))</f>
        <v>OK</v>
      </c>
      <c r="X44" s="6" t="str">
        <f aca="false">IF(B44="","",B44&amp;" "&amp;C44&amp;" "&amp;D44&amp;" "&amp;E44&amp;" "&amp;F44&amp;" "&amp;G44&amp;" "&amp;I44&amp;" "&amp;L44&amp;" "&amp;M44&amp;" سعر "&amp;H44&amp;" جنيه "&amp;U44)</f>
        <v>Chery شيري Tiggo 8 Luxury 5 Seats تيجو 8 لاكشري 5 مقاعد 2027 جديد SUV أوتوماتيك بنزين سعر 1240000 جنيه </v>
      </c>
    </row>
    <row r="45" customFormat="false" ht="35.05" hidden="false" customHeight="false" outlineLevel="0" collapsed="false">
      <c r="A45" s="6" t="s">
        <v>238</v>
      </c>
      <c r="B45" s="7" t="s">
        <v>218</v>
      </c>
      <c r="C45" s="6" t="str">
        <f aca="false">IF(B45="","",IFERROR(INDEX(Lists!$K$2:$K$60,MATCH(B45,Lists!$J$2:$J$60,0)),""))</f>
        <v>شيري</v>
      </c>
      <c r="D45" s="7" t="s">
        <v>239</v>
      </c>
      <c r="E45" s="7" t="s">
        <v>240</v>
      </c>
      <c r="F45" s="7" t="n">
        <v>2027</v>
      </c>
      <c r="G45" s="7" t="s">
        <v>74</v>
      </c>
      <c r="H45" s="8" t="n">
        <v>1280000</v>
      </c>
      <c r="I45" s="7" t="s">
        <v>110</v>
      </c>
      <c r="J45" s="9"/>
      <c r="K45" s="7"/>
      <c r="L45" s="7" t="s">
        <v>76</v>
      </c>
      <c r="M45" s="7" t="s">
        <v>77</v>
      </c>
      <c r="N45" s="7"/>
      <c r="O45" s="7" t="n">
        <v>7</v>
      </c>
      <c r="P45" s="7"/>
      <c r="Q45" s="7"/>
      <c r="R45" s="7"/>
      <c r="S45" s="7"/>
      <c r="T45" s="7"/>
      <c r="U45" s="7"/>
      <c r="V45" s="7" t="s">
        <v>95</v>
      </c>
      <c r="W45" s="6" t="str">
        <f aca="false">IF(COUNTA(B45:V45)=0,"",IF(OR(B45="",C45="",D45="",F45="",G45="",H45="",I45="",L45="",M45=""),"ناقص",IF(AND(ISNUMBER(F45),ISNUMBER(H45)),"OK","السنة/السعر لازم أرقام")))</f>
        <v>OK</v>
      </c>
      <c r="X45" s="6" t="str">
        <f aca="false">IF(B45="","",B45&amp;" "&amp;C45&amp;" "&amp;D45&amp;" "&amp;E45&amp;" "&amp;F45&amp;" "&amp;G45&amp;" "&amp;I45&amp;" "&amp;L45&amp;" "&amp;M45&amp;" سعر "&amp;H45&amp;" جنيه "&amp;U45)</f>
        <v>Chery شيري Tiggo 8 Luxury 7 Seats تيجو 8 لاكشري 7 مقاعد 2027 جديد SUV أوتوماتيك بنزين سعر 1280000 جنيه </v>
      </c>
    </row>
    <row r="46" customFormat="false" ht="15" hidden="false" customHeight="false" outlineLevel="0" collapsed="false">
      <c r="A46" s="6" t="s">
        <v>241</v>
      </c>
      <c r="B46" s="7"/>
      <c r="C46" s="6" t="str">
        <f aca="false">IF(B46="","",IFERROR(INDEX(Lists!$K$2:$K$60,MATCH(B46,Lists!$J$2:$J$60,0)),""))</f>
        <v/>
      </c>
      <c r="D46" s="7"/>
      <c r="E46" s="7"/>
      <c r="F46" s="7"/>
      <c r="G46" s="7"/>
      <c r="H46" s="8"/>
      <c r="I46" s="7"/>
      <c r="J46" s="9"/>
      <c r="K46" s="7"/>
      <c r="L46" s="7"/>
      <c r="M46" s="7"/>
      <c r="N46" s="7"/>
      <c r="O46" s="7"/>
      <c r="P46" s="7"/>
      <c r="Q46" s="7"/>
      <c r="R46" s="7"/>
      <c r="S46" s="7"/>
      <c r="T46" s="7"/>
      <c r="U46" s="7"/>
      <c r="V46" s="7"/>
      <c r="W46" s="6" t="str">
        <f aca="false">IF(COUNTA(B46:V46)=0,"",IF(OR(B46="",C46="",D46="",F46="",G46="",H46="",I46="",L46="",M46=""),"ناقص",IF(AND(ISNUMBER(F46),ISNUMBER(H46)),"OK","السنة/السعر لازم أرقام")))</f>
        <v>ناقص</v>
      </c>
      <c r="X46" s="6" t="str">
        <f aca="false">IF(B46="","",B46&amp;" "&amp;C46&amp;" "&amp;D46&amp;" "&amp;E46&amp;" "&amp;F46&amp;" "&amp;G46&amp;" "&amp;I46&amp;" "&amp;L46&amp;" "&amp;M46&amp;" سعر "&amp;H46&amp;" جنيه "&amp;U46)</f>
        <v/>
      </c>
    </row>
    <row r="47" customFormat="false" ht="15" hidden="false" customHeight="false" outlineLevel="0" collapsed="false">
      <c r="A47" s="6" t="s">
        <v>242</v>
      </c>
      <c r="B47" s="7"/>
      <c r="C47" s="6" t="str">
        <f aca="false">IF(B47="","",IFERROR(INDEX(Lists!$K$2:$K$60,MATCH(B47,Lists!$J$2:$J$60,0)),""))</f>
        <v/>
      </c>
      <c r="D47" s="7"/>
      <c r="E47" s="7"/>
      <c r="F47" s="7"/>
      <c r="G47" s="7"/>
      <c r="H47" s="8"/>
      <c r="I47" s="7"/>
      <c r="J47" s="9"/>
      <c r="K47" s="7"/>
      <c r="L47" s="7"/>
      <c r="M47" s="7"/>
      <c r="N47" s="7"/>
      <c r="O47" s="7"/>
      <c r="P47" s="7"/>
      <c r="Q47" s="7"/>
      <c r="R47" s="7"/>
      <c r="S47" s="7"/>
      <c r="T47" s="7"/>
      <c r="U47" s="7"/>
      <c r="V47" s="7"/>
      <c r="W47" s="6" t="str">
        <f aca="false">IF(COUNTA(B47:V47)=0,"",IF(OR(B47="",C47="",D47="",F47="",G47="",H47="",I47="",L47="",M47=""),"ناقص",IF(AND(ISNUMBER(F47),ISNUMBER(H47)),"OK","السنة/السعر لازم أرقام")))</f>
        <v>ناقص</v>
      </c>
      <c r="X47" s="6" t="str">
        <f aca="false">IF(B47="","",B47&amp;" "&amp;C47&amp;" "&amp;D47&amp;" "&amp;E47&amp;" "&amp;F47&amp;" "&amp;G47&amp;" "&amp;I47&amp;" "&amp;L47&amp;" "&amp;M47&amp;" سعر "&amp;H47&amp;" جنيه "&amp;U47)</f>
        <v/>
      </c>
    </row>
    <row r="48" customFormat="false" ht="15" hidden="false" customHeight="false" outlineLevel="0" collapsed="false">
      <c r="A48" s="6" t="s">
        <v>243</v>
      </c>
      <c r="B48" s="7"/>
      <c r="C48" s="6" t="str">
        <f aca="false">IF(B48="","",IFERROR(INDEX(Lists!$K$2:$K$60,MATCH(B48,Lists!$J$2:$J$60,0)),""))</f>
        <v/>
      </c>
      <c r="D48" s="7"/>
      <c r="E48" s="7"/>
      <c r="F48" s="7"/>
      <c r="G48" s="7"/>
      <c r="H48" s="8"/>
      <c r="I48" s="7"/>
      <c r="J48" s="9"/>
      <c r="K48" s="7"/>
      <c r="L48" s="7"/>
      <c r="M48" s="7"/>
      <c r="N48" s="7"/>
      <c r="O48" s="7"/>
      <c r="P48" s="7"/>
      <c r="Q48" s="7"/>
      <c r="R48" s="7"/>
      <c r="S48" s="7"/>
      <c r="T48" s="7"/>
      <c r="U48" s="7"/>
      <c r="V48" s="7"/>
      <c r="W48" s="6" t="str">
        <f aca="false">IF(COUNTA(B48:V48)=0,"",IF(OR(B48="",C48="",D48="",F48="",G48="",H48="",I48="",L48="",M48=""),"ناقص",IF(AND(ISNUMBER(F48),ISNUMBER(H48)),"OK","السنة/السعر لازم أرقام")))</f>
        <v>ناقص</v>
      </c>
      <c r="X48" s="6" t="str">
        <f aca="false">IF(B48="","",B48&amp;" "&amp;C48&amp;" "&amp;D48&amp;" "&amp;E48&amp;" "&amp;F48&amp;" "&amp;G48&amp;" "&amp;I48&amp;" "&amp;L48&amp;" "&amp;M48&amp;" سعر "&amp;H48&amp;" جنيه "&amp;U48)</f>
        <v/>
      </c>
    </row>
    <row r="49" customFormat="false" ht="15" hidden="false" customHeight="false" outlineLevel="0" collapsed="false">
      <c r="A49" s="6" t="s">
        <v>244</v>
      </c>
      <c r="B49" s="7"/>
      <c r="C49" s="6" t="str">
        <f aca="false">IF(B49="","",IFERROR(INDEX(Lists!$K$2:$K$60,MATCH(B49,Lists!$J$2:$J$60,0)),""))</f>
        <v/>
      </c>
      <c r="D49" s="7"/>
      <c r="E49" s="7"/>
      <c r="F49" s="7"/>
      <c r="G49" s="7"/>
      <c r="H49" s="8"/>
      <c r="I49" s="7"/>
      <c r="J49" s="9"/>
      <c r="K49" s="7"/>
      <c r="L49" s="7"/>
      <c r="M49" s="7"/>
      <c r="N49" s="7"/>
      <c r="O49" s="7"/>
      <c r="P49" s="7"/>
      <c r="Q49" s="7"/>
      <c r="R49" s="7"/>
      <c r="S49" s="7"/>
      <c r="T49" s="7"/>
      <c r="U49" s="7"/>
      <c r="V49" s="7"/>
      <c r="W49" s="6" t="str">
        <f aca="false">IF(COUNTA(B49:V49)=0,"",IF(OR(B49="",C49="",D49="",F49="",G49="",H49="",I49="",L49="",M49=""),"ناقص",IF(AND(ISNUMBER(F49),ISNUMBER(H49)),"OK","السنة/السعر لازم أرقام")))</f>
        <v>ناقص</v>
      </c>
      <c r="X49" s="6" t="str">
        <f aca="false">IF(B49="","",B49&amp;" "&amp;C49&amp;" "&amp;D49&amp;" "&amp;E49&amp;" "&amp;F49&amp;" "&amp;G49&amp;" "&amp;I49&amp;" "&amp;L49&amp;" "&amp;M49&amp;" سعر "&amp;H49&amp;" جنيه "&amp;U49)</f>
        <v/>
      </c>
    </row>
    <row r="50" customFormat="false" ht="15" hidden="false" customHeight="false" outlineLevel="0" collapsed="false">
      <c r="A50" s="6" t="s">
        <v>245</v>
      </c>
      <c r="B50" s="7"/>
      <c r="C50" s="6" t="str">
        <f aca="false">IF(B50="","",IFERROR(INDEX(Lists!$K$2:$K$60,MATCH(B50,Lists!$J$2:$J$60,0)),""))</f>
        <v/>
      </c>
      <c r="D50" s="7"/>
      <c r="E50" s="7"/>
      <c r="F50" s="7"/>
      <c r="G50" s="7"/>
      <c r="H50" s="8"/>
      <c r="I50" s="7"/>
      <c r="J50" s="9"/>
      <c r="K50" s="7"/>
      <c r="L50" s="7"/>
      <c r="M50" s="7"/>
      <c r="N50" s="7"/>
      <c r="O50" s="7"/>
      <c r="P50" s="7"/>
      <c r="Q50" s="7"/>
      <c r="R50" s="7"/>
      <c r="S50" s="7"/>
      <c r="T50" s="7"/>
      <c r="U50" s="7"/>
      <c r="V50" s="7"/>
      <c r="W50" s="6" t="str">
        <f aca="false">IF(COUNTA(B50:V50)=0,"",IF(OR(B50="",C50="",D50="",F50="",G50="",H50="",I50="",L50="",M50=""),"ناقص",IF(AND(ISNUMBER(F50),ISNUMBER(H50)),"OK","السنة/السعر لازم أرقام")))</f>
        <v>ناقص</v>
      </c>
      <c r="X50" s="6" t="str">
        <f aca="false">IF(B50="","",B50&amp;" "&amp;C50&amp;" "&amp;D50&amp;" "&amp;E50&amp;" "&amp;F50&amp;" "&amp;G50&amp;" "&amp;I50&amp;" "&amp;L50&amp;" "&amp;M50&amp;" سعر "&amp;H50&amp;" جنيه "&amp;U50)</f>
        <v/>
      </c>
    </row>
    <row r="51" customFormat="false" ht="15" hidden="false" customHeight="false" outlineLevel="0" collapsed="false">
      <c r="A51" s="6" t="s">
        <v>246</v>
      </c>
      <c r="B51" s="7"/>
      <c r="C51" s="6" t="str">
        <f aca="false">IF(B51="","",IFERROR(INDEX(Lists!$K$2:$K$60,MATCH(B51,Lists!$J$2:$J$60,0)),""))</f>
        <v/>
      </c>
      <c r="D51" s="7"/>
      <c r="E51" s="7"/>
      <c r="F51" s="7"/>
      <c r="G51" s="7"/>
      <c r="H51" s="8"/>
      <c r="I51" s="7"/>
      <c r="J51" s="9"/>
      <c r="K51" s="7"/>
      <c r="L51" s="7"/>
      <c r="M51" s="7"/>
      <c r="N51" s="7"/>
      <c r="O51" s="7"/>
      <c r="P51" s="7"/>
      <c r="Q51" s="7"/>
      <c r="R51" s="7"/>
      <c r="S51" s="7"/>
      <c r="T51" s="7"/>
      <c r="U51" s="7"/>
      <c r="V51" s="7"/>
      <c r="W51" s="6" t="str">
        <f aca="false">IF(COUNTA(B51:V51)=0,"",IF(OR(B51="",C51="",D51="",F51="",G51="",H51="",I51="",L51="",M51=""),"ناقص",IF(AND(ISNUMBER(F51),ISNUMBER(H51)),"OK","السنة/السعر لازم أرقام")))</f>
        <v>ناقص</v>
      </c>
      <c r="X51" s="6" t="str">
        <f aca="false">IF(B51="","",B51&amp;" "&amp;C51&amp;" "&amp;D51&amp;" "&amp;E51&amp;" "&amp;F51&amp;" "&amp;G51&amp;" "&amp;I51&amp;" "&amp;L51&amp;" "&amp;M51&amp;" سعر "&amp;H51&amp;" جنيه "&amp;U51)</f>
        <v/>
      </c>
    </row>
    <row r="52" customFormat="false" ht="15" hidden="false" customHeight="false" outlineLevel="0" collapsed="false">
      <c r="A52" s="6" t="s">
        <v>247</v>
      </c>
      <c r="B52" s="7"/>
      <c r="C52" s="6" t="str">
        <f aca="false">IF(B52="","",IFERROR(INDEX(Lists!$K$2:$K$60,MATCH(B52,Lists!$J$2:$J$60,0)),""))</f>
        <v/>
      </c>
      <c r="D52" s="7"/>
      <c r="E52" s="7"/>
      <c r="F52" s="7"/>
      <c r="G52" s="7"/>
      <c r="H52" s="8"/>
      <c r="I52" s="7"/>
      <c r="J52" s="9"/>
      <c r="K52" s="7"/>
      <c r="L52" s="7"/>
      <c r="M52" s="7"/>
      <c r="N52" s="7"/>
      <c r="O52" s="7"/>
      <c r="P52" s="7"/>
      <c r="Q52" s="7"/>
      <c r="R52" s="7"/>
      <c r="S52" s="7"/>
      <c r="T52" s="7"/>
      <c r="U52" s="7"/>
      <c r="V52" s="7"/>
      <c r="W52" s="6" t="str">
        <f aca="false">IF(COUNTA(B52:V52)=0,"",IF(OR(B52="",C52="",D52="",F52="",G52="",H52="",I52="",L52="",M52=""),"ناقص",IF(AND(ISNUMBER(F52),ISNUMBER(H52)),"OK","السنة/السعر لازم أرقام")))</f>
        <v>ناقص</v>
      </c>
      <c r="X52" s="6" t="str">
        <f aca="false">IF(B52="","",B52&amp;" "&amp;C52&amp;" "&amp;D52&amp;" "&amp;E52&amp;" "&amp;F52&amp;" "&amp;G52&amp;" "&amp;I52&amp;" "&amp;L52&amp;" "&amp;M52&amp;" سعر "&amp;H52&amp;" جنيه "&amp;U52)</f>
        <v/>
      </c>
    </row>
    <row r="53" customFormat="false" ht="15" hidden="false" customHeight="false" outlineLevel="0" collapsed="false">
      <c r="A53" s="6" t="s">
        <v>248</v>
      </c>
      <c r="B53" s="7"/>
      <c r="C53" s="6" t="str">
        <f aca="false">IF(B53="","",IFERROR(INDEX(Lists!$K$2:$K$60,MATCH(B53,Lists!$J$2:$J$60,0)),""))</f>
        <v/>
      </c>
      <c r="D53" s="7"/>
      <c r="E53" s="7"/>
      <c r="F53" s="7"/>
      <c r="G53" s="7"/>
      <c r="H53" s="8"/>
      <c r="I53" s="7"/>
      <c r="J53" s="9"/>
      <c r="K53" s="7"/>
      <c r="L53" s="7"/>
      <c r="M53" s="7"/>
      <c r="N53" s="7"/>
      <c r="O53" s="7"/>
      <c r="P53" s="7"/>
      <c r="Q53" s="7"/>
      <c r="R53" s="7"/>
      <c r="S53" s="7"/>
      <c r="T53" s="7"/>
      <c r="U53" s="7"/>
      <c r="V53" s="7"/>
      <c r="W53" s="6" t="str">
        <f aca="false">IF(COUNTA(B53:V53)=0,"",IF(OR(B53="",C53="",D53="",F53="",G53="",H53="",I53="",L53="",M53=""),"ناقص",IF(AND(ISNUMBER(F53),ISNUMBER(H53)),"OK","السنة/السعر لازم أرقام")))</f>
        <v>ناقص</v>
      </c>
      <c r="X53" s="6" t="str">
        <f aca="false">IF(B53="","",B53&amp;" "&amp;C53&amp;" "&amp;D53&amp;" "&amp;E53&amp;" "&amp;F53&amp;" "&amp;G53&amp;" "&amp;I53&amp;" "&amp;L53&amp;" "&amp;M53&amp;" سعر "&amp;H53&amp;" جنيه "&amp;U53)</f>
        <v/>
      </c>
    </row>
    <row r="54" customFormat="false" ht="15" hidden="false" customHeight="false" outlineLevel="0" collapsed="false">
      <c r="A54" s="6" t="s">
        <v>249</v>
      </c>
      <c r="B54" s="7"/>
      <c r="C54" s="6" t="str">
        <f aca="false">IF(B54="","",IFERROR(INDEX(Lists!$K$2:$K$60,MATCH(B54,Lists!$J$2:$J$60,0)),""))</f>
        <v/>
      </c>
      <c r="D54" s="7"/>
      <c r="E54" s="7"/>
      <c r="F54" s="7"/>
      <c r="G54" s="7"/>
      <c r="H54" s="8"/>
      <c r="I54" s="7"/>
      <c r="J54" s="9"/>
      <c r="K54" s="7"/>
      <c r="L54" s="7"/>
      <c r="M54" s="7"/>
      <c r="N54" s="7"/>
      <c r="O54" s="7"/>
      <c r="P54" s="7"/>
      <c r="Q54" s="7"/>
      <c r="R54" s="7"/>
      <c r="S54" s="7"/>
      <c r="T54" s="7"/>
      <c r="U54" s="7"/>
      <c r="V54" s="7"/>
      <c r="W54" s="6" t="str">
        <f aca="false">IF(COUNTA(B54:V54)=0,"",IF(OR(B54="",C54="",D54="",F54="",G54="",H54="",I54="",L54="",M54=""),"ناقص",IF(AND(ISNUMBER(F54),ISNUMBER(H54)),"OK","السنة/السعر لازم أرقام")))</f>
        <v>ناقص</v>
      </c>
      <c r="X54" s="6" t="str">
        <f aca="false">IF(B54="","",B54&amp;" "&amp;C54&amp;" "&amp;D54&amp;" "&amp;E54&amp;" "&amp;F54&amp;" "&amp;G54&amp;" "&amp;I54&amp;" "&amp;L54&amp;" "&amp;M54&amp;" سعر "&amp;H54&amp;" جنيه "&amp;U54)</f>
        <v/>
      </c>
    </row>
    <row r="55" customFormat="false" ht="15" hidden="false" customHeight="false" outlineLevel="0" collapsed="false">
      <c r="A55" s="6" t="s">
        <v>250</v>
      </c>
      <c r="B55" s="7"/>
      <c r="C55" s="6" t="str">
        <f aca="false">IF(B55="","",IFERROR(INDEX(Lists!$K$2:$K$60,MATCH(B55,Lists!$J$2:$J$60,0)),""))</f>
        <v/>
      </c>
      <c r="D55" s="7"/>
      <c r="E55" s="7"/>
      <c r="F55" s="7"/>
      <c r="G55" s="7"/>
      <c r="H55" s="8"/>
      <c r="I55" s="7"/>
      <c r="J55" s="9"/>
      <c r="K55" s="7"/>
      <c r="L55" s="7"/>
      <c r="M55" s="7"/>
      <c r="N55" s="7"/>
      <c r="O55" s="7"/>
      <c r="P55" s="7"/>
      <c r="Q55" s="7"/>
      <c r="R55" s="7"/>
      <c r="S55" s="7"/>
      <c r="T55" s="7"/>
      <c r="U55" s="7"/>
      <c r="V55" s="7"/>
      <c r="W55" s="6" t="str">
        <f aca="false">IF(COUNTA(B55:V55)=0,"",IF(OR(B55="",C55="",D55="",F55="",G55="",H55="",I55="",L55="",M55=""),"ناقص",IF(AND(ISNUMBER(F55),ISNUMBER(H55)),"OK","السنة/السعر لازم أرقام")))</f>
        <v>ناقص</v>
      </c>
      <c r="X55" s="6" t="str">
        <f aca="false">IF(B55="","",B55&amp;" "&amp;C55&amp;" "&amp;D55&amp;" "&amp;E55&amp;" "&amp;F55&amp;" "&amp;G55&amp;" "&amp;I55&amp;" "&amp;L55&amp;" "&amp;M55&amp;" سعر "&amp;H55&amp;" جنيه "&amp;U55)</f>
        <v/>
      </c>
    </row>
    <row r="56" customFormat="false" ht="15" hidden="false" customHeight="false" outlineLevel="0" collapsed="false">
      <c r="A56" s="6" t="s">
        <v>251</v>
      </c>
      <c r="B56" s="7"/>
      <c r="C56" s="6" t="str">
        <f aca="false">IF(B56="","",IFERROR(INDEX(Lists!$K$2:$K$60,MATCH(B56,Lists!$J$2:$J$60,0)),""))</f>
        <v/>
      </c>
      <c r="D56" s="7"/>
      <c r="E56" s="7"/>
      <c r="F56" s="7"/>
      <c r="G56" s="7"/>
      <c r="H56" s="8"/>
      <c r="I56" s="7"/>
      <c r="J56" s="9"/>
      <c r="K56" s="7"/>
      <c r="L56" s="7"/>
      <c r="M56" s="7"/>
      <c r="N56" s="7"/>
      <c r="O56" s="7"/>
      <c r="P56" s="7"/>
      <c r="Q56" s="7"/>
      <c r="R56" s="7"/>
      <c r="S56" s="7"/>
      <c r="T56" s="7"/>
      <c r="U56" s="7"/>
      <c r="V56" s="7"/>
      <c r="W56" s="6" t="str">
        <f aca="false">IF(COUNTA(B56:V56)=0,"",IF(OR(B56="",C56="",D56="",F56="",G56="",H56="",I56="",L56="",M56=""),"ناقص",IF(AND(ISNUMBER(F56),ISNUMBER(H56)),"OK","السنة/السعر لازم أرقام")))</f>
        <v>ناقص</v>
      </c>
      <c r="X56" s="6" t="str">
        <f aca="false">IF(B56="","",B56&amp;" "&amp;C56&amp;" "&amp;D56&amp;" "&amp;E56&amp;" "&amp;F56&amp;" "&amp;G56&amp;" "&amp;I56&amp;" "&amp;L56&amp;" "&amp;M56&amp;" سعر "&amp;H56&amp;" جنيه "&amp;U56)</f>
        <v/>
      </c>
    </row>
    <row r="57" customFormat="false" ht="15" hidden="false" customHeight="false" outlineLevel="0" collapsed="false">
      <c r="A57" s="6" t="s">
        <v>252</v>
      </c>
      <c r="B57" s="7"/>
      <c r="C57" s="6" t="str">
        <f aca="false">IF(B57="","",IFERROR(INDEX(Lists!$K$2:$K$60,MATCH(B57,Lists!$J$2:$J$60,0)),""))</f>
        <v/>
      </c>
      <c r="D57" s="7"/>
      <c r="E57" s="7"/>
      <c r="F57" s="7"/>
      <c r="G57" s="7"/>
      <c r="H57" s="8"/>
      <c r="I57" s="7"/>
      <c r="J57" s="9"/>
      <c r="K57" s="7"/>
      <c r="L57" s="7"/>
      <c r="M57" s="7"/>
      <c r="N57" s="7"/>
      <c r="O57" s="7"/>
      <c r="P57" s="7"/>
      <c r="Q57" s="7"/>
      <c r="R57" s="7"/>
      <c r="S57" s="7"/>
      <c r="T57" s="7"/>
      <c r="U57" s="7"/>
      <c r="V57" s="7"/>
      <c r="W57" s="6" t="str">
        <f aca="false">IF(COUNTA(B57:V57)=0,"",IF(OR(B57="",C57="",D57="",F57="",G57="",H57="",I57="",L57="",M57=""),"ناقص",IF(AND(ISNUMBER(F57),ISNUMBER(H57)),"OK","السنة/السعر لازم أرقام")))</f>
        <v>ناقص</v>
      </c>
      <c r="X57" s="6" t="str">
        <f aca="false">IF(B57="","",B57&amp;" "&amp;C57&amp;" "&amp;D57&amp;" "&amp;E57&amp;" "&amp;F57&amp;" "&amp;G57&amp;" "&amp;I57&amp;" "&amp;L57&amp;" "&amp;M57&amp;" سعر "&amp;H57&amp;" جنيه "&amp;U57)</f>
        <v/>
      </c>
    </row>
    <row r="58" customFormat="false" ht="15" hidden="false" customHeight="false" outlineLevel="0" collapsed="false">
      <c r="A58" s="6" t="s">
        <v>253</v>
      </c>
      <c r="B58" s="7"/>
      <c r="C58" s="6" t="str">
        <f aca="false">IF(B58="","",IFERROR(INDEX(Lists!$K$2:$K$60,MATCH(B58,Lists!$J$2:$J$60,0)),""))</f>
        <v/>
      </c>
      <c r="D58" s="7"/>
      <c r="E58" s="7"/>
      <c r="F58" s="7"/>
      <c r="G58" s="7"/>
      <c r="H58" s="8"/>
      <c r="I58" s="7"/>
      <c r="J58" s="9"/>
      <c r="K58" s="7"/>
      <c r="L58" s="7"/>
      <c r="M58" s="7"/>
      <c r="N58" s="7"/>
      <c r="O58" s="7"/>
      <c r="P58" s="7"/>
      <c r="Q58" s="7"/>
      <c r="R58" s="7"/>
      <c r="S58" s="7"/>
      <c r="T58" s="7"/>
      <c r="U58" s="7"/>
      <c r="V58" s="7"/>
      <c r="W58" s="6" t="str">
        <f aca="false">IF(COUNTA(B58:V58)=0,"",IF(OR(B58="",C58="",D58="",F58="",G58="",H58="",I58="",L58="",M58=""),"ناقص",IF(AND(ISNUMBER(F58),ISNUMBER(H58)),"OK","السنة/السعر لازم أرقام")))</f>
        <v>ناقص</v>
      </c>
      <c r="X58" s="6" t="str">
        <f aca="false">IF(B58="","",B58&amp;" "&amp;C58&amp;" "&amp;D58&amp;" "&amp;E58&amp;" "&amp;F58&amp;" "&amp;G58&amp;" "&amp;I58&amp;" "&amp;L58&amp;" "&amp;M58&amp;" سعر "&amp;H58&amp;" جنيه "&amp;U58)</f>
        <v/>
      </c>
    </row>
    <row r="59" customFormat="false" ht="15" hidden="false" customHeight="false" outlineLevel="0" collapsed="false">
      <c r="A59" s="6" t="s">
        <v>254</v>
      </c>
      <c r="B59" s="7"/>
      <c r="C59" s="6" t="str">
        <f aca="false">IF(B59="","",IFERROR(INDEX(Lists!$K$2:$K$60,MATCH(B59,Lists!$J$2:$J$60,0)),""))</f>
        <v/>
      </c>
      <c r="D59" s="7"/>
      <c r="E59" s="7"/>
      <c r="F59" s="7"/>
      <c r="G59" s="7"/>
      <c r="H59" s="8"/>
      <c r="I59" s="7"/>
      <c r="J59" s="9"/>
      <c r="K59" s="7"/>
      <c r="L59" s="7"/>
      <c r="M59" s="7"/>
      <c r="N59" s="7"/>
      <c r="O59" s="7"/>
      <c r="P59" s="7"/>
      <c r="Q59" s="7"/>
      <c r="R59" s="7"/>
      <c r="S59" s="7"/>
      <c r="T59" s="7"/>
      <c r="U59" s="7"/>
      <c r="V59" s="7"/>
      <c r="W59" s="6" t="str">
        <f aca="false">IF(COUNTA(B59:V59)=0,"",IF(OR(B59="",C59="",D59="",F59="",G59="",H59="",I59="",L59="",M59=""),"ناقص",IF(AND(ISNUMBER(F59),ISNUMBER(H59)),"OK","السنة/السعر لازم أرقام")))</f>
        <v>ناقص</v>
      </c>
      <c r="X59" s="6" t="str">
        <f aca="false">IF(B59="","",B59&amp;" "&amp;C59&amp;" "&amp;D59&amp;" "&amp;E59&amp;" "&amp;F59&amp;" "&amp;G59&amp;" "&amp;I59&amp;" "&amp;L59&amp;" "&amp;M59&amp;" سعر "&amp;H59&amp;" جنيه "&amp;U59)</f>
        <v/>
      </c>
    </row>
    <row r="60" customFormat="false" ht="15" hidden="false" customHeight="false" outlineLevel="0" collapsed="false">
      <c r="A60" s="6" t="s">
        <v>255</v>
      </c>
      <c r="B60" s="7"/>
      <c r="C60" s="6" t="str">
        <f aca="false">IF(B60="","",IFERROR(INDEX(Lists!$K$2:$K$60,MATCH(B60,Lists!$J$2:$J$60,0)),""))</f>
        <v/>
      </c>
      <c r="D60" s="7"/>
      <c r="E60" s="7"/>
      <c r="F60" s="7"/>
      <c r="G60" s="7"/>
      <c r="H60" s="8"/>
      <c r="I60" s="7"/>
      <c r="J60" s="9"/>
      <c r="K60" s="7"/>
      <c r="L60" s="7"/>
      <c r="M60" s="7"/>
      <c r="N60" s="7"/>
      <c r="O60" s="7"/>
      <c r="P60" s="7"/>
      <c r="Q60" s="7"/>
      <c r="R60" s="7"/>
      <c r="S60" s="7"/>
      <c r="T60" s="7"/>
      <c r="U60" s="7"/>
      <c r="V60" s="7"/>
      <c r="W60" s="6" t="str">
        <f aca="false">IF(COUNTA(B60:V60)=0,"",IF(OR(B60="",C60="",D60="",F60="",G60="",H60="",I60="",L60="",M60=""),"ناقص",IF(AND(ISNUMBER(F60),ISNUMBER(H60)),"OK","السنة/السعر لازم أرقام")))</f>
        <v>ناقص</v>
      </c>
      <c r="X60" s="6" t="str">
        <f aca="false">IF(B60="","",B60&amp;" "&amp;C60&amp;" "&amp;D60&amp;" "&amp;E60&amp;" "&amp;F60&amp;" "&amp;G60&amp;" "&amp;I60&amp;" "&amp;L60&amp;" "&amp;M60&amp;" سعر "&amp;H60&amp;" جنيه "&amp;U60)</f>
        <v/>
      </c>
    </row>
    <row r="61" customFormat="false" ht="15" hidden="false" customHeight="false" outlineLevel="0" collapsed="false">
      <c r="A61" s="6" t="s">
        <v>256</v>
      </c>
      <c r="B61" s="7"/>
      <c r="C61" s="6" t="str">
        <f aca="false">IF(B61="","",IFERROR(INDEX(Lists!$K$2:$K$60,MATCH(B61,Lists!$J$2:$J$60,0)),""))</f>
        <v/>
      </c>
      <c r="D61" s="7"/>
      <c r="E61" s="7"/>
      <c r="F61" s="7"/>
      <c r="G61" s="7"/>
      <c r="H61" s="8"/>
      <c r="I61" s="7"/>
      <c r="J61" s="9"/>
      <c r="K61" s="7"/>
      <c r="L61" s="7"/>
      <c r="M61" s="7"/>
      <c r="N61" s="7"/>
      <c r="O61" s="7"/>
      <c r="P61" s="7"/>
      <c r="Q61" s="7"/>
      <c r="R61" s="7"/>
      <c r="S61" s="7"/>
      <c r="T61" s="7"/>
      <c r="U61" s="7"/>
      <c r="V61" s="7"/>
      <c r="W61" s="6" t="str">
        <f aca="false">IF(COUNTA(B61:V61)=0,"",IF(OR(B61="",C61="",D61="",F61="",G61="",H61="",I61="",L61="",M61=""),"ناقص",IF(AND(ISNUMBER(F61),ISNUMBER(H61)),"OK","السنة/السعر لازم أرقام")))</f>
        <v>ناقص</v>
      </c>
      <c r="X61" s="6" t="str">
        <f aca="false">IF(B61="","",B61&amp;" "&amp;C61&amp;" "&amp;D61&amp;" "&amp;E61&amp;" "&amp;F61&amp;" "&amp;G61&amp;" "&amp;I61&amp;" "&amp;L61&amp;" "&amp;M61&amp;" سعر "&amp;H61&amp;" جنيه "&amp;U61)</f>
        <v/>
      </c>
    </row>
    <row r="62" customFormat="false" ht="15" hidden="false" customHeight="false" outlineLevel="0" collapsed="false">
      <c r="A62" s="6" t="s">
        <v>257</v>
      </c>
      <c r="B62" s="7"/>
      <c r="C62" s="6" t="str">
        <f aca="false">IF(B62="","",IFERROR(INDEX(Lists!$K$2:$K$60,MATCH(B62,Lists!$J$2:$J$60,0)),""))</f>
        <v/>
      </c>
      <c r="D62" s="7"/>
      <c r="E62" s="7"/>
      <c r="F62" s="7"/>
      <c r="G62" s="7"/>
      <c r="H62" s="8"/>
      <c r="I62" s="7"/>
      <c r="J62" s="9"/>
      <c r="K62" s="7"/>
      <c r="L62" s="7"/>
      <c r="M62" s="7"/>
      <c r="N62" s="7"/>
      <c r="O62" s="7"/>
      <c r="P62" s="7"/>
      <c r="Q62" s="7"/>
      <c r="R62" s="7"/>
      <c r="S62" s="7"/>
      <c r="T62" s="7"/>
      <c r="U62" s="7"/>
      <c r="V62" s="7"/>
      <c r="W62" s="6" t="str">
        <f aca="false">IF(COUNTA(B62:V62)=0,"",IF(OR(B62="",C62="",D62="",F62="",G62="",H62="",I62="",L62="",M62=""),"ناقص",IF(AND(ISNUMBER(F62),ISNUMBER(H62)),"OK","السنة/السعر لازم أرقام")))</f>
        <v>ناقص</v>
      </c>
      <c r="X62" s="6" t="str">
        <f aca="false">IF(B62="","",B62&amp;" "&amp;C62&amp;" "&amp;D62&amp;" "&amp;E62&amp;" "&amp;F62&amp;" "&amp;G62&amp;" "&amp;I62&amp;" "&amp;L62&amp;" "&amp;M62&amp;" سعر "&amp;H62&amp;" جنيه "&amp;U62)</f>
        <v/>
      </c>
    </row>
    <row r="63" customFormat="false" ht="15" hidden="false" customHeight="false" outlineLevel="0" collapsed="false">
      <c r="A63" s="6" t="s">
        <v>258</v>
      </c>
      <c r="B63" s="7"/>
      <c r="C63" s="6" t="str">
        <f aca="false">IF(B63="","",IFERROR(INDEX(Lists!$K$2:$K$60,MATCH(B63,Lists!$J$2:$J$60,0)),""))</f>
        <v/>
      </c>
      <c r="D63" s="7"/>
      <c r="E63" s="7"/>
      <c r="F63" s="7"/>
      <c r="G63" s="7"/>
      <c r="H63" s="8"/>
      <c r="I63" s="7"/>
      <c r="J63" s="9"/>
      <c r="K63" s="7"/>
      <c r="L63" s="7"/>
      <c r="M63" s="7"/>
      <c r="N63" s="7"/>
      <c r="O63" s="7"/>
      <c r="P63" s="7"/>
      <c r="Q63" s="7"/>
      <c r="R63" s="7"/>
      <c r="S63" s="7"/>
      <c r="T63" s="7"/>
      <c r="U63" s="7"/>
      <c r="V63" s="7"/>
      <c r="W63" s="6" t="str">
        <f aca="false">IF(COUNTA(B63:V63)=0,"",IF(OR(B63="",C63="",D63="",F63="",G63="",H63="",I63="",L63="",M63=""),"ناقص",IF(AND(ISNUMBER(F63),ISNUMBER(H63)),"OK","السنة/السعر لازم أرقام")))</f>
        <v>ناقص</v>
      </c>
      <c r="X63" s="6" t="str">
        <f aca="false">IF(B63="","",B63&amp;" "&amp;C63&amp;" "&amp;D63&amp;" "&amp;E63&amp;" "&amp;F63&amp;" "&amp;G63&amp;" "&amp;I63&amp;" "&amp;L63&amp;" "&amp;M63&amp;" سعر "&amp;H63&amp;" جنيه "&amp;U63)</f>
        <v/>
      </c>
    </row>
    <row r="64" customFormat="false" ht="15" hidden="false" customHeight="false" outlineLevel="0" collapsed="false">
      <c r="A64" s="6" t="s">
        <v>259</v>
      </c>
      <c r="B64" s="7"/>
      <c r="C64" s="6" t="str">
        <f aca="false">IF(B64="","",IFERROR(INDEX(Lists!$K$2:$K$60,MATCH(B64,Lists!$J$2:$J$60,0)),""))</f>
        <v/>
      </c>
      <c r="D64" s="7"/>
      <c r="E64" s="7"/>
      <c r="F64" s="7"/>
      <c r="G64" s="7"/>
      <c r="H64" s="8"/>
      <c r="I64" s="7"/>
      <c r="J64" s="9"/>
      <c r="K64" s="7"/>
      <c r="L64" s="7"/>
      <c r="M64" s="7"/>
      <c r="N64" s="7"/>
      <c r="O64" s="7"/>
      <c r="P64" s="7"/>
      <c r="Q64" s="7"/>
      <c r="R64" s="7"/>
      <c r="S64" s="7"/>
      <c r="T64" s="7"/>
      <c r="U64" s="7"/>
      <c r="V64" s="7"/>
      <c r="W64" s="6" t="str">
        <f aca="false">IF(COUNTA(B64:V64)=0,"",IF(OR(B64="",C64="",D64="",F64="",G64="",H64="",I64="",L64="",M64=""),"ناقص",IF(AND(ISNUMBER(F64),ISNUMBER(H64)),"OK","السنة/السعر لازم أرقام")))</f>
        <v>ناقص</v>
      </c>
      <c r="X64" s="6" t="str">
        <f aca="false">IF(B64="","",B64&amp;" "&amp;C64&amp;" "&amp;D64&amp;" "&amp;E64&amp;" "&amp;F64&amp;" "&amp;G64&amp;" "&amp;I64&amp;" "&amp;L64&amp;" "&amp;M64&amp;" سعر "&amp;H64&amp;" جنيه "&amp;U64)</f>
        <v/>
      </c>
    </row>
    <row r="65" customFormat="false" ht="15" hidden="false" customHeight="false" outlineLevel="0" collapsed="false">
      <c r="A65" s="6" t="s">
        <v>260</v>
      </c>
      <c r="B65" s="7"/>
      <c r="C65" s="6" t="str">
        <f aca="false">IF(B65="","",IFERROR(INDEX(Lists!$K$2:$K$60,MATCH(B65,Lists!$J$2:$J$60,0)),""))</f>
        <v/>
      </c>
      <c r="D65" s="7"/>
      <c r="E65" s="7"/>
      <c r="F65" s="7"/>
      <c r="G65" s="7"/>
      <c r="H65" s="8"/>
      <c r="I65" s="7"/>
      <c r="J65" s="9"/>
      <c r="K65" s="7"/>
      <c r="L65" s="7"/>
      <c r="M65" s="7"/>
      <c r="N65" s="7"/>
      <c r="O65" s="7"/>
      <c r="P65" s="7"/>
      <c r="Q65" s="7"/>
      <c r="R65" s="7"/>
      <c r="S65" s="7"/>
      <c r="T65" s="7"/>
      <c r="U65" s="7"/>
      <c r="V65" s="7"/>
      <c r="W65" s="6" t="str">
        <f aca="false">IF(COUNTA(B65:V65)=0,"",IF(OR(B65="",C65="",D65="",F65="",G65="",H65="",I65="",L65="",M65=""),"ناقص",IF(AND(ISNUMBER(F65),ISNUMBER(H65)),"OK","السنة/السعر لازم أرقام")))</f>
        <v>ناقص</v>
      </c>
      <c r="X65" s="6" t="str">
        <f aca="false">IF(B65="","",B65&amp;" "&amp;C65&amp;" "&amp;D65&amp;" "&amp;E65&amp;" "&amp;F65&amp;" "&amp;G65&amp;" "&amp;I65&amp;" "&amp;L65&amp;" "&amp;M65&amp;" سعر "&amp;H65&amp;" جنيه "&amp;U65)</f>
        <v/>
      </c>
    </row>
    <row r="66" customFormat="false" ht="15" hidden="false" customHeight="false" outlineLevel="0" collapsed="false">
      <c r="A66" s="6" t="s">
        <v>261</v>
      </c>
      <c r="B66" s="7"/>
      <c r="C66" s="6" t="str">
        <f aca="false">IF(B66="","",IFERROR(INDEX(Lists!$K$2:$K$60,MATCH(B66,Lists!$J$2:$J$60,0)),""))</f>
        <v/>
      </c>
      <c r="D66" s="7"/>
      <c r="E66" s="7"/>
      <c r="F66" s="7"/>
      <c r="G66" s="7"/>
      <c r="H66" s="8"/>
      <c r="I66" s="7"/>
      <c r="J66" s="9"/>
      <c r="K66" s="7"/>
      <c r="L66" s="7"/>
      <c r="M66" s="7"/>
      <c r="N66" s="7"/>
      <c r="O66" s="7"/>
      <c r="P66" s="7"/>
      <c r="Q66" s="7"/>
      <c r="R66" s="7"/>
      <c r="S66" s="7"/>
      <c r="T66" s="7"/>
      <c r="U66" s="7"/>
      <c r="V66" s="7"/>
      <c r="W66" s="6" t="str">
        <f aca="false">IF(COUNTA(B66:V66)=0,"",IF(OR(B66="",C66="",D66="",F66="",G66="",H66="",I66="",L66="",M66=""),"ناقص",IF(AND(ISNUMBER(F66),ISNUMBER(H66)),"OK","السنة/السعر لازم أرقام")))</f>
        <v>ناقص</v>
      </c>
      <c r="X66" s="6" t="str">
        <f aca="false">IF(B66="","",B66&amp;" "&amp;C66&amp;" "&amp;D66&amp;" "&amp;E66&amp;" "&amp;F66&amp;" "&amp;G66&amp;" "&amp;I66&amp;" "&amp;L66&amp;" "&amp;M66&amp;" سعر "&amp;H66&amp;" جنيه "&amp;U66)</f>
        <v/>
      </c>
    </row>
    <row r="67" customFormat="false" ht="15" hidden="false" customHeight="false" outlineLevel="0" collapsed="false">
      <c r="A67" s="6" t="s">
        <v>262</v>
      </c>
      <c r="B67" s="7"/>
      <c r="C67" s="6" t="str">
        <f aca="false">IF(B67="","",IFERROR(INDEX(Lists!$K$2:$K$60,MATCH(B67,Lists!$J$2:$J$60,0)),""))</f>
        <v/>
      </c>
      <c r="D67" s="7"/>
      <c r="E67" s="7"/>
      <c r="F67" s="7"/>
      <c r="G67" s="7"/>
      <c r="H67" s="8"/>
      <c r="I67" s="7"/>
      <c r="J67" s="9"/>
      <c r="K67" s="7"/>
      <c r="L67" s="7"/>
      <c r="M67" s="7"/>
      <c r="N67" s="7"/>
      <c r="O67" s="7"/>
      <c r="P67" s="7"/>
      <c r="Q67" s="7"/>
      <c r="R67" s="7"/>
      <c r="S67" s="7"/>
      <c r="T67" s="7"/>
      <c r="U67" s="7"/>
      <c r="V67" s="7"/>
      <c r="W67" s="6" t="str">
        <f aca="false">IF(COUNTA(B67:V67)=0,"",IF(OR(B67="",C67="",D67="",F67="",G67="",H67="",I67="",L67="",M67=""),"ناقص",IF(AND(ISNUMBER(F67),ISNUMBER(H67)),"OK","السنة/السعر لازم أرقام")))</f>
        <v>ناقص</v>
      </c>
      <c r="X67" s="6" t="str">
        <f aca="false">IF(B67="","",B67&amp;" "&amp;C67&amp;" "&amp;D67&amp;" "&amp;E67&amp;" "&amp;F67&amp;" "&amp;G67&amp;" "&amp;I67&amp;" "&amp;L67&amp;" "&amp;M67&amp;" سعر "&amp;H67&amp;" جنيه "&amp;U67)</f>
        <v/>
      </c>
    </row>
    <row r="68" customFormat="false" ht="15" hidden="false" customHeight="false" outlineLevel="0" collapsed="false">
      <c r="A68" s="6" t="s">
        <v>263</v>
      </c>
      <c r="B68" s="7"/>
      <c r="C68" s="6" t="str">
        <f aca="false">IF(B68="","",IFERROR(INDEX(Lists!$K$2:$K$60,MATCH(B68,Lists!$J$2:$J$60,0)),""))</f>
        <v/>
      </c>
      <c r="D68" s="7"/>
      <c r="E68" s="7"/>
      <c r="F68" s="7"/>
      <c r="G68" s="7"/>
      <c r="H68" s="8"/>
      <c r="I68" s="7"/>
      <c r="J68" s="9"/>
      <c r="K68" s="7"/>
      <c r="L68" s="7"/>
      <c r="M68" s="7"/>
      <c r="N68" s="7"/>
      <c r="O68" s="7"/>
      <c r="P68" s="7"/>
      <c r="Q68" s="7"/>
      <c r="R68" s="7"/>
      <c r="S68" s="7"/>
      <c r="T68" s="7"/>
      <c r="U68" s="7"/>
      <c r="V68" s="7"/>
      <c r="W68" s="6" t="str">
        <f aca="false">IF(COUNTA(B68:V68)=0,"",IF(OR(B68="",C68="",D68="",F68="",G68="",H68="",I68="",L68="",M68=""),"ناقص",IF(AND(ISNUMBER(F68),ISNUMBER(H68)),"OK","السنة/السعر لازم أرقام")))</f>
        <v>ناقص</v>
      </c>
      <c r="X68" s="6" t="str">
        <f aca="false">IF(B68="","",B68&amp;" "&amp;C68&amp;" "&amp;D68&amp;" "&amp;E68&amp;" "&amp;F68&amp;" "&amp;G68&amp;" "&amp;I68&amp;" "&amp;L68&amp;" "&amp;M68&amp;" سعر "&amp;H68&amp;" جنيه "&amp;U68)</f>
        <v/>
      </c>
    </row>
    <row r="69" customFormat="false" ht="15" hidden="false" customHeight="false" outlineLevel="0" collapsed="false">
      <c r="A69" s="6" t="s">
        <v>264</v>
      </c>
      <c r="B69" s="7"/>
      <c r="C69" s="6" t="str">
        <f aca="false">IF(B69="","",IFERROR(INDEX(Lists!$K$2:$K$60,MATCH(B69,Lists!$J$2:$J$60,0)),""))</f>
        <v/>
      </c>
      <c r="D69" s="7"/>
      <c r="E69" s="7"/>
      <c r="F69" s="7"/>
      <c r="G69" s="7"/>
      <c r="H69" s="8"/>
      <c r="I69" s="7"/>
      <c r="J69" s="9"/>
      <c r="K69" s="7"/>
      <c r="L69" s="7"/>
      <c r="M69" s="7"/>
      <c r="N69" s="7"/>
      <c r="O69" s="7"/>
      <c r="P69" s="7"/>
      <c r="Q69" s="7"/>
      <c r="R69" s="7"/>
      <c r="S69" s="7"/>
      <c r="T69" s="7"/>
      <c r="U69" s="7"/>
      <c r="V69" s="7"/>
      <c r="W69" s="6" t="str">
        <f aca="false">IF(COUNTA(B69:V69)=0,"",IF(OR(B69="",C69="",D69="",F69="",G69="",H69="",I69="",L69="",M69=""),"ناقص",IF(AND(ISNUMBER(F69),ISNUMBER(H69)),"OK","السنة/السعر لازم أرقام")))</f>
        <v>ناقص</v>
      </c>
      <c r="X69" s="6" t="str">
        <f aca="false">IF(B69="","",B69&amp;" "&amp;C69&amp;" "&amp;D69&amp;" "&amp;E69&amp;" "&amp;F69&amp;" "&amp;G69&amp;" "&amp;I69&amp;" "&amp;L69&amp;" "&amp;M69&amp;" سعر "&amp;H69&amp;" جنيه "&amp;U69)</f>
        <v/>
      </c>
    </row>
    <row r="70" customFormat="false" ht="15" hidden="false" customHeight="false" outlineLevel="0" collapsed="false">
      <c r="A70" s="6" t="s">
        <v>265</v>
      </c>
      <c r="B70" s="7"/>
      <c r="C70" s="6" t="str">
        <f aca="false">IF(B70="","",IFERROR(INDEX(Lists!$K$2:$K$60,MATCH(B70,Lists!$J$2:$J$60,0)),""))</f>
        <v/>
      </c>
      <c r="D70" s="7"/>
      <c r="E70" s="7"/>
      <c r="F70" s="7"/>
      <c r="G70" s="7"/>
      <c r="H70" s="8"/>
      <c r="I70" s="7"/>
      <c r="J70" s="9"/>
      <c r="K70" s="7"/>
      <c r="L70" s="7"/>
      <c r="M70" s="7"/>
      <c r="N70" s="7"/>
      <c r="O70" s="7"/>
      <c r="P70" s="7"/>
      <c r="Q70" s="7"/>
      <c r="R70" s="7"/>
      <c r="S70" s="7"/>
      <c r="T70" s="7"/>
      <c r="U70" s="7"/>
      <c r="V70" s="7"/>
      <c r="W70" s="6" t="str">
        <f aca="false">IF(COUNTA(B70:V70)=0,"",IF(OR(B70="",C70="",D70="",F70="",G70="",H70="",I70="",L70="",M70=""),"ناقص",IF(AND(ISNUMBER(F70),ISNUMBER(H70)),"OK","السنة/السعر لازم أرقام")))</f>
        <v>ناقص</v>
      </c>
      <c r="X70" s="6" t="str">
        <f aca="false">IF(B70="","",B70&amp;" "&amp;C70&amp;" "&amp;D70&amp;" "&amp;E70&amp;" "&amp;F70&amp;" "&amp;G70&amp;" "&amp;I70&amp;" "&amp;L70&amp;" "&amp;M70&amp;" سعر "&amp;H70&amp;" جنيه "&amp;U70)</f>
        <v/>
      </c>
    </row>
    <row r="71" customFormat="false" ht="15" hidden="false" customHeight="false" outlineLevel="0" collapsed="false">
      <c r="A71" s="6" t="s">
        <v>266</v>
      </c>
      <c r="B71" s="7"/>
      <c r="C71" s="6" t="str">
        <f aca="false">IF(B71="","",IFERROR(INDEX(Lists!$K$2:$K$60,MATCH(B71,Lists!$J$2:$J$60,0)),""))</f>
        <v/>
      </c>
      <c r="D71" s="7"/>
      <c r="E71" s="7"/>
      <c r="F71" s="7"/>
      <c r="G71" s="7"/>
      <c r="H71" s="8"/>
      <c r="I71" s="7"/>
      <c r="J71" s="9"/>
      <c r="K71" s="7"/>
      <c r="L71" s="7"/>
      <c r="M71" s="7"/>
      <c r="N71" s="7"/>
      <c r="O71" s="7"/>
      <c r="P71" s="7"/>
      <c r="Q71" s="7"/>
      <c r="R71" s="7"/>
      <c r="S71" s="7"/>
      <c r="T71" s="7"/>
      <c r="U71" s="7"/>
      <c r="V71" s="7"/>
      <c r="W71" s="6" t="str">
        <f aca="false">IF(COUNTA(B71:V71)=0,"",IF(OR(B71="",C71="",D71="",F71="",G71="",H71="",I71="",L71="",M71=""),"ناقص",IF(AND(ISNUMBER(F71),ISNUMBER(H71)),"OK","السنة/السعر لازم أرقام")))</f>
        <v>ناقص</v>
      </c>
      <c r="X71" s="6" t="str">
        <f aca="false">IF(B71="","",B71&amp;" "&amp;C71&amp;" "&amp;D71&amp;" "&amp;E71&amp;" "&amp;F71&amp;" "&amp;G71&amp;" "&amp;I71&amp;" "&amp;L71&amp;" "&amp;M71&amp;" سعر "&amp;H71&amp;" جنيه "&amp;U71)</f>
        <v/>
      </c>
    </row>
    <row r="72" customFormat="false" ht="15" hidden="false" customHeight="false" outlineLevel="0" collapsed="false">
      <c r="A72" s="6" t="s">
        <v>267</v>
      </c>
      <c r="B72" s="7"/>
      <c r="C72" s="6" t="str">
        <f aca="false">IF(B72="","",IFERROR(INDEX(Lists!$K$2:$K$60,MATCH(B72,Lists!$J$2:$J$60,0)),""))</f>
        <v/>
      </c>
      <c r="D72" s="7"/>
      <c r="E72" s="7"/>
      <c r="F72" s="7"/>
      <c r="G72" s="7"/>
      <c r="H72" s="8"/>
      <c r="I72" s="7"/>
      <c r="J72" s="9"/>
      <c r="K72" s="7"/>
      <c r="L72" s="7"/>
      <c r="M72" s="7"/>
      <c r="N72" s="7"/>
      <c r="O72" s="7"/>
      <c r="P72" s="7"/>
      <c r="Q72" s="7"/>
      <c r="R72" s="7"/>
      <c r="S72" s="7"/>
      <c r="T72" s="7"/>
      <c r="U72" s="7"/>
      <c r="V72" s="7"/>
      <c r="W72" s="6" t="str">
        <f aca="false">IF(COUNTA(B72:V72)=0,"",IF(OR(B72="",C72="",D72="",F72="",G72="",H72="",I72="",L72="",M72=""),"ناقص",IF(AND(ISNUMBER(F72),ISNUMBER(H72)),"OK","السنة/السعر لازم أرقام")))</f>
        <v>ناقص</v>
      </c>
      <c r="X72" s="6" t="str">
        <f aca="false">IF(B72="","",B72&amp;" "&amp;C72&amp;" "&amp;D72&amp;" "&amp;E72&amp;" "&amp;F72&amp;" "&amp;G72&amp;" "&amp;I72&amp;" "&amp;L72&amp;" "&amp;M72&amp;" سعر "&amp;H72&amp;" جنيه "&amp;U72)</f>
        <v/>
      </c>
    </row>
    <row r="73" customFormat="false" ht="15" hidden="false" customHeight="false" outlineLevel="0" collapsed="false">
      <c r="A73" s="6" t="s">
        <v>268</v>
      </c>
      <c r="B73" s="7"/>
      <c r="C73" s="6" t="str">
        <f aca="false">IF(B73="","",IFERROR(INDEX(Lists!$K$2:$K$60,MATCH(B73,Lists!$J$2:$J$60,0)),""))</f>
        <v/>
      </c>
      <c r="D73" s="7"/>
      <c r="E73" s="7"/>
      <c r="F73" s="7"/>
      <c r="G73" s="7"/>
      <c r="H73" s="8"/>
      <c r="I73" s="7"/>
      <c r="J73" s="9"/>
      <c r="K73" s="7"/>
      <c r="L73" s="7"/>
      <c r="M73" s="7"/>
      <c r="N73" s="7"/>
      <c r="O73" s="7"/>
      <c r="P73" s="7"/>
      <c r="Q73" s="7"/>
      <c r="R73" s="7"/>
      <c r="S73" s="7"/>
      <c r="T73" s="7"/>
      <c r="U73" s="7"/>
      <c r="V73" s="7"/>
      <c r="W73" s="6" t="str">
        <f aca="false">IF(COUNTA(B73:V73)=0,"",IF(OR(B73="",C73="",D73="",F73="",G73="",H73="",I73="",L73="",M73=""),"ناقص",IF(AND(ISNUMBER(F73),ISNUMBER(H73)),"OK","السنة/السعر لازم أرقام")))</f>
        <v>ناقص</v>
      </c>
      <c r="X73" s="6" t="str">
        <f aca="false">IF(B73="","",B73&amp;" "&amp;C73&amp;" "&amp;D73&amp;" "&amp;E73&amp;" "&amp;F73&amp;" "&amp;G73&amp;" "&amp;I73&amp;" "&amp;L73&amp;" "&amp;M73&amp;" سعر "&amp;H73&amp;" جنيه "&amp;U73)</f>
        <v/>
      </c>
    </row>
    <row r="74" customFormat="false" ht="15" hidden="false" customHeight="false" outlineLevel="0" collapsed="false">
      <c r="A74" s="6" t="s">
        <v>269</v>
      </c>
      <c r="B74" s="7"/>
      <c r="C74" s="6" t="str">
        <f aca="false">IF(B74="","",IFERROR(INDEX(Lists!$K$2:$K$60,MATCH(B74,Lists!$J$2:$J$60,0)),""))</f>
        <v/>
      </c>
      <c r="D74" s="7"/>
      <c r="E74" s="7"/>
      <c r="F74" s="7"/>
      <c r="G74" s="7"/>
      <c r="H74" s="8"/>
      <c r="I74" s="7"/>
      <c r="J74" s="9"/>
      <c r="K74" s="7"/>
      <c r="L74" s="7"/>
      <c r="M74" s="7"/>
      <c r="N74" s="7"/>
      <c r="O74" s="7"/>
      <c r="P74" s="7"/>
      <c r="Q74" s="7"/>
      <c r="R74" s="7"/>
      <c r="S74" s="7"/>
      <c r="T74" s="7"/>
      <c r="U74" s="7"/>
      <c r="V74" s="7"/>
      <c r="W74" s="6" t="str">
        <f aca="false">IF(COUNTA(B74:V74)=0,"",IF(OR(B74="",C74="",D74="",F74="",G74="",H74="",I74="",L74="",M74=""),"ناقص",IF(AND(ISNUMBER(F74),ISNUMBER(H74)),"OK","السنة/السعر لازم أرقام")))</f>
        <v>ناقص</v>
      </c>
      <c r="X74" s="6" t="str">
        <f aca="false">IF(B74="","",B74&amp;" "&amp;C74&amp;" "&amp;D74&amp;" "&amp;E74&amp;" "&amp;F74&amp;" "&amp;G74&amp;" "&amp;I74&amp;" "&amp;L74&amp;" "&amp;M74&amp;" سعر "&amp;H74&amp;" جنيه "&amp;U74)</f>
        <v/>
      </c>
    </row>
    <row r="75" customFormat="false" ht="15" hidden="false" customHeight="false" outlineLevel="0" collapsed="false">
      <c r="A75" s="6" t="s">
        <v>270</v>
      </c>
      <c r="B75" s="7"/>
      <c r="C75" s="6" t="str">
        <f aca="false">IF(B75="","",IFERROR(INDEX(Lists!$K$2:$K$60,MATCH(B75,Lists!$J$2:$J$60,0)),""))</f>
        <v/>
      </c>
      <c r="D75" s="7"/>
      <c r="E75" s="7"/>
      <c r="F75" s="7"/>
      <c r="G75" s="7"/>
      <c r="H75" s="8"/>
      <c r="I75" s="7"/>
      <c r="J75" s="9"/>
      <c r="K75" s="7"/>
      <c r="L75" s="7"/>
      <c r="M75" s="7"/>
      <c r="N75" s="7"/>
      <c r="O75" s="7"/>
      <c r="P75" s="7"/>
      <c r="Q75" s="7"/>
      <c r="R75" s="7"/>
      <c r="S75" s="7"/>
      <c r="T75" s="7"/>
      <c r="U75" s="7"/>
      <c r="V75" s="7"/>
      <c r="W75" s="6" t="str">
        <f aca="false">IF(COUNTA(B75:V75)=0,"",IF(OR(B75="",C75="",D75="",F75="",G75="",H75="",I75="",L75="",M75=""),"ناقص",IF(AND(ISNUMBER(F75),ISNUMBER(H75)),"OK","السنة/السعر لازم أرقام")))</f>
        <v>ناقص</v>
      </c>
      <c r="X75" s="6" t="str">
        <f aca="false">IF(B75="","",B75&amp;" "&amp;C75&amp;" "&amp;D75&amp;" "&amp;E75&amp;" "&amp;F75&amp;" "&amp;G75&amp;" "&amp;I75&amp;" "&amp;L75&amp;" "&amp;M75&amp;" سعر "&amp;H75&amp;" جنيه "&amp;U75)</f>
        <v/>
      </c>
    </row>
    <row r="76" customFormat="false" ht="15" hidden="false" customHeight="false" outlineLevel="0" collapsed="false">
      <c r="A76" s="6" t="s">
        <v>271</v>
      </c>
      <c r="B76" s="7"/>
      <c r="C76" s="6" t="str">
        <f aca="false">IF(B76="","",IFERROR(INDEX(Lists!$K$2:$K$60,MATCH(B76,Lists!$J$2:$J$60,0)),""))</f>
        <v/>
      </c>
      <c r="D76" s="7"/>
      <c r="E76" s="7"/>
      <c r="F76" s="7"/>
      <c r="G76" s="7"/>
      <c r="H76" s="8"/>
      <c r="I76" s="7"/>
      <c r="J76" s="9"/>
      <c r="K76" s="7"/>
      <c r="L76" s="7"/>
      <c r="M76" s="7"/>
      <c r="N76" s="7"/>
      <c r="O76" s="7"/>
      <c r="P76" s="7"/>
      <c r="Q76" s="7"/>
      <c r="R76" s="7"/>
      <c r="S76" s="7"/>
      <c r="T76" s="7"/>
      <c r="U76" s="7"/>
      <c r="V76" s="7"/>
      <c r="W76" s="6" t="str">
        <f aca="false">IF(COUNTA(B76:V76)=0,"",IF(OR(B76="",C76="",D76="",F76="",G76="",H76="",I76="",L76="",M76=""),"ناقص",IF(AND(ISNUMBER(F76),ISNUMBER(H76)),"OK","السنة/السعر لازم أرقام")))</f>
        <v>ناقص</v>
      </c>
      <c r="X76" s="6" t="str">
        <f aca="false">IF(B76="","",B76&amp;" "&amp;C76&amp;" "&amp;D76&amp;" "&amp;E76&amp;" "&amp;F76&amp;" "&amp;G76&amp;" "&amp;I76&amp;" "&amp;L76&amp;" "&amp;M76&amp;" سعر "&amp;H76&amp;" جنيه "&amp;U76)</f>
        <v/>
      </c>
    </row>
    <row r="77" customFormat="false" ht="15" hidden="false" customHeight="false" outlineLevel="0" collapsed="false">
      <c r="A77" s="6" t="s">
        <v>272</v>
      </c>
      <c r="B77" s="7"/>
      <c r="C77" s="6" t="str">
        <f aca="false">IF(B77="","",IFERROR(INDEX(Lists!$K$2:$K$60,MATCH(B77,Lists!$J$2:$J$60,0)),""))</f>
        <v/>
      </c>
      <c r="D77" s="7"/>
      <c r="E77" s="7"/>
      <c r="F77" s="7"/>
      <c r="G77" s="7"/>
      <c r="H77" s="8"/>
      <c r="I77" s="7"/>
      <c r="J77" s="9"/>
      <c r="K77" s="7"/>
      <c r="L77" s="7"/>
      <c r="M77" s="7"/>
      <c r="N77" s="7"/>
      <c r="O77" s="7"/>
      <c r="P77" s="7"/>
      <c r="Q77" s="7"/>
      <c r="R77" s="7"/>
      <c r="S77" s="7"/>
      <c r="T77" s="7"/>
      <c r="U77" s="7"/>
      <c r="V77" s="7"/>
      <c r="W77" s="6" t="str">
        <f aca="false">IF(COUNTA(B77:V77)=0,"",IF(OR(B77="",C77="",D77="",F77="",G77="",H77="",I77="",L77="",M77=""),"ناقص",IF(AND(ISNUMBER(F77),ISNUMBER(H77)),"OK","السنة/السعر لازم أرقام")))</f>
        <v>ناقص</v>
      </c>
      <c r="X77" s="6" t="str">
        <f aca="false">IF(B77="","",B77&amp;" "&amp;C77&amp;" "&amp;D77&amp;" "&amp;E77&amp;" "&amp;F77&amp;" "&amp;G77&amp;" "&amp;I77&amp;" "&amp;L77&amp;" "&amp;M77&amp;" سعر "&amp;H77&amp;" جنيه "&amp;U77)</f>
        <v/>
      </c>
    </row>
    <row r="78" customFormat="false" ht="15" hidden="false" customHeight="false" outlineLevel="0" collapsed="false">
      <c r="A78" s="6" t="s">
        <v>273</v>
      </c>
      <c r="B78" s="7"/>
      <c r="C78" s="6" t="str">
        <f aca="false">IF(B78="","",IFERROR(INDEX(Lists!$K$2:$K$60,MATCH(B78,Lists!$J$2:$J$60,0)),""))</f>
        <v/>
      </c>
      <c r="D78" s="7"/>
      <c r="E78" s="7"/>
      <c r="F78" s="7"/>
      <c r="G78" s="7"/>
      <c r="H78" s="8"/>
      <c r="I78" s="7"/>
      <c r="J78" s="9"/>
      <c r="K78" s="7"/>
      <c r="L78" s="7"/>
      <c r="M78" s="7"/>
      <c r="N78" s="7"/>
      <c r="O78" s="7"/>
      <c r="P78" s="7"/>
      <c r="Q78" s="7"/>
      <c r="R78" s="7"/>
      <c r="S78" s="7"/>
      <c r="T78" s="7"/>
      <c r="U78" s="7"/>
      <c r="V78" s="7"/>
      <c r="W78" s="6" t="str">
        <f aca="false">IF(COUNTA(B78:V78)=0,"",IF(OR(B78="",C78="",D78="",F78="",G78="",H78="",I78="",L78="",M78=""),"ناقص",IF(AND(ISNUMBER(F78),ISNUMBER(H78)),"OK","السنة/السعر لازم أرقام")))</f>
        <v>ناقص</v>
      </c>
      <c r="X78" s="6" t="str">
        <f aca="false">IF(B78="","",B78&amp;" "&amp;C78&amp;" "&amp;D78&amp;" "&amp;E78&amp;" "&amp;F78&amp;" "&amp;G78&amp;" "&amp;I78&amp;" "&amp;L78&amp;" "&amp;M78&amp;" سعر "&amp;H78&amp;" جنيه "&amp;U78)</f>
        <v/>
      </c>
    </row>
    <row r="79" customFormat="false" ht="15" hidden="false" customHeight="false" outlineLevel="0" collapsed="false">
      <c r="A79" s="6" t="s">
        <v>274</v>
      </c>
      <c r="B79" s="7"/>
      <c r="C79" s="6" t="str">
        <f aca="false">IF(B79="","",IFERROR(INDEX(Lists!$K$2:$K$60,MATCH(B79,Lists!$J$2:$J$60,0)),""))</f>
        <v/>
      </c>
      <c r="D79" s="7"/>
      <c r="E79" s="7"/>
      <c r="F79" s="7"/>
      <c r="G79" s="7"/>
      <c r="H79" s="8"/>
      <c r="I79" s="7"/>
      <c r="J79" s="9"/>
      <c r="K79" s="7"/>
      <c r="L79" s="7"/>
      <c r="M79" s="7"/>
      <c r="N79" s="7"/>
      <c r="O79" s="7"/>
      <c r="P79" s="7"/>
      <c r="Q79" s="7"/>
      <c r="R79" s="7"/>
      <c r="S79" s="7"/>
      <c r="T79" s="7"/>
      <c r="U79" s="7"/>
      <c r="V79" s="7"/>
      <c r="W79" s="6" t="str">
        <f aca="false">IF(COUNTA(B79:V79)=0,"",IF(OR(B79="",C79="",D79="",F79="",G79="",H79="",I79="",L79="",M79=""),"ناقص",IF(AND(ISNUMBER(F79),ISNUMBER(H79)),"OK","السنة/السعر لازم أرقام")))</f>
        <v>ناقص</v>
      </c>
      <c r="X79" s="6" t="str">
        <f aca="false">IF(B79="","",B79&amp;" "&amp;C79&amp;" "&amp;D79&amp;" "&amp;E79&amp;" "&amp;F79&amp;" "&amp;G79&amp;" "&amp;I79&amp;" "&amp;L79&amp;" "&amp;M79&amp;" سعر "&amp;H79&amp;" جنيه "&amp;U79)</f>
        <v/>
      </c>
    </row>
    <row r="80" customFormat="false" ht="15" hidden="false" customHeight="false" outlineLevel="0" collapsed="false">
      <c r="A80" s="6" t="s">
        <v>275</v>
      </c>
      <c r="B80" s="7"/>
      <c r="C80" s="6" t="str">
        <f aca="false">IF(B80="","",IFERROR(INDEX(Lists!$K$2:$K$60,MATCH(B80,Lists!$J$2:$J$60,0)),""))</f>
        <v/>
      </c>
      <c r="D80" s="7"/>
      <c r="E80" s="7"/>
      <c r="F80" s="7"/>
      <c r="G80" s="7"/>
      <c r="H80" s="8"/>
      <c r="I80" s="7"/>
      <c r="J80" s="9"/>
      <c r="K80" s="7"/>
      <c r="L80" s="7"/>
      <c r="M80" s="7"/>
      <c r="N80" s="7"/>
      <c r="O80" s="7"/>
      <c r="P80" s="7"/>
      <c r="Q80" s="7"/>
      <c r="R80" s="7"/>
      <c r="S80" s="7"/>
      <c r="T80" s="7"/>
      <c r="U80" s="7"/>
      <c r="V80" s="7"/>
      <c r="W80" s="6" t="str">
        <f aca="false">IF(COUNTA(B80:V80)=0,"",IF(OR(B80="",C80="",D80="",F80="",G80="",H80="",I80="",L80="",M80=""),"ناقص",IF(AND(ISNUMBER(F80),ISNUMBER(H80)),"OK","السنة/السعر لازم أرقام")))</f>
        <v>ناقص</v>
      </c>
      <c r="X80" s="6" t="str">
        <f aca="false">IF(B80="","",B80&amp;" "&amp;C80&amp;" "&amp;D80&amp;" "&amp;E80&amp;" "&amp;F80&amp;" "&amp;G80&amp;" "&amp;I80&amp;" "&amp;L80&amp;" "&amp;M80&amp;" سعر "&amp;H80&amp;" جنيه "&amp;U80)</f>
        <v/>
      </c>
    </row>
    <row r="81" customFormat="false" ht="15" hidden="false" customHeight="false" outlineLevel="0" collapsed="false">
      <c r="A81" s="6" t="s">
        <v>276</v>
      </c>
      <c r="B81" s="7"/>
      <c r="C81" s="6" t="str">
        <f aca="false">IF(B81="","",IFERROR(INDEX(Lists!$K$2:$K$60,MATCH(B81,Lists!$J$2:$J$60,0)),""))</f>
        <v/>
      </c>
      <c r="D81" s="7"/>
      <c r="E81" s="7"/>
      <c r="F81" s="7"/>
      <c r="G81" s="7"/>
      <c r="H81" s="8"/>
      <c r="I81" s="7"/>
      <c r="J81" s="9"/>
      <c r="K81" s="7"/>
      <c r="L81" s="7"/>
      <c r="M81" s="7"/>
      <c r="N81" s="7"/>
      <c r="O81" s="7"/>
      <c r="P81" s="7"/>
      <c r="Q81" s="7"/>
      <c r="R81" s="7"/>
      <c r="S81" s="7"/>
      <c r="T81" s="7"/>
      <c r="U81" s="7"/>
      <c r="V81" s="7"/>
      <c r="W81" s="6" t="str">
        <f aca="false">IF(COUNTA(B81:V81)=0,"",IF(OR(B81="",C81="",D81="",F81="",G81="",H81="",I81="",L81="",M81=""),"ناقص",IF(AND(ISNUMBER(F81),ISNUMBER(H81)),"OK","السنة/السعر لازم أرقام")))</f>
        <v>ناقص</v>
      </c>
      <c r="X81" s="6" t="str">
        <f aca="false">IF(B81="","",B81&amp;" "&amp;C81&amp;" "&amp;D81&amp;" "&amp;E81&amp;" "&amp;F81&amp;" "&amp;G81&amp;" "&amp;I81&amp;" "&amp;L81&amp;" "&amp;M81&amp;" سعر "&amp;H81&amp;" جنيه "&amp;U81)</f>
        <v/>
      </c>
    </row>
    <row r="82" customFormat="false" ht="15" hidden="false" customHeight="false" outlineLevel="0" collapsed="false">
      <c r="A82" s="6" t="s">
        <v>277</v>
      </c>
      <c r="B82" s="7"/>
      <c r="C82" s="6" t="str">
        <f aca="false">IF(B82="","",IFERROR(INDEX(Lists!$K$2:$K$60,MATCH(B82,Lists!$J$2:$J$60,0)),""))</f>
        <v/>
      </c>
      <c r="D82" s="7"/>
      <c r="E82" s="7"/>
      <c r="F82" s="7"/>
      <c r="G82" s="7"/>
      <c r="H82" s="8"/>
      <c r="I82" s="7"/>
      <c r="J82" s="9"/>
      <c r="K82" s="7"/>
      <c r="L82" s="7"/>
      <c r="M82" s="7"/>
      <c r="N82" s="7"/>
      <c r="O82" s="7"/>
      <c r="P82" s="7"/>
      <c r="Q82" s="7"/>
      <c r="R82" s="7"/>
      <c r="S82" s="7"/>
      <c r="T82" s="7"/>
      <c r="U82" s="7"/>
      <c r="V82" s="7"/>
      <c r="W82" s="6" t="str">
        <f aca="false">IF(COUNTA(B82:V82)=0,"",IF(OR(B82="",C82="",D82="",F82="",G82="",H82="",I82="",L82="",M82=""),"ناقص",IF(AND(ISNUMBER(F82),ISNUMBER(H82)),"OK","السنة/السعر لازم أرقام")))</f>
        <v>ناقص</v>
      </c>
      <c r="X82" s="6" t="str">
        <f aca="false">IF(B82="","",B82&amp;" "&amp;C82&amp;" "&amp;D82&amp;" "&amp;E82&amp;" "&amp;F82&amp;" "&amp;G82&amp;" "&amp;I82&amp;" "&amp;L82&amp;" "&amp;M82&amp;" سعر "&amp;H82&amp;" جنيه "&amp;U82)</f>
        <v/>
      </c>
    </row>
    <row r="83" customFormat="false" ht="15" hidden="false" customHeight="false" outlineLevel="0" collapsed="false">
      <c r="A83" s="6" t="s">
        <v>278</v>
      </c>
      <c r="B83" s="7"/>
      <c r="C83" s="6" t="str">
        <f aca="false">IF(B83="","",IFERROR(INDEX(Lists!$K$2:$K$60,MATCH(B83,Lists!$J$2:$J$60,0)),""))</f>
        <v/>
      </c>
      <c r="D83" s="7"/>
      <c r="E83" s="7"/>
      <c r="F83" s="7"/>
      <c r="G83" s="7"/>
      <c r="H83" s="8"/>
      <c r="I83" s="7"/>
      <c r="J83" s="9"/>
      <c r="K83" s="7"/>
      <c r="L83" s="7"/>
      <c r="M83" s="7"/>
      <c r="N83" s="7"/>
      <c r="O83" s="7"/>
      <c r="P83" s="7"/>
      <c r="Q83" s="7"/>
      <c r="R83" s="7"/>
      <c r="S83" s="7"/>
      <c r="T83" s="7"/>
      <c r="U83" s="7"/>
      <c r="V83" s="7"/>
      <c r="W83" s="6" t="str">
        <f aca="false">IF(COUNTA(B83:V83)=0,"",IF(OR(B83="",C83="",D83="",F83="",G83="",H83="",I83="",L83="",M83=""),"ناقص",IF(AND(ISNUMBER(F83),ISNUMBER(H83)),"OK","السنة/السعر لازم أرقام")))</f>
        <v>ناقص</v>
      </c>
      <c r="X83" s="6" t="str">
        <f aca="false">IF(B83="","",B83&amp;" "&amp;C83&amp;" "&amp;D83&amp;" "&amp;E83&amp;" "&amp;F83&amp;" "&amp;G83&amp;" "&amp;I83&amp;" "&amp;L83&amp;" "&amp;M83&amp;" سعر "&amp;H83&amp;" جنيه "&amp;U83)</f>
        <v/>
      </c>
    </row>
    <row r="84" customFormat="false" ht="15" hidden="false" customHeight="false" outlineLevel="0" collapsed="false">
      <c r="A84" s="6" t="s">
        <v>279</v>
      </c>
      <c r="B84" s="7"/>
      <c r="C84" s="6" t="str">
        <f aca="false">IF(B84="","",IFERROR(INDEX(Lists!$K$2:$K$60,MATCH(B84,Lists!$J$2:$J$60,0)),""))</f>
        <v/>
      </c>
      <c r="D84" s="7"/>
      <c r="E84" s="7"/>
      <c r="F84" s="7"/>
      <c r="G84" s="7"/>
      <c r="H84" s="8"/>
      <c r="I84" s="7"/>
      <c r="J84" s="9"/>
      <c r="K84" s="7"/>
      <c r="L84" s="7"/>
      <c r="M84" s="7"/>
      <c r="N84" s="7"/>
      <c r="O84" s="7"/>
      <c r="P84" s="7"/>
      <c r="Q84" s="7"/>
      <c r="R84" s="7"/>
      <c r="S84" s="7"/>
      <c r="T84" s="7"/>
      <c r="U84" s="7"/>
      <c r="V84" s="7"/>
      <c r="W84" s="6" t="str">
        <f aca="false">IF(COUNTA(B84:V84)=0,"",IF(OR(B84="",C84="",D84="",F84="",G84="",H84="",I84="",L84="",M84=""),"ناقص",IF(AND(ISNUMBER(F84),ISNUMBER(H84)),"OK","السنة/السعر لازم أرقام")))</f>
        <v>ناقص</v>
      </c>
      <c r="X84" s="6" t="str">
        <f aca="false">IF(B84="","",B84&amp;" "&amp;C84&amp;" "&amp;D84&amp;" "&amp;E84&amp;" "&amp;F84&amp;" "&amp;G84&amp;" "&amp;I84&amp;" "&amp;L84&amp;" "&amp;M84&amp;" سعر "&amp;H84&amp;" جنيه "&amp;U84)</f>
        <v/>
      </c>
    </row>
    <row r="85" customFormat="false" ht="15" hidden="false" customHeight="false" outlineLevel="0" collapsed="false">
      <c r="A85" s="6" t="s">
        <v>280</v>
      </c>
      <c r="B85" s="7"/>
      <c r="C85" s="6" t="str">
        <f aca="false">IF(B85="","",IFERROR(INDEX(Lists!$K$2:$K$60,MATCH(B85,Lists!$J$2:$J$60,0)),""))</f>
        <v/>
      </c>
      <c r="D85" s="7"/>
      <c r="E85" s="7"/>
      <c r="F85" s="7"/>
      <c r="G85" s="7"/>
      <c r="H85" s="8"/>
      <c r="I85" s="7"/>
      <c r="J85" s="9"/>
      <c r="K85" s="7"/>
      <c r="L85" s="7"/>
      <c r="M85" s="7"/>
      <c r="N85" s="7"/>
      <c r="O85" s="7"/>
      <c r="P85" s="7"/>
      <c r="Q85" s="7"/>
      <c r="R85" s="7"/>
      <c r="S85" s="7"/>
      <c r="T85" s="7"/>
      <c r="U85" s="7"/>
      <c r="V85" s="7"/>
      <c r="W85" s="6" t="str">
        <f aca="false">IF(COUNTA(B85:V85)=0,"",IF(OR(B85="",C85="",D85="",F85="",G85="",H85="",I85="",L85="",M85=""),"ناقص",IF(AND(ISNUMBER(F85),ISNUMBER(H85)),"OK","السنة/السعر لازم أرقام")))</f>
        <v>ناقص</v>
      </c>
      <c r="X85" s="6" t="str">
        <f aca="false">IF(B85="","",B85&amp;" "&amp;C85&amp;" "&amp;D85&amp;" "&amp;E85&amp;" "&amp;F85&amp;" "&amp;G85&amp;" "&amp;I85&amp;" "&amp;L85&amp;" "&amp;M85&amp;" سعر "&amp;H85&amp;" جنيه "&amp;U85)</f>
        <v/>
      </c>
    </row>
    <row r="86" customFormat="false" ht="15" hidden="false" customHeight="false" outlineLevel="0" collapsed="false">
      <c r="A86" s="6" t="s">
        <v>281</v>
      </c>
      <c r="B86" s="7"/>
      <c r="C86" s="6" t="str">
        <f aca="false">IF(B86="","",IFERROR(INDEX(Lists!$K$2:$K$60,MATCH(B86,Lists!$J$2:$J$60,0)),""))</f>
        <v/>
      </c>
      <c r="D86" s="7"/>
      <c r="E86" s="7"/>
      <c r="F86" s="7"/>
      <c r="G86" s="7"/>
      <c r="H86" s="8"/>
      <c r="I86" s="7"/>
      <c r="J86" s="9"/>
      <c r="K86" s="7"/>
      <c r="L86" s="7"/>
      <c r="M86" s="7"/>
      <c r="N86" s="7"/>
      <c r="O86" s="7"/>
      <c r="P86" s="7"/>
      <c r="Q86" s="7"/>
      <c r="R86" s="7"/>
      <c r="S86" s="7"/>
      <c r="T86" s="7"/>
      <c r="U86" s="7"/>
      <c r="V86" s="7"/>
      <c r="W86" s="6" t="str">
        <f aca="false">IF(COUNTA(B86:V86)=0,"",IF(OR(B86="",C86="",D86="",F86="",G86="",H86="",I86="",L86="",M86=""),"ناقص",IF(AND(ISNUMBER(F86),ISNUMBER(H86)),"OK","السنة/السعر لازم أرقام")))</f>
        <v>ناقص</v>
      </c>
      <c r="X86" s="6" t="str">
        <f aca="false">IF(B86="","",B86&amp;" "&amp;C86&amp;" "&amp;D86&amp;" "&amp;E86&amp;" "&amp;F86&amp;" "&amp;G86&amp;" "&amp;I86&amp;" "&amp;L86&amp;" "&amp;M86&amp;" سعر "&amp;H86&amp;" جنيه "&amp;U86)</f>
        <v/>
      </c>
    </row>
    <row r="87" customFormat="false" ht="15" hidden="false" customHeight="false" outlineLevel="0" collapsed="false">
      <c r="A87" s="6" t="s">
        <v>282</v>
      </c>
      <c r="B87" s="7"/>
      <c r="C87" s="6" t="str">
        <f aca="false">IF(B87="","",IFERROR(INDEX(Lists!$K$2:$K$60,MATCH(B87,Lists!$J$2:$J$60,0)),""))</f>
        <v/>
      </c>
      <c r="D87" s="7"/>
      <c r="E87" s="7"/>
      <c r="F87" s="7"/>
      <c r="G87" s="7"/>
      <c r="H87" s="8"/>
      <c r="I87" s="7"/>
      <c r="J87" s="9"/>
      <c r="K87" s="7"/>
      <c r="L87" s="7"/>
      <c r="M87" s="7"/>
      <c r="N87" s="7"/>
      <c r="O87" s="7"/>
      <c r="P87" s="7"/>
      <c r="Q87" s="7"/>
      <c r="R87" s="7"/>
      <c r="S87" s="7"/>
      <c r="T87" s="7"/>
      <c r="U87" s="7"/>
      <c r="V87" s="7"/>
      <c r="W87" s="6" t="str">
        <f aca="false">IF(COUNTA(B87:V87)=0,"",IF(OR(B87="",C87="",D87="",F87="",G87="",H87="",I87="",L87="",M87=""),"ناقص",IF(AND(ISNUMBER(F87),ISNUMBER(H87)),"OK","السنة/السعر لازم أرقام")))</f>
        <v>ناقص</v>
      </c>
      <c r="X87" s="6" t="str">
        <f aca="false">IF(B87="","",B87&amp;" "&amp;C87&amp;" "&amp;D87&amp;" "&amp;E87&amp;" "&amp;F87&amp;" "&amp;G87&amp;" "&amp;I87&amp;" "&amp;L87&amp;" "&amp;M87&amp;" سعر "&amp;H87&amp;" جنيه "&amp;U87)</f>
        <v/>
      </c>
    </row>
    <row r="88" customFormat="false" ht="15" hidden="false" customHeight="false" outlineLevel="0" collapsed="false">
      <c r="A88" s="6" t="s">
        <v>283</v>
      </c>
      <c r="B88" s="7"/>
      <c r="C88" s="6" t="str">
        <f aca="false">IF(B88="","",IFERROR(INDEX(Lists!$K$2:$K$60,MATCH(B88,Lists!$J$2:$J$60,0)),""))</f>
        <v/>
      </c>
      <c r="D88" s="7"/>
      <c r="E88" s="7"/>
      <c r="F88" s="7"/>
      <c r="G88" s="7"/>
      <c r="H88" s="8"/>
      <c r="I88" s="7"/>
      <c r="J88" s="9"/>
      <c r="K88" s="7"/>
      <c r="L88" s="7"/>
      <c r="M88" s="7"/>
      <c r="N88" s="7"/>
      <c r="O88" s="7"/>
      <c r="P88" s="7"/>
      <c r="Q88" s="7"/>
      <c r="R88" s="7"/>
      <c r="S88" s="7"/>
      <c r="T88" s="7"/>
      <c r="U88" s="7"/>
      <c r="V88" s="7"/>
      <c r="W88" s="6" t="str">
        <f aca="false">IF(COUNTA(B88:V88)=0,"",IF(OR(B88="",C88="",D88="",F88="",G88="",H88="",I88="",L88="",M88=""),"ناقص",IF(AND(ISNUMBER(F88),ISNUMBER(H88)),"OK","السنة/السعر لازم أرقام")))</f>
        <v>ناقص</v>
      </c>
      <c r="X88" s="6" t="str">
        <f aca="false">IF(B88="","",B88&amp;" "&amp;C88&amp;" "&amp;D88&amp;" "&amp;E88&amp;" "&amp;F88&amp;" "&amp;G88&amp;" "&amp;I88&amp;" "&amp;L88&amp;" "&amp;M88&amp;" سعر "&amp;H88&amp;" جنيه "&amp;U88)</f>
        <v/>
      </c>
    </row>
    <row r="89" customFormat="false" ht="15" hidden="false" customHeight="false" outlineLevel="0" collapsed="false">
      <c r="A89" s="6" t="s">
        <v>284</v>
      </c>
      <c r="B89" s="7"/>
      <c r="C89" s="6" t="str">
        <f aca="false">IF(B89="","",IFERROR(INDEX(Lists!$K$2:$K$60,MATCH(B89,Lists!$J$2:$J$60,0)),""))</f>
        <v/>
      </c>
      <c r="D89" s="7"/>
      <c r="E89" s="7"/>
      <c r="F89" s="7"/>
      <c r="G89" s="7"/>
      <c r="H89" s="8"/>
      <c r="I89" s="7"/>
      <c r="J89" s="9"/>
      <c r="K89" s="7"/>
      <c r="L89" s="7"/>
      <c r="M89" s="7"/>
      <c r="N89" s="7"/>
      <c r="O89" s="7"/>
      <c r="P89" s="7"/>
      <c r="Q89" s="7"/>
      <c r="R89" s="7"/>
      <c r="S89" s="7"/>
      <c r="T89" s="7"/>
      <c r="U89" s="7"/>
      <c r="V89" s="7"/>
      <c r="W89" s="6" t="str">
        <f aca="false">IF(COUNTA(B89:V89)=0,"",IF(OR(B89="",C89="",D89="",F89="",G89="",H89="",I89="",L89="",M89=""),"ناقص",IF(AND(ISNUMBER(F89),ISNUMBER(H89)),"OK","السنة/السعر لازم أرقام")))</f>
        <v>ناقص</v>
      </c>
      <c r="X89" s="6" t="str">
        <f aca="false">IF(B89="","",B89&amp;" "&amp;C89&amp;" "&amp;D89&amp;" "&amp;E89&amp;" "&amp;F89&amp;" "&amp;G89&amp;" "&amp;I89&amp;" "&amp;L89&amp;" "&amp;M89&amp;" سعر "&amp;H89&amp;" جنيه "&amp;U89)</f>
        <v/>
      </c>
    </row>
    <row r="90" customFormat="false" ht="15" hidden="false" customHeight="false" outlineLevel="0" collapsed="false">
      <c r="A90" s="6" t="s">
        <v>285</v>
      </c>
      <c r="B90" s="7"/>
      <c r="C90" s="6" t="str">
        <f aca="false">IF(B90="","",IFERROR(INDEX(Lists!$K$2:$K$60,MATCH(B90,Lists!$J$2:$J$60,0)),""))</f>
        <v/>
      </c>
      <c r="D90" s="7"/>
      <c r="E90" s="7"/>
      <c r="F90" s="7"/>
      <c r="G90" s="7"/>
      <c r="H90" s="8"/>
      <c r="I90" s="7"/>
      <c r="J90" s="9"/>
      <c r="K90" s="7"/>
      <c r="L90" s="7"/>
      <c r="M90" s="7"/>
      <c r="N90" s="7"/>
      <c r="O90" s="7"/>
      <c r="P90" s="7"/>
      <c r="Q90" s="7"/>
      <c r="R90" s="7"/>
      <c r="S90" s="7"/>
      <c r="T90" s="7"/>
      <c r="U90" s="7"/>
      <c r="V90" s="7"/>
      <c r="W90" s="6" t="str">
        <f aca="false">IF(COUNTA(B90:V90)=0,"",IF(OR(B90="",C90="",D90="",F90="",G90="",H90="",I90="",L90="",M90=""),"ناقص",IF(AND(ISNUMBER(F90),ISNUMBER(H90)),"OK","السنة/السعر لازم أرقام")))</f>
        <v>ناقص</v>
      </c>
      <c r="X90" s="6" t="str">
        <f aca="false">IF(B90="","",B90&amp;" "&amp;C90&amp;" "&amp;D90&amp;" "&amp;E90&amp;" "&amp;F90&amp;" "&amp;G90&amp;" "&amp;I90&amp;" "&amp;L90&amp;" "&amp;M90&amp;" سعر "&amp;H90&amp;" جنيه "&amp;U90)</f>
        <v/>
      </c>
    </row>
    <row r="91" customFormat="false" ht="15" hidden="false" customHeight="false" outlineLevel="0" collapsed="false">
      <c r="A91" s="6" t="s">
        <v>286</v>
      </c>
      <c r="B91" s="7"/>
      <c r="C91" s="6" t="str">
        <f aca="false">IF(B91="","",IFERROR(INDEX(Lists!$K$2:$K$60,MATCH(B91,Lists!$J$2:$J$60,0)),""))</f>
        <v/>
      </c>
      <c r="D91" s="7"/>
      <c r="E91" s="7"/>
      <c r="F91" s="7"/>
      <c r="G91" s="7"/>
      <c r="H91" s="8"/>
      <c r="I91" s="7"/>
      <c r="J91" s="9"/>
      <c r="K91" s="7"/>
      <c r="L91" s="7"/>
      <c r="M91" s="7"/>
      <c r="N91" s="7"/>
      <c r="O91" s="7"/>
      <c r="P91" s="7"/>
      <c r="Q91" s="7"/>
      <c r="R91" s="7"/>
      <c r="S91" s="7"/>
      <c r="T91" s="7"/>
      <c r="U91" s="7"/>
      <c r="V91" s="7"/>
      <c r="W91" s="6" t="str">
        <f aca="false">IF(COUNTA(B91:V91)=0,"",IF(OR(B91="",C91="",D91="",F91="",G91="",H91="",I91="",L91="",M91=""),"ناقص",IF(AND(ISNUMBER(F91),ISNUMBER(H91)),"OK","السنة/السعر لازم أرقام")))</f>
        <v>ناقص</v>
      </c>
      <c r="X91" s="6" t="str">
        <f aca="false">IF(B91="","",B91&amp;" "&amp;C91&amp;" "&amp;D91&amp;" "&amp;E91&amp;" "&amp;F91&amp;" "&amp;G91&amp;" "&amp;I91&amp;" "&amp;L91&amp;" "&amp;M91&amp;" سعر "&amp;H91&amp;" جنيه "&amp;U91)</f>
        <v/>
      </c>
    </row>
    <row r="92" customFormat="false" ht="15" hidden="false" customHeight="false" outlineLevel="0" collapsed="false">
      <c r="A92" s="6" t="s">
        <v>287</v>
      </c>
      <c r="B92" s="7"/>
      <c r="C92" s="6" t="str">
        <f aca="false">IF(B92="","",IFERROR(INDEX(Lists!$K$2:$K$60,MATCH(B92,Lists!$J$2:$J$60,0)),""))</f>
        <v/>
      </c>
      <c r="D92" s="7"/>
      <c r="E92" s="7"/>
      <c r="F92" s="7"/>
      <c r="G92" s="7"/>
      <c r="H92" s="8"/>
      <c r="I92" s="7"/>
      <c r="J92" s="9"/>
      <c r="K92" s="7"/>
      <c r="L92" s="7"/>
      <c r="M92" s="7"/>
      <c r="N92" s="7"/>
      <c r="O92" s="7"/>
      <c r="P92" s="7"/>
      <c r="Q92" s="7"/>
      <c r="R92" s="7"/>
      <c r="S92" s="7"/>
      <c r="T92" s="7"/>
      <c r="U92" s="7"/>
      <c r="V92" s="7"/>
      <c r="W92" s="6" t="str">
        <f aca="false">IF(COUNTA(B92:V92)=0,"",IF(OR(B92="",C92="",D92="",F92="",G92="",H92="",I92="",L92="",M92=""),"ناقص",IF(AND(ISNUMBER(F92),ISNUMBER(H92)),"OK","السنة/السعر لازم أرقام")))</f>
        <v>ناقص</v>
      </c>
      <c r="X92" s="6" t="str">
        <f aca="false">IF(B92="","",B92&amp;" "&amp;C92&amp;" "&amp;D92&amp;" "&amp;E92&amp;" "&amp;F92&amp;" "&amp;G92&amp;" "&amp;I92&amp;" "&amp;L92&amp;" "&amp;M92&amp;" سعر "&amp;H92&amp;" جنيه "&amp;U92)</f>
        <v/>
      </c>
    </row>
    <row r="93" customFormat="false" ht="15" hidden="false" customHeight="false" outlineLevel="0" collapsed="false">
      <c r="A93" s="6" t="s">
        <v>288</v>
      </c>
      <c r="B93" s="7"/>
      <c r="C93" s="6" t="str">
        <f aca="false">IF(B93="","",IFERROR(INDEX(Lists!$K$2:$K$60,MATCH(B93,Lists!$J$2:$J$60,0)),""))</f>
        <v/>
      </c>
      <c r="D93" s="7"/>
      <c r="E93" s="7"/>
      <c r="F93" s="7"/>
      <c r="G93" s="7"/>
      <c r="H93" s="8"/>
      <c r="I93" s="7"/>
      <c r="J93" s="9"/>
      <c r="K93" s="7"/>
      <c r="L93" s="7"/>
      <c r="M93" s="7"/>
      <c r="N93" s="7"/>
      <c r="O93" s="7"/>
      <c r="P93" s="7"/>
      <c r="Q93" s="7"/>
      <c r="R93" s="7"/>
      <c r="S93" s="7"/>
      <c r="T93" s="7"/>
      <c r="U93" s="7"/>
      <c r="V93" s="7"/>
      <c r="W93" s="6" t="str">
        <f aca="false">IF(COUNTA(B93:V93)=0,"",IF(OR(B93="",C93="",D93="",F93="",G93="",H93="",I93="",L93="",M93=""),"ناقص",IF(AND(ISNUMBER(F93),ISNUMBER(H93)),"OK","السنة/السعر لازم أرقام")))</f>
        <v>ناقص</v>
      </c>
      <c r="X93" s="6" t="str">
        <f aca="false">IF(B93="","",B93&amp;" "&amp;C93&amp;" "&amp;D93&amp;" "&amp;E93&amp;" "&amp;F93&amp;" "&amp;G93&amp;" "&amp;I93&amp;" "&amp;L93&amp;" "&amp;M93&amp;" سعر "&amp;H93&amp;" جنيه "&amp;U93)</f>
        <v/>
      </c>
    </row>
    <row r="94" customFormat="false" ht="15" hidden="false" customHeight="false" outlineLevel="0" collapsed="false">
      <c r="A94" s="6" t="s">
        <v>289</v>
      </c>
      <c r="B94" s="7"/>
      <c r="C94" s="6" t="str">
        <f aca="false">IF(B94="","",IFERROR(INDEX(Lists!$K$2:$K$60,MATCH(B94,Lists!$J$2:$J$60,0)),""))</f>
        <v/>
      </c>
      <c r="D94" s="7"/>
      <c r="E94" s="7"/>
      <c r="F94" s="7"/>
      <c r="G94" s="7"/>
      <c r="H94" s="8"/>
      <c r="I94" s="7"/>
      <c r="J94" s="9"/>
      <c r="K94" s="7"/>
      <c r="L94" s="7"/>
      <c r="M94" s="7"/>
      <c r="N94" s="7"/>
      <c r="O94" s="7"/>
      <c r="P94" s="7"/>
      <c r="Q94" s="7"/>
      <c r="R94" s="7"/>
      <c r="S94" s="7"/>
      <c r="T94" s="7"/>
      <c r="U94" s="7"/>
      <c r="V94" s="7"/>
      <c r="W94" s="6" t="str">
        <f aca="false">IF(COUNTA(B94:V94)=0,"",IF(OR(B94="",C94="",D94="",F94="",G94="",H94="",I94="",L94="",M94=""),"ناقص",IF(AND(ISNUMBER(F94),ISNUMBER(H94)),"OK","السنة/السعر لازم أرقام")))</f>
        <v>ناقص</v>
      </c>
      <c r="X94" s="6" t="str">
        <f aca="false">IF(B94="","",B94&amp;" "&amp;C94&amp;" "&amp;D94&amp;" "&amp;E94&amp;" "&amp;F94&amp;" "&amp;G94&amp;" "&amp;I94&amp;" "&amp;L94&amp;" "&amp;M94&amp;" سعر "&amp;H94&amp;" جنيه "&amp;U94)</f>
        <v/>
      </c>
    </row>
    <row r="95" customFormat="false" ht="15" hidden="false" customHeight="false" outlineLevel="0" collapsed="false">
      <c r="A95" s="6" t="s">
        <v>290</v>
      </c>
      <c r="B95" s="7"/>
      <c r="C95" s="6" t="str">
        <f aca="false">IF(B95="","",IFERROR(INDEX(Lists!$K$2:$K$60,MATCH(B95,Lists!$J$2:$J$60,0)),""))</f>
        <v/>
      </c>
      <c r="D95" s="7"/>
      <c r="E95" s="7"/>
      <c r="F95" s="7"/>
      <c r="G95" s="7"/>
      <c r="H95" s="8"/>
      <c r="I95" s="7"/>
      <c r="J95" s="9"/>
      <c r="K95" s="7"/>
      <c r="L95" s="7"/>
      <c r="M95" s="7"/>
      <c r="N95" s="7"/>
      <c r="O95" s="7"/>
      <c r="P95" s="7"/>
      <c r="Q95" s="7"/>
      <c r="R95" s="7"/>
      <c r="S95" s="7"/>
      <c r="T95" s="7"/>
      <c r="U95" s="7"/>
      <c r="V95" s="7"/>
      <c r="W95" s="6" t="str">
        <f aca="false">IF(COUNTA(B95:V95)=0,"",IF(OR(B95="",C95="",D95="",F95="",G95="",H95="",I95="",L95="",M95=""),"ناقص",IF(AND(ISNUMBER(F95),ISNUMBER(H95)),"OK","السنة/السعر لازم أرقام")))</f>
        <v>ناقص</v>
      </c>
      <c r="X95" s="6" t="str">
        <f aca="false">IF(B95="","",B95&amp;" "&amp;C95&amp;" "&amp;D95&amp;" "&amp;E95&amp;" "&amp;F95&amp;" "&amp;G95&amp;" "&amp;I95&amp;" "&amp;L95&amp;" "&amp;M95&amp;" سعر "&amp;H95&amp;" جنيه "&amp;U95)</f>
        <v/>
      </c>
    </row>
    <row r="96" customFormat="false" ht="15" hidden="false" customHeight="false" outlineLevel="0" collapsed="false">
      <c r="A96" s="6" t="s">
        <v>291</v>
      </c>
      <c r="B96" s="7"/>
      <c r="C96" s="6" t="str">
        <f aca="false">IF(B96="","",IFERROR(INDEX(Lists!$K$2:$K$60,MATCH(B96,Lists!$J$2:$J$60,0)),""))</f>
        <v/>
      </c>
      <c r="D96" s="7"/>
      <c r="E96" s="7"/>
      <c r="F96" s="7"/>
      <c r="G96" s="7"/>
      <c r="H96" s="8"/>
      <c r="I96" s="7"/>
      <c r="J96" s="9"/>
      <c r="K96" s="7"/>
      <c r="L96" s="7"/>
      <c r="M96" s="7"/>
      <c r="N96" s="7"/>
      <c r="O96" s="7"/>
      <c r="P96" s="7"/>
      <c r="Q96" s="7"/>
      <c r="R96" s="7"/>
      <c r="S96" s="7"/>
      <c r="T96" s="7"/>
      <c r="U96" s="7"/>
      <c r="V96" s="7"/>
      <c r="W96" s="6" t="str">
        <f aca="false">IF(COUNTA(B96:V96)=0,"",IF(OR(B96="",C96="",D96="",F96="",G96="",H96="",I96="",L96="",M96=""),"ناقص",IF(AND(ISNUMBER(F96),ISNUMBER(H96)),"OK","السنة/السعر لازم أرقام")))</f>
        <v>ناقص</v>
      </c>
      <c r="X96" s="6" t="str">
        <f aca="false">IF(B96="","",B96&amp;" "&amp;C96&amp;" "&amp;D96&amp;" "&amp;E96&amp;" "&amp;F96&amp;" "&amp;G96&amp;" "&amp;I96&amp;" "&amp;L96&amp;" "&amp;M96&amp;" سعر "&amp;H96&amp;" جنيه "&amp;U96)</f>
        <v/>
      </c>
    </row>
    <row r="97" customFormat="false" ht="15" hidden="false" customHeight="false" outlineLevel="0" collapsed="false">
      <c r="A97" s="6" t="s">
        <v>292</v>
      </c>
      <c r="B97" s="7"/>
      <c r="C97" s="6" t="str">
        <f aca="false">IF(B97="","",IFERROR(INDEX(Lists!$K$2:$K$60,MATCH(B97,Lists!$J$2:$J$60,0)),""))</f>
        <v/>
      </c>
      <c r="D97" s="7"/>
      <c r="E97" s="7"/>
      <c r="F97" s="7"/>
      <c r="G97" s="7"/>
      <c r="H97" s="8"/>
      <c r="I97" s="7"/>
      <c r="J97" s="9"/>
      <c r="K97" s="7"/>
      <c r="L97" s="7"/>
      <c r="M97" s="7"/>
      <c r="N97" s="7"/>
      <c r="O97" s="7"/>
      <c r="P97" s="7"/>
      <c r="Q97" s="7"/>
      <c r="R97" s="7"/>
      <c r="S97" s="7"/>
      <c r="T97" s="7"/>
      <c r="U97" s="7"/>
      <c r="V97" s="7"/>
      <c r="W97" s="6" t="str">
        <f aca="false">IF(COUNTA(B97:V97)=0,"",IF(OR(B97="",C97="",D97="",F97="",G97="",H97="",I97="",L97="",M97=""),"ناقص",IF(AND(ISNUMBER(F97),ISNUMBER(H97)),"OK","السنة/السعر لازم أرقام")))</f>
        <v>ناقص</v>
      </c>
      <c r="X97" s="6" t="str">
        <f aca="false">IF(B97="","",B97&amp;" "&amp;C97&amp;" "&amp;D97&amp;" "&amp;E97&amp;" "&amp;F97&amp;" "&amp;G97&amp;" "&amp;I97&amp;" "&amp;L97&amp;" "&amp;M97&amp;" سعر "&amp;H97&amp;" جنيه "&amp;U97)</f>
        <v/>
      </c>
    </row>
    <row r="98" customFormat="false" ht="15" hidden="false" customHeight="false" outlineLevel="0" collapsed="false">
      <c r="A98" s="6" t="s">
        <v>293</v>
      </c>
      <c r="B98" s="7"/>
      <c r="C98" s="6" t="str">
        <f aca="false">IF(B98="","",IFERROR(INDEX(Lists!$K$2:$K$60,MATCH(B98,Lists!$J$2:$J$60,0)),""))</f>
        <v/>
      </c>
      <c r="D98" s="7"/>
      <c r="E98" s="7"/>
      <c r="F98" s="7"/>
      <c r="G98" s="7"/>
      <c r="H98" s="8"/>
      <c r="I98" s="7"/>
      <c r="J98" s="9"/>
      <c r="K98" s="7"/>
      <c r="L98" s="7"/>
      <c r="M98" s="7"/>
      <c r="N98" s="7"/>
      <c r="O98" s="7"/>
      <c r="P98" s="7"/>
      <c r="Q98" s="7"/>
      <c r="R98" s="7"/>
      <c r="S98" s="7"/>
      <c r="T98" s="7"/>
      <c r="U98" s="7"/>
      <c r="V98" s="7"/>
      <c r="W98" s="6" t="str">
        <f aca="false">IF(COUNTA(B98:V98)=0,"",IF(OR(B98="",C98="",D98="",F98="",G98="",H98="",I98="",L98="",M98=""),"ناقص",IF(AND(ISNUMBER(F98),ISNUMBER(H98)),"OK","السنة/السعر لازم أرقام")))</f>
        <v>ناقص</v>
      </c>
      <c r="X98" s="6" t="str">
        <f aca="false">IF(B98="","",B98&amp;" "&amp;C98&amp;" "&amp;D98&amp;" "&amp;E98&amp;" "&amp;F98&amp;" "&amp;G98&amp;" "&amp;I98&amp;" "&amp;L98&amp;" "&amp;M98&amp;" سعر "&amp;H98&amp;" جنيه "&amp;U98)</f>
        <v/>
      </c>
    </row>
    <row r="99" customFormat="false" ht="15" hidden="false" customHeight="false" outlineLevel="0" collapsed="false">
      <c r="A99" s="6" t="s">
        <v>294</v>
      </c>
      <c r="B99" s="7"/>
      <c r="C99" s="6" t="str">
        <f aca="false">IF(B99="","",IFERROR(INDEX(Lists!$K$2:$K$60,MATCH(B99,Lists!$J$2:$J$60,0)),""))</f>
        <v/>
      </c>
      <c r="D99" s="7"/>
      <c r="E99" s="7"/>
      <c r="F99" s="7"/>
      <c r="G99" s="7"/>
      <c r="H99" s="8"/>
      <c r="I99" s="7"/>
      <c r="J99" s="9"/>
      <c r="K99" s="7"/>
      <c r="L99" s="7"/>
      <c r="M99" s="7"/>
      <c r="N99" s="7"/>
      <c r="O99" s="7"/>
      <c r="P99" s="7"/>
      <c r="Q99" s="7"/>
      <c r="R99" s="7"/>
      <c r="S99" s="7"/>
      <c r="T99" s="7"/>
      <c r="U99" s="7"/>
      <c r="V99" s="7"/>
      <c r="W99" s="6" t="str">
        <f aca="false">IF(COUNTA(B99:V99)=0,"",IF(OR(B99="",C99="",D99="",F99="",G99="",H99="",I99="",L99="",M99=""),"ناقص",IF(AND(ISNUMBER(F99),ISNUMBER(H99)),"OK","السنة/السعر لازم أرقام")))</f>
        <v>ناقص</v>
      </c>
      <c r="X99" s="6" t="str">
        <f aca="false">IF(B99="","",B99&amp;" "&amp;C99&amp;" "&amp;D99&amp;" "&amp;E99&amp;" "&amp;F99&amp;" "&amp;G99&amp;" "&amp;I99&amp;" "&amp;L99&amp;" "&amp;M99&amp;" سعر "&amp;H99&amp;" جنيه "&amp;U99)</f>
        <v/>
      </c>
    </row>
    <row r="100" customFormat="false" ht="15" hidden="false" customHeight="false" outlineLevel="0" collapsed="false">
      <c r="A100" s="6" t="s">
        <v>295</v>
      </c>
      <c r="B100" s="7"/>
      <c r="C100" s="6" t="str">
        <f aca="false">IF(B100="","",IFERROR(INDEX(Lists!$K$2:$K$60,MATCH(B100,Lists!$J$2:$J$60,0)),""))</f>
        <v/>
      </c>
      <c r="D100" s="7"/>
      <c r="E100" s="7"/>
      <c r="F100" s="7"/>
      <c r="G100" s="7"/>
      <c r="H100" s="8"/>
      <c r="I100" s="7"/>
      <c r="J100" s="9"/>
      <c r="K100" s="7"/>
      <c r="L100" s="7"/>
      <c r="M100" s="7"/>
      <c r="N100" s="7"/>
      <c r="O100" s="7"/>
      <c r="P100" s="7"/>
      <c r="Q100" s="7"/>
      <c r="R100" s="7"/>
      <c r="S100" s="7"/>
      <c r="T100" s="7"/>
      <c r="U100" s="7"/>
      <c r="V100" s="7"/>
      <c r="W100" s="6" t="str">
        <f aca="false">IF(COUNTA(B100:V100)=0,"",IF(OR(B100="",C100="",D100="",F100="",G100="",H100="",I100="",L100="",M100=""),"ناقص",IF(AND(ISNUMBER(F100),ISNUMBER(H100)),"OK","السنة/السعر لازم أرقام")))</f>
        <v>ناقص</v>
      </c>
      <c r="X100" s="6" t="str">
        <f aca="false">IF(B100="","",B100&amp;" "&amp;C100&amp;" "&amp;D100&amp;" "&amp;E100&amp;" "&amp;F100&amp;" "&amp;G100&amp;" "&amp;I100&amp;" "&amp;L100&amp;" "&amp;M100&amp;" سعر "&amp;H100&amp;" جنيه "&amp;U100)</f>
        <v/>
      </c>
    </row>
    <row r="101" customFormat="false" ht="15" hidden="false" customHeight="false" outlineLevel="0" collapsed="false">
      <c r="A101" s="6" t="s">
        <v>296</v>
      </c>
      <c r="B101" s="7"/>
      <c r="C101" s="6" t="str">
        <f aca="false">IF(B101="","",IFERROR(INDEX(Lists!$K$2:$K$60,MATCH(B101,Lists!$J$2:$J$60,0)),""))</f>
        <v/>
      </c>
      <c r="D101" s="7"/>
      <c r="E101" s="7"/>
      <c r="F101" s="7"/>
      <c r="G101" s="7"/>
      <c r="H101" s="8"/>
      <c r="I101" s="7"/>
      <c r="J101" s="9"/>
      <c r="K101" s="7"/>
      <c r="L101" s="7"/>
      <c r="M101" s="7"/>
      <c r="N101" s="7"/>
      <c r="O101" s="7"/>
      <c r="P101" s="7"/>
      <c r="Q101" s="7"/>
      <c r="R101" s="7"/>
      <c r="S101" s="7"/>
      <c r="T101" s="7"/>
      <c r="U101" s="7"/>
      <c r="V101" s="7"/>
      <c r="W101" s="6" t="str">
        <f aca="false">IF(COUNTA(B101:V101)=0,"",IF(OR(B101="",C101="",D101="",F101="",G101="",H101="",I101="",L101="",M101=""),"ناقص",IF(AND(ISNUMBER(F101),ISNUMBER(H101)),"OK","السنة/السعر لازم أرقام")))</f>
        <v>ناقص</v>
      </c>
      <c r="X101" s="6" t="str">
        <f aca="false">IF(B101="","",B101&amp;" "&amp;C101&amp;" "&amp;D101&amp;" "&amp;E101&amp;" "&amp;F101&amp;" "&amp;G101&amp;" "&amp;I101&amp;" "&amp;L101&amp;" "&amp;M101&amp;" سعر "&amp;H101&amp;" جنيه "&amp;U101)</f>
        <v/>
      </c>
    </row>
    <row r="102" customFormat="false" ht="15" hidden="false" customHeight="false" outlineLevel="0" collapsed="false">
      <c r="A102" s="6" t="s">
        <v>297</v>
      </c>
      <c r="B102" s="7"/>
      <c r="C102" s="6" t="str">
        <f aca="false">IF(B102="","",IFERROR(INDEX(Lists!$K$2:$K$60,MATCH(B102,Lists!$J$2:$J$60,0)),""))</f>
        <v/>
      </c>
      <c r="D102" s="7"/>
      <c r="E102" s="7"/>
      <c r="F102" s="7"/>
      <c r="G102" s="7"/>
      <c r="H102" s="8"/>
      <c r="I102" s="7"/>
      <c r="J102" s="9"/>
      <c r="K102" s="7"/>
      <c r="L102" s="7"/>
      <c r="M102" s="7"/>
      <c r="N102" s="7"/>
      <c r="O102" s="7"/>
      <c r="P102" s="7"/>
      <c r="Q102" s="7"/>
      <c r="R102" s="7"/>
      <c r="S102" s="7"/>
      <c r="T102" s="7"/>
      <c r="U102" s="7"/>
      <c r="V102" s="7"/>
      <c r="W102" s="6" t="str">
        <f aca="false">IF(COUNTA(B102:V102)=0,"",IF(OR(B102="",C102="",D102="",F102="",G102="",H102="",I102="",L102="",M102=""),"ناقص",IF(AND(ISNUMBER(F102),ISNUMBER(H102)),"OK","السنة/السعر لازم أرقام")))</f>
        <v>ناقص</v>
      </c>
      <c r="X102" s="6" t="str">
        <f aca="false">IF(B102="","",B102&amp;" "&amp;C102&amp;" "&amp;D102&amp;" "&amp;E102&amp;" "&amp;F102&amp;" "&amp;G102&amp;" "&amp;I102&amp;" "&amp;L102&amp;" "&amp;M102&amp;" سعر "&amp;H102&amp;" جنيه "&amp;U102)</f>
        <v/>
      </c>
    </row>
    <row r="103" customFormat="false" ht="15" hidden="false" customHeight="false" outlineLevel="0" collapsed="false">
      <c r="A103" s="6" t="s">
        <v>298</v>
      </c>
      <c r="B103" s="7"/>
      <c r="C103" s="6" t="str">
        <f aca="false">IF(B103="","",IFERROR(INDEX(Lists!$K$2:$K$60,MATCH(B103,Lists!$J$2:$J$60,0)),""))</f>
        <v/>
      </c>
      <c r="D103" s="7"/>
      <c r="E103" s="7"/>
      <c r="F103" s="7"/>
      <c r="G103" s="7"/>
      <c r="H103" s="8"/>
      <c r="I103" s="7"/>
      <c r="J103" s="9"/>
      <c r="K103" s="7"/>
      <c r="L103" s="7"/>
      <c r="M103" s="7"/>
      <c r="N103" s="7"/>
      <c r="O103" s="7"/>
      <c r="P103" s="7"/>
      <c r="Q103" s="7"/>
      <c r="R103" s="7"/>
      <c r="S103" s="7"/>
      <c r="T103" s="7"/>
      <c r="U103" s="7"/>
      <c r="V103" s="7"/>
      <c r="W103" s="6" t="str">
        <f aca="false">IF(COUNTA(B103:V103)=0,"",IF(OR(B103="",C103="",D103="",F103="",G103="",H103="",I103="",L103="",M103=""),"ناقص",IF(AND(ISNUMBER(F103),ISNUMBER(H103)),"OK","السنة/السعر لازم أرقام")))</f>
        <v>ناقص</v>
      </c>
      <c r="X103" s="6" t="str">
        <f aca="false">IF(B103="","",B103&amp;" "&amp;C103&amp;" "&amp;D103&amp;" "&amp;E103&amp;" "&amp;F103&amp;" "&amp;G103&amp;" "&amp;I103&amp;" "&amp;L103&amp;" "&amp;M103&amp;" سعر "&amp;H103&amp;" جنيه "&amp;U103)</f>
        <v/>
      </c>
    </row>
    <row r="104" customFormat="false" ht="15" hidden="false" customHeight="false" outlineLevel="0" collapsed="false">
      <c r="A104" s="6" t="s">
        <v>299</v>
      </c>
      <c r="B104" s="7"/>
      <c r="C104" s="6" t="str">
        <f aca="false">IF(B104="","",IFERROR(INDEX(Lists!$K$2:$K$60,MATCH(B104,Lists!$J$2:$J$60,0)),""))</f>
        <v/>
      </c>
      <c r="D104" s="7"/>
      <c r="E104" s="7"/>
      <c r="F104" s="7"/>
      <c r="G104" s="7"/>
      <c r="H104" s="8"/>
      <c r="I104" s="7"/>
      <c r="J104" s="9"/>
      <c r="K104" s="7"/>
      <c r="L104" s="7"/>
      <c r="M104" s="7"/>
      <c r="N104" s="7"/>
      <c r="O104" s="7"/>
      <c r="P104" s="7"/>
      <c r="Q104" s="7"/>
      <c r="R104" s="7"/>
      <c r="S104" s="7"/>
      <c r="T104" s="7"/>
      <c r="U104" s="7"/>
      <c r="V104" s="7"/>
      <c r="W104" s="6" t="str">
        <f aca="false">IF(COUNTA(B104:V104)=0,"",IF(OR(B104="",C104="",D104="",F104="",G104="",H104="",I104="",L104="",M104=""),"ناقص",IF(AND(ISNUMBER(F104),ISNUMBER(H104)),"OK","السنة/السعر لازم أرقام")))</f>
        <v>ناقص</v>
      </c>
      <c r="X104" s="6" t="str">
        <f aca="false">IF(B104="","",B104&amp;" "&amp;C104&amp;" "&amp;D104&amp;" "&amp;E104&amp;" "&amp;F104&amp;" "&amp;G104&amp;" "&amp;I104&amp;" "&amp;L104&amp;" "&amp;M104&amp;" سعر "&amp;H104&amp;" جنيه "&amp;U104)</f>
        <v/>
      </c>
    </row>
    <row r="105" customFormat="false" ht="15" hidden="false" customHeight="false" outlineLevel="0" collapsed="false">
      <c r="A105" s="6" t="s">
        <v>300</v>
      </c>
      <c r="B105" s="7"/>
      <c r="C105" s="6" t="str">
        <f aca="false">IF(B105="","",IFERROR(INDEX(Lists!$K$2:$K$60,MATCH(B105,Lists!$J$2:$J$60,0)),""))</f>
        <v/>
      </c>
      <c r="D105" s="7"/>
      <c r="E105" s="7"/>
      <c r="F105" s="7"/>
      <c r="G105" s="7"/>
      <c r="H105" s="8"/>
      <c r="I105" s="7"/>
      <c r="J105" s="9"/>
      <c r="K105" s="7"/>
      <c r="L105" s="7"/>
      <c r="M105" s="7"/>
      <c r="N105" s="7"/>
      <c r="O105" s="7"/>
      <c r="P105" s="7"/>
      <c r="Q105" s="7"/>
      <c r="R105" s="7"/>
      <c r="S105" s="7"/>
      <c r="T105" s="7"/>
      <c r="U105" s="7"/>
      <c r="V105" s="7"/>
      <c r="W105" s="6" t="str">
        <f aca="false">IF(COUNTA(B105:V105)=0,"",IF(OR(B105="",C105="",D105="",F105="",G105="",H105="",I105="",L105="",M105=""),"ناقص",IF(AND(ISNUMBER(F105),ISNUMBER(H105)),"OK","السنة/السعر لازم أرقام")))</f>
        <v>ناقص</v>
      </c>
      <c r="X105" s="6" t="str">
        <f aca="false">IF(B105="","",B105&amp;" "&amp;C105&amp;" "&amp;D105&amp;" "&amp;E105&amp;" "&amp;F105&amp;" "&amp;G105&amp;" "&amp;I105&amp;" "&amp;L105&amp;" "&amp;M105&amp;" سعر "&amp;H105&amp;" جنيه "&amp;U105)</f>
        <v/>
      </c>
    </row>
    <row r="106" customFormat="false" ht="15" hidden="false" customHeight="false" outlineLevel="0" collapsed="false">
      <c r="A106" s="6" t="s">
        <v>301</v>
      </c>
      <c r="B106" s="7"/>
      <c r="C106" s="6" t="str">
        <f aca="false">IF(B106="","",IFERROR(INDEX(Lists!$K$2:$K$60,MATCH(B106,Lists!$J$2:$J$60,0)),""))</f>
        <v/>
      </c>
      <c r="D106" s="7"/>
      <c r="E106" s="7"/>
      <c r="F106" s="7"/>
      <c r="G106" s="7"/>
      <c r="H106" s="8"/>
      <c r="I106" s="7"/>
      <c r="J106" s="9"/>
      <c r="K106" s="7"/>
      <c r="L106" s="7"/>
      <c r="M106" s="7"/>
      <c r="N106" s="7"/>
      <c r="O106" s="7"/>
      <c r="P106" s="7"/>
      <c r="Q106" s="7"/>
      <c r="R106" s="7"/>
      <c r="S106" s="7"/>
      <c r="T106" s="7"/>
      <c r="U106" s="7"/>
      <c r="V106" s="7"/>
      <c r="W106" s="6" t="str">
        <f aca="false">IF(COUNTA(B106:V106)=0,"",IF(OR(B106="",C106="",D106="",F106="",G106="",H106="",I106="",L106="",M106=""),"ناقص",IF(AND(ISNUMBER(F106),ISNUMBER(H106)),"OK","السنة/السعر لازم أرقام")))</f>
        <v>ناقص</v>
      </c>
      <c r="X106" s="6" t="str">
        <f aca="false">IF(B106="","",B106&amp;" "&amp;C106&amp;" "&amp;D106&amp;" "&amp;E106&amp;" "&amp;F106&amp;" "&amp;G106&amp;" "&amp;I106&amp;" "&amp;L106&amp;" "&amp;M106&amp;" سعر "&amp;H106&amp;" جنيه "&amp;U106)</f>
        <v/>
      </c>
    </row>
    <row r="107" customFormat="false" ht="15" hidden="false" customHeight="false" outlineLevel="0" collapsed="false">
      <c r="A107" s="6" t="s">
        <v>302</v>
      </c>
      <c r="B107" s="7"/>
      <c r="C107" s="6" t="str">
        <f aca="false">IF(B107="","",IFERROR(INDEX(Lists!$K$2:$K$60,MATCH(B107,Lists!$J$2:$J$60,0)),""))</f>
        <v/>
      </c>
      <c r="D107" s="7"/>
      <c r="E107" s="7"/>
      <c r="F107" s="7"/>
      <c r="G107" s="7"/>
      <c r="H107" s="8"/>
      <c r="I107" s="7"/>
      <c r="J107" s="9"/>
      <c r="K107" s="7"/>
      <c r="L107" s="7"/>
      <c r="M107" s="7"/>
      <c r="N107" s="7"/>
      <c r="O107" s="7"/>
      <c r="P107" s="7"/>
      <c r="Q107" s="7"/>
      <c r="R107" s="7"/>
      <c r="S107" s="7"/>
      <c r="T107" s="7"/>
      <c r="U107" s="7"/>
      <c r="V107" s="7"/>
      <c r="W107" s="6" t="str">
        <f aca="false">IF(COUNTA(B107:V107)=0,"",IF(OR(B107="",C107="",D107="",F107="",G107="",H107="",I107="",L107="",M107=""),"ناقص",IF(AND(ISNUMBER(F107),ISNUMBER(H107)),"OK","السنة/السعر لازم أرقام")))</f>
        <v>ناقص</v>
      </c>
      <c r="X107" s="6" t="str">
        <f aca="false">IF(B107="","",B107&amp;" "&amp;C107&amp;" "&amp;D107&amp;" "&amp;E107&amp;" "&amp;F107&amp;" "&amp;G107&amp;" "&amp;I107&amp;" "&amp;L107&amp;" "&amp;M107&amp;" سعر "&amp;H107&amp;" جنيه "&amp;U107)</f>
        <v/>
      </c>
    </row>
    <row r="108" customFormat="false" ht="15" hidden="false" customHeight="false" outlineLevel="0" collapsed="false">
      <c r="A108" s="6" t="s">
        <v>303</v>
      </c>
      <c r="B108" s="7"/>
      <c r="C108" s="6" t="str">
        <f aca="false">IF(B108="","",IFERROR(INDEX(Lists!$K$2:$K$60,MATCH(B108,Lists!$J$2:$J$60,0)),""))</f>
        <v/>
      </c>
      <c r="D108" s="7"/>
      <c r="E108" s="7"/>
      <c r="F108" s="7"/>
      <c r="G108" s="7"/>
      <c r="H108" s="8"/>
      <c r="I108" s="7"/>
      <c r="J108" s="9"/>
      <c r="K108" s="7"/>
      <c r="L108" s="7"/>
      <c r="M108" s="7"/>
      <c r="N108" s="7"/>
      <c r="O108" s="7"/>
      <c r="P108" s="7"/>
      <c r="Q108" s="7"/>
      <c r="R108" s="7"/>
      <c r="S108" s="7"/>
      <c r="T108" s="7"/>
      <c r="U108" s="7"/>
      <c r="V108" s="7"/>
      <c r="W108" s="6" t="str">
        <f aca="false">IF(COUNTA(B108:V108)=0,"",IF(OR(B108="",C108="",D108="",F108="",G108="",H108="",I108="",L108="",M108=""),"ناقص",IF(AND(ISNUMBER(F108),ISNUMBER(H108)),"OK","السنة/السعر لازم أرقام")))</f>
        <v>ناقص</v>
      </c>
      <c r="X108" s="6" t="str">
        <f aca="false">IF(B108="","",B108&amp;" "&amp;C108&amp;" "&amp;D108&amp;" "&amp;E108&amp;" "&amp;F108&amp;" "&amp;G108&amp;" "&amp;I108&amp;" "&amp;L108&amp;" "&amp;M108&amp;" سعر "&amp;H108&amp;" جنيه "&amp;U108)</f>
        <v/>
      </c>
    </row>
    <row r="109" customFormat="false" ht="15" hidden="false" customHeight="false" outlineLevel="0" collapsed="false">
      <c r="A109" s="6" t="s">
        <v>304</v>
      </c>
      <c r="B109" s="7"/>
      <c r="C109" s="6" t="str">
        <f aca="false">IF(B109="","",IFERROR(INDEX(Lists!$K$2:$K$60,MATCH(B109,Lists!$J$2:$J$60,0)),""))</f>
        <v/>
      </c>
      <c r="D109" s="7"/>
      <c r="E109" s="7"/>
      <c r="F109" s="7"/>
      <c r="G109" s="7"/>
      <c r="H109" s="8"/>
      <c r="I109" s="7"/>
      <c r="J109" s="9"/>
      <c r="K109" s="7"/>
      <c r="L109" s="7"/>
      <c r="M109" s="7"/>
      <c r="N109" s="7"/>
      <c r="O109" s="7"/>
      <c r="P109" s="7"/>
      <c r="Q109" s="7"/>
      <c r="R109" s="7"/>
      <c r="S109" s="7"/>
      <c r="T109" s="7"/>
      <c r="U109" s="7"/>
      <c r="V109" s="7"/>
      <c r="W109" s="6" t="str">
        <f aca="false">IF(COUNTA(B109:V109)=0,"",IF(OR(B109="",C109="",D109="",F109="",G109="",H109="",I109="",L109="",M109=""),"ناقص",IF(AND(ISNUMBER(F109),ISNUMBER(H109)),"OK","السنة/السعر لازم أرقام")))</f>
        <v>ناقص</v>
      </c>
      <c r="X109" s="6" t="str">
        <f aca="false">IF(B109="","",B109&amp;" "&amp;C109&amp;" "&amp;D109&amp;" "&amp;E109&amp;" "&amp;F109&amp;" "&amp;G109&amp;" "&amp;I109&amp;" "&amp;L109&amp;" "&amp;M109&amp;" سعر "&amp;H109&amp;" جنيه "&amp;U109)</f>
        <v/>
      </c>
    </row>
    <row r="110" customFormat="false" ht="15" hidden="false" customHeight="false" outlineLevel="0" collapsed="false">
      <c r="A110" s="6" t="s">
        <v>305</v>
      </c>
      <c r="B110" s="7"/>
      <c r="C110" s="6" t="str">
        <f aca="false">IF(B110="","",IFERROR(INDEX(Lists!$K$2:$K$60,MATCH(B110,Lists!$J$2:$J$60,0)),""))</f>
        <v/>
      </c>
      <c r="D110" s="7"/>
      <c r="E110" s="7"/>
      <c r="F110" s="7"/>
      <c r="G110" s="7"/>
      <c r="H110" s="8"/>
      <c r="I110" s="7"/>
      <c r="J110" s="9"/>
      <c r="K110" s="7"/>
      <c r="L110" s="7"/>
      <c r="M110" s="7"/>
      <c r="N110" s="7"/>
      <c r="O110" s="7"/>
      <c r="P110" s="7"/>
      <c r="Q110" s="7"/>
      <c r="R110" s="7"/>
      <c r="S110" s="7"/>
      <c r="T110" s="7"/>
      <c r="U110" s="7"/>
      <c r="V110" s="7"/>
      <c r="W110" s="6" t="str">
        <f aca="false">IF(COUNTA(B110:V110)=0,"",IF(OR(B110="",C110="",D110="",F110="",G110="",H110="",I110="",L110="",M110=""),"ناقص",IF(AND(ISNUMBER(F110),ISNUMBER(H110)),"OK","السنة/السعر لازم أرقام")))</f>
        <v>ناقص</v>
      </c>
      <c r="X110" s="6" t="str">
        <f aca="false">IF(B110="","",B110&amp;" "&amp;C110&amp;" "&amp;D110&amp;" "&amp;E110&amp;" "&amp;F110&amp;" "&amp;G110&amp;" "&amp;I110&amp;" "&amp;L110&amp;" "&amp;M110&amp;" سعر "&amp;H110&amp;" جنيه "&amp;U110)</f>
        <v/>
      </c>
    </row>
    <row r="111" customFormat="false" ht="15" hidden="false" customHeight="false" outlineLevel="0" collapsed="false">
      <c r="A111" s="6" t="s">
        <v>306</v>
      </c>
      <c r="B111" s="7"/>
      <c r="C111" s="6" t="str">
        <f aca="false">IF(B111="","",IFERROR(INDEX(Lists!$K$2:$K$60,MATCH(B111,Lists!$J$2:$J$60,0)),""))</f>
        <v/>
      </c>
      <c r="D111" s="7"/>
      <c r="E111" s="7"/>
      <c r="F111" s="7"/>
      <c r="G111" s="7"/>
      <c r="H111" s="8"/>
      <c r="I111" s="7"/>
      <c r="J111" s="9"/>
      <c r="K111" s="7"/>
      <c r="L111" s="7"/>
      <c r="M111" s="7"/>
      <c r="N111" s="7"/>
      <c r="O111" s="7"/>
      <c r="P111" s="7"/>
      <c r="Q111" s="7"/>
      <c r="R111" s="7"/>
      <c r="S111" s="7"/>
      <c r="T111" s="7"/>
      <c r="U111" s="7"/>
      <c r="V111" s="7"/>
      <c r="W111" s="6" t="str">
        <f aca="false">IF(COUNTA(B111:V111)=0,"",IF(OR(B111="",C111="",D111="",F111="",G111="",H111="",I111="",L111="",M111=""),"ناقص",IF(AND(ISNUMBER(F111),ISNUMBER(H111)),"OK","السنة/السعر لازم أرقام")))</f>
        <v>ناقص</v>
      </c>
      <c r="X111" s="6" t="str">
        <f aca="false">IF(B111="","",B111&amp;" "&amp;C111&amp;" "&amp;D111&amp;" "&amp;E111&amp;" "&amp;F111&amp;" "&amp;G111&amp;" "&amp;I111&amp;" "&amp;L111&amp;" "&amp;M111&amp;" سعر "&amp;H111&amp;" جنيه "&amp;U111)</f>
        <v/>
      </c>
    </row>
    <row r="112" customFormat="false" ht="15" hidden="false" customHeight="false" outlineLevel="0" collapsed="false">
      <c r="A112" s="6" t="s">
        <v>307</v>
      </c>
      <c r="B112" s="7"/>
      <c r="C112" s="6" t="str">
        <f aca="false">IF(B112="","",IFERROR(INDEX(Lists!$K$2:$K$60,MATCH(B112,Lists!$J$2:$J$60,0)),""))</f>
        <v/>
      </c>
      <c r="D112" s="7"/>
      <c r="E112" s="7"/>
      <c r="F112" s="7"/>
      <c r="G112" s="7"/>
      <c r="H112" s="8"/>
      <c r="I112" s="7"/>
      <c r="J112" s="9"/>
      <c r="K112" s="7"/>
      <c r="L112" s="7"/>
      <c r="M112" s="7"/>
      <c r="N112" s="7"/>
      <c r="O112" s="7"/>
      <c r="P112" s="7"/>
      <c r="Q112" s="7"/>
      <c r="R112" s="7"/>
      <c r="S112" s="7"/>
      <c r="T112" s="7"/>
      <c r="U112" s="7"/>
      <c r="V112" s="7"/>
      <c r="W112" s="6" t="str">
        <f aca="false">IF(COUNTA(B112:V112)=0,"",IF(OR(B112="",C112="",D112="",F112="",G112="",H112="",I112="",L112="",M112=""),"ناقص",IF(AND(ISNUMBER(F112),ISNUMBER(H112)),"OK","السنة/السعر لازم أرقام")))</f>
        <v>ناقص</v>
      </c>
      <c r="X112" s="6" t="str">
        <f aca="false">IF(B112="","",B112&amp;" "&amp;C112&amp;" "&amp;D112&amp;" "&amp;E112&amp;" "&amp;F112&amp;" "&amp;G112&amp;" "&amp;I112&amp;" "&amp;L112&amp;" "&amp;M112&amp;" سعر "&amp;H112&amp;" جنيه "&amp;U112)</f>
        <v/>
      </c>
    </row>
    <row r="113" customFormat="false" ht="15" hidden="false" customHeight="false" outlineLevel="0" collapsed="false">
      <c r="A113" s="6" t="s">
        <v>308</v>
      </c>
      <c r="B113" s="7"/>
      <c r="C113" s="6" t="str">
        <f aca="false">IF(B113="","",IFERROR(INDEX(Lists!$K$2:$K$60,MATCH(B113,Lists!$J$2:$J$60,0)),""))</f>
        <v/>
      </c>
      <c r="D113" s="7"/>
      <c r="E113" s="7"/>
      <c r="F113" s="7"/>
      <c r="G113" s="7"/>
      <c r="H113" s="8"/>
      <c r="I113" s="7"/>
      <c r="J113" s="9"/>
      <c r="K113" s="7"/>
      <c r="L113" s="7"/>
      <c r="M113" s="7"/>
      <c r="N113" s="7"/>
      <c r="O113" s="7"/>
      <c r="P113" s="7"/>
      <c r="Q113" s="7"/>
      <c r="R113" s="7"/>
      <c r="S113" s="7"/>
      <c r="T113" s="7"/>
      <c r="U113" s="7"/>
      <c r="V113" s="7"/>
      <c r="W113" s="6" t="str">
        <f aca="false">IF(COUNTA(B113:V113)=0,"",IF(OR(B113="",C113="",D113="",F113="",G113="",H113="",I113="",L113="",M113=""),"ناقص",IF(AND(ISNUMBER(F113),ISNUMBER(H113)),"OK","السنة/السعر لازم أرقام")))</f>
        <v>ناقص</v>
      </c>
      <c r="X113" s="6" t="str">
        <f aca="false">IF(B113="","",B113&amp;" "&amp;C113&amp;" "&amp;D113&amp;" "&amp;E113&amp;" "&amp;F113&amp;" "&amp;G113&amp;" "&amp;I113&amp;" "&amp;L113&amp;" "&amp;M113&amp;" سعر "&amp;H113&amp;" جنيه "&amp;U113)</f>
        <v/>
      </c>
    </row>
    <row r="114" customFormat="false" ht="15" hidden="false" customHeight="false" outlineLevel="0" collapsed="false">
      <c r="A114" s="6" t="s">
        <v>309</v>
      </c>
      <c r="B114" s="7"/>
      <c r="C114" s="6" t="str">
        <f aca="false">IF(B114="","",IFERROR(INDEX(Lists!$K$2:$K$60,MATCH(B114,Lists!$J$2:$J$60,0)),""))</f>
        <v/>
      </c>
      <c r="D114" s="7"/>
      <c r="E114" s="7"/>
      <c r="F114" s="7"/>
      <c r="G114" s="7"/>
      <c r="H114" s="8"/>
      <c r="I114" s="7"/>
      <c r="J114" s="9"/>
      <c r="K114" s="7"/>
      <c r="L114" s="7"/>
      <c r="M114" s="7"/>
      <c r="N114" s="7"/>
      <c r="O114" s="7"/>
      <c r="P114" s="7"/>
      <c r="Q114" s="7"/>
      <c r="R114" s="7"/>
      <c r="S114" s="7"/>
      <c r="T114" s="7"/>
      <c r="U114" s="7"/>
      <c r="V114" s="7"/>
      <c r="W114" s="6" t="str">
        <f aca="false">IF(COUNTA(B114:V114)=0,"",IF(OR(B114="",C114="",D114="",F114="",G114="",H114="",I114="",L114="",M114=""),"ناقص",IF(AND(ISNUMBER(F114),ISNUMBER(H114)),"OK","السنة/السعر لازم أرقام")))</f>
        <v>ناقص</v>
      </c>
      <c r="X114" s="6" t="str">
        <f aca="false">IF(B114="","",B114&amp;" "&amp;C114&amp;" "&amp;D114&amp;" "&amp;E114&amp;" "&amp;F114&amp;" "&amp;G114&amp;" "&amp;I114&amp;" "&amp;L114&amp;" "&amp;M114&amp;" سعر "&amp;H114&amp;" جنيه "&amp;U114)</f>
        <v/>
      </c>
    </row>
    <row r="115" customFormat="false" ht="15" hidden="false" customHeight="false" outlineLevel="0" collapsed="false">
      <c r="A115" s="6" t="s">
        <v>310</v>
      </c>
      <c r="B115" s="7"/>
      <c r="C115" s="6" t="str">
        <f aca="false">IF(B115="","",IFERROR(INDEX(Lists!$K$2:$K$60,MATCH(B115,Lists!$J$2:$J$60,0)),""))</f>
        <v/>
      </c>
      <c r="D115" s="7"/>
      <c r="E115" s="7"/>
      <c r="F115" s="7"/>
      <c r="G115" s="7"/>
      <c r="H115" s="8"/>
      <c r="I115" s="7"/>
      <c r="J115" s="9"/>
      <c r="K115" s="7"/>
      <c r="L115" s="7"/>
      <c r="M115" s="7"/>
      <c r="N115" s="7"/>
      <c r="O115" s="7"/>
      <c r="P115" s="7"/>
      <c r="Q115" s="7"/>
      <c r="R115" s="7"/>
      <c r="S115" s="7"/>
      <c r="T115" s="7"/>
      <c r="U115" s="7"/>
      <c r="V115" s="7"/>
      <c r="W115" s="6" t="str">
        <f aca="false">IF(COUNTA(B115:V115)=0,"",IF(OR(B115="",C115="",D115="",F115="",G115="",H115="",I115="",L115="",M115=""),"ناقص",IF(AND(ISNUMBER(F115),ISNUMBER(H115)),"OK","السنة/السعر لازم أرقام")))</f>
        <v>ناقص</v>
      </c>
      <c r="X115" s="6" t="str">
        <f aca="false">IF(B115="","",B115&amp;" "&amp;C115&amp;" "&amp;D115&amp;" "&amp;E115&amp;" "&amp;F115&amp;" "&amp;G115&amp;" "&amp;I115&amp;" "&amp;L115&amp;" "&amp;M115&amp;" سعر "&amp;H115&amp;" جنيه "&amp;U115)</f>
        <v/>
      </c>
    </row>
    <row r="116" customFormat="false" ht="15" hidden="false" customHeight="false" outlineLevel="0" collapsed="false">
      <c r="A116" s="6" t="s">
        <v>311</v>
      </c>
      <c r="B116" s="7"/>
      <c r="C116" s="6" t="str">
        <f aca="false">IF(B116="","",IFERROR(INDEX(Lists!$K$2:$K$60,MATCH(B116,Lists!$J$2:$J$60,0)),""))</f>
        <v/>
      </c>
      <c r="D116" s="7"/>
      <c r="E116" s="7"/>
      <c r="F116" s="7"/>
      <c r="G116" s="7"/>
      <c r="H116" s="8"/>
      <c r="I116" s="7"/>
      <c r="J116" s="9"/>
      <c r="K116" s="7"/>
      <c r="L116" s="7"/>
      <c r="M116" s="7"/>
      <c r="N116" s="7"/>
      <c r="O116" s="7"/>
      <c r="P116" s="7"/>
      <c r="Q116" s="7"/>
      <c r="R116" s="7"/>
      <c r="S116" s="7"/>
      <c r="T116" s="7"/>
      <c r="U116" s="7"/>
      <c r="V116" s="7"/>
      <c r="W116" s="6" t="str">
        <f aca="false">IF(COUNTA(B116:V116)=0,"",IF(OR(B116="",C116="",D116="",F116="",G116="",H116="",I116="",L116="",M116=""),"ناقص",IF(AND(ISNUMBER(F116),ISNUMBER(H116)),"OK","السنة/السعر لازم أرقام")))</f>
        <v>ناقص</v>
      </c>
      <c r="X116" s="6" t="str">
        <f aca="false">IF(B116="","",B116&amp;" "&amp;C116&amp;" "&amp;D116&amp;" "&amp;E116&amp;" "&amp;F116&amp;" "&amp;G116&amp;" "&amp;I116&amp;" "&amp;L116&amp;" "&amp;M116&amp;" سعر "&amp;H116&amp;" جنيه "&amp;U116)</f>
        <v/>
      </c>
    </row>
    <row r="117" customFormat="false" ht="15" hidden="false" customHeight="false" outlineLevel="0" collapsed="false">
      <c r="A117" s="6" t="s">
        <v>312</v>
      </c>
      <c r="B117" s="7"/>
      <c r="C117" s="6" t="str">
        <f aca="false">IF(B117="","",IFERROR(INDEX(Lists!$K$2:$K$60,MATCH(B117,Lists!$J$2:$J$60,0)),""))</f>
        <v/>
      </c>
      <c r="D117" s="7"/>
      <c r="E117" s="7"/>
      <c r="F117" s="7"/>
      <c r="G117" s="7"/>
      <c r="H117" s="8"/>
      <c r="I117" s="7"/>
      <c r="J117" s="9"/>
      <c r="K117" s="7"/>
      <c r="L117" s="7"/>
      <c r="M117" s="7"/>
      <c r="N117" s="7"/>
      <c r="O117" s="7"/>
      <c r="P117" s="7"/>
      <c r="Q117" s="7"/>
      <c r="R117" s="7"/>
      <c r="S117" s="7"/>
      <c r="T117" s="7"/>
      <c r="U117" s="7"/>
      <c r="V117" s="7"/>
      <c r="W117" s="6" t="str">
        <f aca="false">IF(COUNTA(B117:V117)=0,"",IF(OR(B117="",C117="",D117="",F117="",G117="",H117="",I117="",L117="",M117=""),"ناقص",IF(AND(ISNUMBER(F117),ISNUMBER(H117)),"OK","السنة/السعر لازم أرقام")))</f>
        <v>ناقص</v>
      </c>
      <c r="X117" s="6" t="str">
        <f aca="false">IF(B117="","",B117&amp;" "&amp;C117&amp;" "&amp;D117&amp;" "&amp;E117&amp;" "&amp;F117&amp;" "&amp;G117&amp;" "&amp;I117&amp;" "&amp;L117&amp;" "&amp;M117&amp;" سعر "&amp;H117&amp;" جنيه "&amp;U117)</f>
        <v/>
      </c>
    </row>
    <row r="118" customFormat="false" ht="15" hidden="false" customHeight="false" outlineLevel="0" collapsed="false">
      <c r="A118" s="6" t="s">
        <v>313</v>
      </c>
      <c r="B118" s="7"/>
      <c r="C118" s="6" t="str">
        <f aca="false">IF(B118="","",IFERROR(INDEX(Lists!$K$2:$K$60,MATCH(B118,Lists!$J$2:$J$60,0)),""))</f>
        <v/>
      </c>
      <c r="D118" s="7"/>
      <c r="E118" s="7"/>
      <c r="F118" s="7"/>
      <c r="G118" s="7"/>
      <c r="H118" s="8"/>
      <c r="I118" s="7"/>
      <c r="J118" s="9"/>
      <c r="K118" s="7"/>
      <c r="L118" s="7"/>
      <c r="M118" s="7"/>
      <c r="N118" s="7"/>
      <c r="O118" s="7"/>
      <c r="P118" s="7"/>
      <c r="Q118" s="7"/>
      <c r="R118" s="7"/>
      <c r="S118" s="7"/>
      <c r="T118" s="7"/>
      <c r="U118" s="7"/>
      <c r="V118" s="7"/>
      <c r="W118" s="6" t="str">
        <f aca="false">IF(COUNTA(B118:V118)=0,"",IF(OR(B118="",C118="",D118="",F118="",G118="",H118="",I118="",L118="",M118=""),"ناقص",IF(AND(ISNUMBER(F118),ISNUMBER(H118)),"OK","السنة/السعر لازم أرقام")))</f>
        <v>ناقص</v>
      </c>
      <c r="X118" s="6" t="str">
        <f aca="false">IF(B118="","",B118&amp;" "&amp;C118&amp;" "&amp;D118&amp;" "&amp;E118&amp;" "&amp;F118&amp;" "&amp;G118&amp;" "&amp;I118&amp;" "&amp;L118&amp;" "&amp;M118&amp;" سعر "&amp;H118&amp;" جنيه "&amp;U118)</f>
        <v/>
      </c>
    </row>
    <row r="119" customFormat="false" ht="15" hidden="false" customHeight="false" outlineLevel="0" collapsed="false">
      <c r="A119" s="6" t="s">
        <v>314</v>
      </c>
      <c r="B119" s="7"/>
      <c r="C119" s="6" t="str">
        <f aca="false">IF(B119="","",IFERROR(INDEX(Lists!$K$2:$K$60,MATCH(B119,Lists!$J$2:$J$60,0)),""))</f>
        <v/>
      </c>
      <c r="D119" s="7"/>
      <c r="E119" s="7"/>
      <c r="F119" s="7"/>
      <c r="G119" s="7"/>
      <c r="H119" s="8"/>
      <c r="I119" s="7"/>
      <c r="J119" s="9"/>
      <c r="K119" s="7"/>
      <c r="L119" s="7"/>
      <c r="M119" s="7"/>
      <c r="N119" s="7"/>
      <c r="O119" s="7"/>
      <c r="P119" s="7"/>
      <c r="Q119" s="7"/>
      <c r="R119" s="7"/>
      <c r="S119" s="7"/>
      <c r="T119" s="7"/>
      <c r="U119" s="7"/>
      <c r="V119" s="7"/>
      <c r="W119" s="6" t="str">
        <f aca="false">IF(COUNTA(B119:V119)=0,"",IF(OR(B119="",C119="",D119="",F119="",G119="",H119="",I119="",L119="",M119=""),"ناقص",IF(AND(ISNUMBER(F119),ISNUMBER(H119)),"OK","السنة/السعر لازم أرقام")))</f>
        <v>ناقص</v>
      </c>
      <c r="X119" s="6" t="str">
        <f aca="false">IF(B119="","",B119&amp;" "&amp;C119&amp;" "&amp;D119&amp;" "&amp;E119&amp;" "&amp;F119&amp;" "&amp;G119&amp;" "&amp;I119&amp;" "&amp;L119&amp;" "&amp;M119&amp;" سعر "&amp;H119&amp;" جنيه "&amp;U119)</f>
        <v/>
      </c>
    </row>
    <row r="120" customFormat="false" ht="15" hidden="false" customHeight="false" outlineLevel="0" collapsed="false">
      <c r="A120" s="6" t="s">
        <v>315</v>
      </c>
      <c r="B120" s="7"/>
      <c r="C120" s="6" t="str">
        <f aca="false">IF(B120="","",IFERROR(INDEX(Lists!$K$2:$K$60,MATCH(B120,Lists!$J$2:$J$60,0)),""))</f>
        <v/>
      </c>
      <c r="D120" s="7"/>
      <c r="E120" s="7"/>
      <c r="F120" s="7"/>
      <c r="G120" s="7"/>
      <c r="H120" s="8"/>
      <c r="I120" s="7"/>
      <c r="J120" s="9"/>
      <c r="K120" s="7"/>
      <c r="L120" s="7"/>
      <c r="M120" s="7"/>
      <c r="N120" s="7"/>
      <c r="O120" s="7"/>
      <c r="P120" s="7"/>
      <c r="Q120" s="7"/>
      <c r="R120" s="7"/>
      <c r="S120" s="7"/>
      <c r="T120" s="7"/>
      <c r="U120" s="7"/>
      <c r="V120" s="7"/>
      <c r="W120" s="6" t="str">
        <f aca="false">IF(COUNTA(B120:V120)=0,"",IF(OR(B120="",C120="",D120="",F120="",G120="",H120="",I120="",L120="",M120=""),"ناقص",IF(AND(ISNUMBER(F120),ISNUMBER(H120)),"OK","السنة/السعر لازم أرقام")))</f>
        <v>ناقص</v>
      </c>
      <c r="X120" s="6" t="str">
        <f aca="false">IF(B120="","",B120&amp;" "&amp;C120&amp;" "&amp;D120&amp;" "&amp;E120&amp;" "&amp;F120&amp;" "&amp;G120&amp;" "&amp;I120&amp;" "&amp;L120&amp;" "&amp;M120&amp;" سعر "&amp;H120&amp;" جنيه "&amp;U120)</f>
        <v/>
      </c>
    </row>
    <row r="121" customFormat="false" ht="15" hidden="false" customHeight="false" outlineLevel="0" collapsed="false">
      <c r="A121" s="6" t="s">
        <v>316</v>
      </c>
      <c r="B121" s="7"/>
      <c r="C121" s="6" t="str">
        <f aca="false">IF(B121="","",IFERROR(INDEX(Lists!$K$2:$K$60,MATCH(B121,Lists!$J$2:$J$60,0)),""))</f>
        <v/>
      </c>
      <c r="D121" s="7"/>
      <c r="E121" s="7"/>
      <c r="F121" s="7"/>
      <c r="G121" s="7"/>
      <c r="H121" s="8"/>
      <c r="I121" s="7"/>
      <c r="J121" s="9"/>
      <c r="K121" s="7"/>
      <c r="L121" s="7"/>
      <c r="M121" s="7"/>
      <c r="N121" s="7"/>
      <c r="O121" s="7"/>
      <c r="P121" s="7"/>
      <c r="Q121" s="7"/>
      <c r="R121" s="7"/>
      <c r="S121" s="7"/>
      <c r="T121" s="7"/>
      <c r="U121" s="7"/>
      <c r="V121" s="7"/>
      <c r="W121" s="6" t="str">
        <f aca="false">IF(COUNTA(B121:V121)=0,"",IF(OR(B121="",C121="",D121="",F121="",G121="",H121="",I121="",L121="",M121=""),"ناقص",IF(AND(ISNUMBER(F121),ISNUMBER(H121)),"OK","السنة/السعر لازم أرقام")))</f>
        <v>ناقص</v>
      </c>
      <c r="X121" s="6" t="str">
        <f aca="false">IF(B121="","",B121&amp;" "&amp;C121&amp;" "&amp;D121&amp;" "&amp;E121&amp;" "&amp;F121&amp;" "&amp;G121&amp;" "&amp;I121&amp;" "&amp;L121&amp;" "&amp;M121&amp;" سعر "&amp;H121&amp;" جنيه "&amp;U121)</f>
        <v/>
      </c>
    </row>
    <row r="122" customFormat="false" ht="15" hidden="false" customHeight="false" outlineLevel="0" collapsed="false">
      <c r="A122" s="6" t="s">
        <v>317</v>
      </c>
      <c r="B122" s="7"/>
      <c r="C122" s="6" t="str">
        <f aca="false">IF(B122="","",IFERROR(INDEX(Lists!$K$2:$K$60,MATCH(B122,Lists!$J$2:$J$60,0)),""))</f>
        <v/>
      </c>
      <c r="D122" s="7"/>
      <c r="E122" s="7"/>
      <c r="F122" s="7"/>
      <c r="G122" s="7"/>
      <c r="H122" s="8"/>
      <c r="I122" s="7"/>
      <c r="J122" s="9"/>
      <c r="K122" s="7"/>
      <c r="L122" s="7"/>
      <c r="M122" s="7"/>
      <c r="N122" s="7"/>
      <c r="O122" s="7"/>
      <c r="P122" s="7"/>
      <c r="Q122" s="7"/>
      <c r="R122" s="7"/>
      <c r="S122" s="7"/>
      <c r="T122" s="7"/>
      <c r="U122" s="7"/>
      <c r="V122" s="7"/>
      <c r="W122" s="6" t="str">
        <f aca="false">IF(COUNTA(B122:V122)=0,"",IF(OR(B122="",C122="",D122="",F122="",G122="",H122="",I122="",L122="",M122=""),"ناقص",IF(AND(ISNUMBER(F122),ISNUMBER(H122)),"OK","السنة/السعر لازم أرقام")))</f>
        <v>ناقص</v>
      </c>
      <c r="X122" s="6" t="str">
        <f aca="false">IF(B122="","",B122&amp;" "&amp;C122&amp;" "&amp;D122&amp;" "&amp;E122&amp;" "&amp;F122&amp;" "&amp;G122&amp;" "&amp;I122&amp;" "&amp;L122&amp;" "&amp;M122&amp;" سعر "&amp;H122&amp;" جنيه "&amp;U122)</f>
        <v/>
      </c>
    </row>
    <row r="123" customFormat="false" ht="15" hidden="false" customHeight="false" outlineLevel="0" collapsed="false">
      <c r="A123" s="6" t="s">
        <v>318</v>
      </c>
      <c r="B123" s="7"/>
      <c r="C123" s="6" t="str">
        <f aca="false">IF(B123="","",IFERROR(INDEX(Lists!$K$2:$K$60,MATCH(B123,Lists!$J$2:$J$60,0)),""))</f>
        <v/>
      </c>
      <c r="D123" s="7"/>
      <c r="E123" s="7"/>
      <c r="F123" s="7"/>
      <c r="G123" s="7"/>
      <c r="H123" s="8"/>
      <c r="I123" s="7"/>
      <c r="J123" s="9"/>
      <c r="K123" s="7"/>
      <c r="L123" s="7"/>
      <c r="M123" s="7"/>
      <c r="N123" s="7"/>
      <c r="O123" s="7"/>
      <c r="P123" s="7"/>
      <c r="Q123" s="7"/>
      <c r="R123" s="7"/>
      <c r="S123" s="7"/>
      <c r="T123" s="7"/>
      <c r="U123" s="7"/>
      <c r="V123" s="7"/>
      <c r="W123" s="6" t="str">
        <f aca="false">IF(COUNTA(B123:V123)=0,"",IF(OR(B123="",C123="",D123="",F123="",G123="",H123="",I123="",L123="",M123=""),"ناقص",IF(AND(ISNUMBER(F123),ISNUMBER(H123)),"OK","السنة/السعر لازم أرقام")))</f>
        <v>ناقص</v>
      </c>
      <c r="X123" s="6" t="str">
        <f aca="false">IF(B123="","",B123&amp;" "&amp;C123&amp;" "&amp;D123&amp;" "&amp;E123&amp;" "&amp;F123&amp;" "&amp;G123&amp;" "&amp;I123&amp;" "&amp;L123&amp;" "&amp;M123&amp;" سعر "&amp;H123&amp;" جنيه "&amp;U123)</f>
        <v/>
      </c>
    </row>
    <row r="124" customFormat="false" ht="15" hidden="false" customHeight="false" outlineLevel="0" collapsed="false">
      <c r="A124" s="6" t="s">
        <v>319</v>
      </c>
      <c r="B124" s="7"/>
      <c r="C124" s="6" t="str">
        <f aca="false">IF(B124="","",IFERROR(INDEX(Lists!$K$2:$K$60,MATCH(B124,Lists!$J$2:$J$60,0)),""))</f>
        <v/>
      </c>
      <c r="D124" s="7"/>
      <c r="E124" s="7"/>
      <c r="F124" s="7"/>
      <c r="G124" s="7"/>
      <c r="H124" s="8"/>
      <c r="I124" s="7"/>
      <c r="J124" s="9"/>
      <c r="K124" s="7"/>
      <c r="L124" s="7"/>
      <c r="M124" s="7"/>
      <c r="N124" s="7"/>
      <c r="O124" s="7"/>
      <c r="P124" s="7"/>
      <c r="Q124" s="7"/>
      <c r="R124" s="7"/>
      <c r="S124" s="7"/>
      <c r="T124" s="7"/>
      <c r="U124" s="7"/>
      <c r="V124" s="7"/>
      <c r="W124" s="6" t="str">
        <f aca="false">IF(COUNTA(B124:V124)=0,"",IF(OR(B124="",C124="",D124="",F124="",G124="",H124="",I124="",L124="",M124=""),"ناقص",IF(AND(ISNUMBER(F124),ISNUMBER(H124)),"OK","السنة/السعر لازم أرقام")))</f>
        <v>ناقص</v>
      </c>
      <c r="X124" s="6" t="str">
        <f aca="false">IF(B124="","",B124&amp;" "&amp;C124&amp;" "&amp;D124&amp;" "&amp;E124&amp;" "&amp;F124&amp;" "&amp;G124&amp;" "&amp;I124&amp;" "&amp;L124&amp;" "&amp;M124&amp;" سعر "&amp;H124&amp;" جنيه "&amp;U124)</f>
        <v/>
      </c>
    </row>
    <row r="125" customFormat="false" ht="15" hidden="false" customHeight="false" outlineLevel="0" collapsed="false">
      <c r="A125" s="6" t="s">
        <v>320</v>
      </c>
      <c r="B125" s="7"/>
      <c r="C125" s="6" t="str">
        <f aca="false">IF(B125="","",IFERROR(INDEX(Lists!$K$2:$K$60,MATCH(B125,Lists!$J$2:$J$60,0)),""))</f>
        <v/>
      </c>
      <c r="D125" s="7"/>
      <c r="E125" s="7"/>
      <c r="F125" s="7"/>
      <c r="G125" s="7"/>
      <c r="H125" s="8"/>
      <c r="I125" s="7"/>
      <c r="J125" s="9"/>
      <c r="K125" s="7"/>
      <c r="L125" s="7"/>
      <c r="M125" s="7"/>
      <c r="N125" s="7"/>
      <c r="O125" s="7"/>
      <c r="P125" s="7"/>
      <c r="Q125" s="7"/>
      <c r="R125" s="7"/>
      <c r="S125" s="7"/>
      <c r="T125" s="7"/>
      <c r="U125" s="7"/>
      <c r="V125" s="7"/>
      <c r="W125" s="6" t="str">
        <f aca="false">IF(COUNTA(B125:V125)=0,"",IF(OR(B125="",C125="",D125="",F125="",G125="",H125="",I125="",L125="",M125=""),"ناقص",IF(AND(ISNUMBER(F125),ISNUMBER(H125)),"OK","السنة/السعر لازم أرقام")))</f>
        <v>ناقص</v>
      </c>
      <c r="X125" s="6" t="str">
        <f aca="false">IF(B125="","",B125&amp;" "&amp;C125&amp;" "&amp;D125&amp;" "&amp;E125&amp;" "&amp;F125&amp;" "&amp;G125&amp;" "&amp;I125&amp;" "&amp;L125&amp;" "&amp;M125&amp;" سعر "&amp;H125&amp;" جنيه "&amp;U125)</f>
        <v/>
      </c>
    </row>
    <row r="126" customFormat="false" ht="15" hidden="false" customHeight="false" outlineLevel="0" collapsed="false">
      <c r="A126" s="6" t="s">
        <v>321</v>
      </c>
      <c r="B126" s="7"/>
      <c r="C126" s="6" t="str">
        <f aca="false">IF(B126="","",IFERROR(INDEX(Lists!$K$2:$K$60,MATCH(B126,Lists!$J$2:$J$60,0)),""))</f>
        <v/>
      </c>
      <c r="D126" s="7"/>
      <c r="E126" s="7"/>
      <c r="F126" s="7"/>
      <c r="G126" s="7"/>
      <c r="H126" s="8"/>
      <c r="I126" s="7"/>
      <c r="J126" s="9"/>
      <c r="K126" s="7"/>
      <c r="L126" s="7"/>
      <c r="M126" s="7"/>
      <c r="N126" s="7"/>
      <c r="O126" s="7"/>
      <c r="P126" s="7"/>
      <c r="Q126" s="7"/>
      <c r="R126" s="7"/>
      <c r="S126" s="7"/>
      <c r="T126" s="7"/>
      <c r="U126" s="7"/>
      <c r="V126" s="7"/>
      <c r="W126" s="6" t="str">
        <f aca="false">IF(COUNTA(B126:V126)=0,"",IF(OR(B126="",C126="",D126="",F126="",G126="",H126="",I126="",L126="",M126=""),"ناقص",IF(AND(ISNUMBER(F126),ISNUMBER(H126)),"OK","السنة/السعر لازم أرقام")))</f>
        <v>ناقص</v>
      </c>
      <c r="X126" s="6" t="str">
        <f aca="false">IF(B126="","",B126&amp;" "&amp;C126&amp;" "&amp;D126&amp;" "&amp;E126&amp;" "&amp;F126&amp;" "&amp;G126&amp;" "&amp;I126&amp;" "&amp;L126&amp;" "&amp;M126&amp;" سعر "&amp;H126&amp;" جنيه "&amp;U126)</f>
        <v/>
      </c>
    </row>
    <row r="127" customFormat="false" ht="15" hidden="false" customHeight="false" outlineLevel="0" collapsed="false">
      <c r="A127" s="6" t="s">
        <v>322</v>
      </c>
      <c r="B127" s="7"/>
      <c r="C127" s="6" t="str">
        <f aca="false">IF(B127="","",IFERROR(INDEX(Lists!$K$2:$K$60,MATCH(B127,Lists!$J$2:$J$60,0)),""))</f>
        <v/>
      </c>
      <c r="D127" s="7"/>
      <c r="E127" s="7"/>
      <c r="F127" s="7"/>
      <c r="G127" s="7"/>
      <c r="H127" s="8"/>
      <c r="I127" s="7"/>
      <c r="J127" s="9"/>
      <c r="K127" s="7"/>
      <c r="L127" s="7"/>
      <c r="M127" s="7"/>
      <c r="N127" s="7"/>
      <c r="O127" s="7"/>
      <c r="P127" s="7"/>
      <c r="Q127" s="7"/>
      <c r="R127" s="7"/>
      <c r="S127" s="7"/>
      <c r="T127" s="7"/>
      <c r="U127" s="7"/>
      <c r="V127" s="7"/>
      <c r="W127" s="6" t="str">
        <f aca="false">IF(COUNTA(B127:V127)=0,"",IF(OR(B127="",C127="",D127="",F127="",G127="",H127="",I127="",L127="",M127=""),"ناقص",IF(AND(ISNUMBER(F127),ISNUMBER(H127)),"OK","السنة/السعر لازم أرقام")))</f>
        <v>ناقص</v>
      </c>
      <c r="X127" s="6" t="str">
        <f aca="false">IF(B127="","",B127&amp;" "&amp;C127&amp;" "&amp;D127&amp;" "&amp;E127&amp;" "&amp;F127&amp;" "&amp;G127&amp;" "&amp;I127&amp;" "&amp;L127&amp;" "&amp;M127&amp;" سعر "&amp;H127&amp;" جنيه "&amp;U127)</f>
        <v/>
      </c>
    </row>
    <row r="128" customFormat="false" ht="15" hidden="false" customHeight="false" outlineLevel="0" collapsed="false">
      <c r="A128" s="6" t="s">
        <v>323</v>
      </c>
      <c r="B128" s="7"/>
      <c r="C128" s="6" t="str">
        <f aca="false">IF(B128="","",IFERROR(INDEX(Lists!$K$2:$K$60,MATCH(B128,Lists!$J$2:$J$60,0)),""))</f>
        <v/>
      </c>
      <c r="D128" s="7"/>
      <c r="E128" s="7"/>
      <c r="F128" s="7"/>
      <c r="G128" s="7"/>
      <c r="H128" s="8"/>
      <c r="I128" s="7"/>
      <c r="J128" s="9"/>
      <c r="K128" s="7"/>
      <c r="L128" s="7"/>
      <c r="M128" s="7"/>
      <c r="N128" s="7"/>
      <c r="O128" s="7"/>
      <c r="P128" s="7"/>
      <c r="Q128" s="7"/>
      <c r="R128" s="7"/>
      <c r="S128" s="7"/>
      <c r="T128" s="7"/>
      <c r="U128" s="7"/>
      <c r="V128" s="7"/>
      <c r="W128" s="6" t="str">
        <f aca="false">IF(COUNTA(B128:V128)=0,"",IF(OR(B128="",C128="",D128="",F128="",G128="",H128="",I128="",L128="",M128=""),"ناقص",IF(AND(ISNUMBER(F128),ISNUMBER(H128)),"OK","السنة/السعر لازم أرقام")))</f>
        <v>ناقص</v>
      </c>
      <c r="X128" s="6" t="str">
        <f aca="false">IF(B128="","",B128&amp;" "&amp;C128&amp;" "&amp;D128&amp;" "&amp;E128&amp;" "&amp;F128&amp;" "&amp;G128&amp;" "&amp;I128&amp;" "&amp;L128&amp;" "&amp;M128&amp;" سعر "&amp;H128&amp;" جنيه "&amp;U128)</f>
        <v/>
      </c>
    </row>
    <row r="129" customFormat="false" ht="15" hidden="false" customHeight="false" outlineLevel="0" collapsed="false">
      <c r="A129" s="6" t="s">
        <v>324</v>
      </c>
      <c r="B129" s="7"/>
      <c r="C129" s="6" t="str">
        <f aca="false">IF(B129="","",IFERROR(INDEX(Lists!$K$2:$K$60,MATCH(B129,Lists!$J$2:$J$60,0)),""))</f>
        <v/>
      </c>
      <c r="D129" s="7"/>
      <c r="E129" s="7"/>
      <c r="F129" s="7"/>
      <c r="G129" s="7"/>
      <c r="H129" s="8"/>
      <c r="I129" s="7"/>
      <c r="J129" s="9"/>
      <c r="K129" s="7"/>
      <c r="L129" s="7"/>
      <c r="M129" s="7"/>
      <c r="N129" s="7"/>
      <c r="O129" s="7"/>
      <c r="P129" s="7"/>
      <c r="Q129" s="7"/>
      <c r="R129" s="7"/>
      <c r="S129" s="7"/>
      <c r="T129" s="7"/>
      <c r="U129" s="7"/>
      <c r="V129" s="7"/>
      <c r="W129" s="6" t="str">
        <f aca="false">IF(COUNTA(B129:V129)=0,"",IF(OR(B129="",C129="",D129="",F129="",G129="",H129="",I129="",L129="",M129=""),"ناقص",IF(AND(ISNUMBER(F129),ISNUMBER(H129)),"OK","السنة/السعر لازم أرقام")))</f>
        <v>ناقص</v>
      </c>
      <c r="X129" s="6" t="str">
        <f aca="false">IF(B129="","",B129&amp;" "&amp;C129&amp;" "&amp;D129&amp;" "&amp;E129&amp;" "&amp;F129&amp;" "&amp;G129&amp;" "&amp;I129&amp;" "&amp;L129&amp;" "&amp;M129&amp;" سعر "&amp;H129&amp;" جنيه "&amp;U129)</f>
        <v/>
      </c>
    </row>
    <row r="130" customFormat="false" ht="15" hidden="false" customHeight="false" outlineLevel="0" collapsed="false">
      <c r="A130" s="6" t="s">
        <v>325</v>
      </c>
      <c r="B130" s="7"/>
      <c r="C130" s="6" t="str">
        <f aca="false">IF(B130="","",IFERROR(INDEX(Lists!$K$2:$K$60,MATCH(B130,Lists!$J$2:$J$60,0)),""))</f>
        <v/>
      </c>
      <c r="D130" s="7"/>
      <c r="E130" s="7"/>
      <c r="F130" s="7"/>
      <c r="G130" s="7"/>
      <c r="H130" s="8"/>
      <c r="I130" s="7"/>
      <c r="J130" s="9"/>
      <c r="K130" s="7"/>
      <c r="L130" s="7"/>
      <c r="M130" s="7"/>
      <c r="N130" s="7"/>
      <c r="O130" s="7"/>
      <c r="P130" s="7"/>
      <c r="Q130" s="7"/>
      <c r="R130" s="7"/>
      <c r="S130" s="7"/>
      <c r="T130" s="7"/>
      <c r="U130" s="7"/>
      <c r="V130" s="7"/>
      <c r="W130" s="6" t="str">
        <f aca="false">IF(COUNTA(B130:V130)=0,"",IF(OR(B130="",C130="",D130="",F130="",G130="",H130="",I130="",L130="",M130=""),"ناقص",IF(AND(ISNUMBER(F130),ISNUMBER(H130)),"OK","السنة/السعر لازم أرقام")))</f>
        <v>ناقص</v>
      </c>
      <c r="X130" s="6" t="str">
        <f aca="false">IF(B130="","",B130&amp;" "&amp;C130&amp;" "&amp;D130&amp;" "&amp;E130&amp;" "&amp;F130&amp;" "&amp;G130&amp;" "&amp;I130&amp;" "&amp;L130&amp;" "&amp;M130&amp;" سعر "&amp;H130&amp;" جنيه "&amp;U130)</f>
        <v/>
      </c>
    </row>
    <row r="131" customFormat="false" ht="15" hidden="false" customHeight="false" outlineLevel="0" collapsed="false">
      <c r="A131" s="6" t="s">
        <v>326</v>
      </c>
      <c r="B131" s="7"/>
      <c r="C131" s="6" t="str">
        <f aca="false">IF(B131="","",IFERROR(INDEX(Lists!$K$2:$K$60,MATCH(B131,Lists!$J$2:$J$60,0)),""))</f>
        <v/>
      </c>
      <c r="D131" s="7"/>
      <c r="E131" s="7"/>
      <c r="F131" s="7"/>
      <c r="G131" s="7"/>
      <c r="H131" s="8"/>
      <c r="I131" s="7"/>
      <c r="J131" s="9"/>
      <c r="K131" s="7"/>
      <c r="L131" s="7"/>
      <c r="M131" s="7"/>
      <c r="N131" s="7"/>
      <c r="O131" s="7"/>
      <c r="P131" s="7"/>
      <c r="Q131" s="7"/>
      <c r="R131" s="7"/>
      <c r="S131" s="7"/>
      <c r="T131" s="7"/>
      <c r="U131" s="7"/>
      <c r="V131" s="7"/>
      <c r="W131" s="6" t="str">
        <f aca="false">IF(COUNTA(B131:V131)=0,"",IF(OR(B131="",C131="",D131="",F131="",G131="",H131="",I131="",L131="",M131=""),"ناقص",IF(AND(ISNUMBER(F131),ISNUMBER(H131)),"OK","السنة/السعر لازم أرقام")))</f>
        <v>ناقص</v>
      </c>
      <c r="X131" s="6" t="str">
        <f aca="false">IF(B131="","",B131&amp;" "&amp;C131&amp;" "&amp;D131&amp;" "&amp;E131&amp;" "&amp;F131&amp;" "&amp;G131&amp;" "&amp;I131&amp;" "&amp;L131&amp;" "&amp;M131&amp;" سعر "&amp;H131&amp;" جنيه "&amp;U131)</f>
        <v/>
      </c>
    </row>
    <row r="132" customFormat="false" ht="15" hidden="false" customHeight="false" outlineLevel="0" collapsed="false">
      <c r="A132" s="6" t="s">
        <v>327</v>
      </c>
      <c r="B132" s="7"/>
      <c r="C132" s="6" t="str">
        <f aca="false">IF(B132="","",IFERROR(INDEX(Lists!$K$2:$K$60,MATCH(B132,Lists!$J$2:$J$60,0)),""))</f>
        <v/>
      </c>
      <c r="D132" s="7"/>
      <c r="E132" s="7"/>
      <c r="F132" s="7"/>
      <c r="G132" s="7"/>
      <c r="H132" s="8"/>
      <c r="I132" s="7"/>
      <c r="J132" s="9"/>
      <c r="K132" s="7"/>
      <c r="L132" s="7"/>
      <c r="M132" s="7"/>
      <c r="N132" s="7"/>
      <c r="O132" s="7"/>
      <c r="P132" s="7"/>
      <c r="Q132" s="7"/>
      <c r="R132" s="7"/>
      <c r="S132" s="7"/>
      <c r="T132" s="7"/>
      <c r="U132" s="7"/>
      <c r="V132" s="7"/>
      <c r="W132" s="6" t="str">
        <f aca="false">IF(COUNTA(B132:V132)=0,"",IF(OR(B132="",C132="",D132="",F132="",G132="",H132="",I132="",L132="",M132=""),"ناقص",IF(AND(ISNUMBER(F132),ISNUMBER(H132)),"OK","السنة/السعر لازم أرقام")))</f>
        <v>ناقص</v>
      </c>
      <c r="X132" s="6" t="str">
        <f aca="false">IF(B132="","",B132&amp;" "&amp;C132&amp;" "&amp;D132&amp;" "&amp;E132&amp;" "&amp;F132&amp;" "&amp;G132&amp;" "&amp;I132&amp;" "&amp;L132&amp;" "&amp;M132&amp;" سعر "&amp;H132&amp;" جنيه "&amp;U132)</f>
        <v/>
      </c>
    </row>
    <row r="133" customFormat="false" ht="15" hidden="false" customHeight="false" outlineLevel="0" collapsed="false">
      <c r="A133" s="6" t="s">
        <v>328</v>
      </c>
      <c r="B133" s="7"/>
      <c r="C133" s="6" t="str">
        <f aca="false">IF(B133="","",IFERROR(INDEX(Lists!$K$2:$K$60,MATCH(B133,Lists!$J$2:$J$60,0)),""))</f>
        <v/>
      </c>
      <c r="D133" s="7"/>
      <c r="E133" s="7"/>
      <c r="F133" s="7"/>
      <c r="G133" s="7"/>
      <c r="H133" s="8"/>
      <c r="I133" s="7"/>
      <c r="J133" s="9"/>
      <c r="K133" s="7"/>
      <c r="L133" s="7"/>
      <c r="M133" s="7"/>
      <c r="N133" s="7"/>
      <c r="O133" s="7"/>
      <c r="P133" s="7"/>
      <c r="Q133" s="7"/>
      <c r="R133" s="7"/>
      <c r="S133" s="7"/>
      <c r="T133" s="7"/>
      <c r="U133" s="7"/>
      <c r="V133" s="7"/>
      <c r="W133" s="6" t="str">
        <f aca="false">IF(COUNTA(B133:V133)=0,"",IF(OR(B133="",C133="",D133="",F133="",G133="",H133="",I133="",L133="",M133=""),"ناقص",IF(AND(ISNUMBER(F133),ISNUMBER(H133)),"OK","السنة/السعر لازم أرقام")))</f>
        <v>ناقص</v>
      </c>
      <c r="X133" s="6" t="str">
        <f aca="false">IF(B133="","",B133&amp;" "&amp;C133&amp;" "&amp;D133&amp;" "&amp;E133&amp;" "&amp;F133&amp;" "&amp;G133&amp;" "&amp;I133&amp;" "&amp;L133&amp;" "&amp;M133&amp;" سعر "&amp;H133&amp;" جنيه "&amp;U133)</f>
        <v/>
      </c>
    </row>
    <row r="134" customFormat="false" ht="15" hidden="false" customHeight="false" outlineLevel="0" collapsed="false">
      <c r="A134" s="6" t="s">
        <v>329</v>
      </c>
      <c r="B134" s="7"/>
      <c r="C134" s="6" t="str">
        <f aca="false">IF(B134="","",IFERROR(INDEX(Lists!$K$2:$K$60,MATCH(B134,Lists!$J$2:$J$60,0)),""))</f>
        <v/>
      </c>
      <c r="D134" s="7"/>
      <c r="E134" s="7"/>
      <c r="F134" s="7"/>
      <c r="G134" s="7"/>
      <c r="H134" s="8"/>
      <c r="I134" s="7"/>
      <c r="J134" s="9"/>
      <c r="K134" s="7"/>
      <c r="L134" s="7"/>
      <c r="M134" s="7"/>
      <c r="N134" s="7"/>
      <c r="O134" s="7"/>
      <c r="P134" s="7"/>
      <c r="Q134" s="7"/>
      <c r="R134" s="7"/>
      <c r="S134" s="7"/>
      <c r="T134" s="7"/>
      <c r="U134" s="7"/>
      <c r="V134" s="7"/>
      <c r="W134" s="6" t="str">
        <f aca="false">IF(COUNTA(B134:V134)=0,"",IF(OR(B134="",C134="",D134="",F134="",G134="",H134="",I134="",L134="",M134=""),"ناقص",IF(AND(ISNUMBER(F134),ISNUMBER(H134)),"OK","السنة/السعر لازم أرقام")))</f>
        <v>ناقص</v>
      </c>
      <c r="X134" s="6" t="str">
        <f aca="false">IF(B134="","",B134&amp;" "&amp;C134&amp;" "&amp;D134&amp;" "&amp;E134&amp;" "&amp;F134&amp;" "&amp;G134&amp;" "&amp;I134&amp;" "&amp;L134&amp;" "&amp;M134&amp;" سعر "&amp;H134&amp;" جنيه "&amp;U134)</f>
        <v/>
      </c>
    </row>
    <row r="135" customFormat="false" ht="15" hidden="false" customHeight="false" outlineLevel="0" collapsed="false">
      <c r="A135" s="6" t="s">
        <v>330</v>
      </c>
      <c r="B135" s="7"/>
      <c r="C135" s="6" t="str">
        <f aca="false">IF(B135="","",IFERROR(INDEX(Lists!$K$2:$K$60,MATCH(B135,Lists!$J$2:$J$60,0)),""))</f>
        <v/>
      </c>
      <c r="D135" s="7"/>
      <c r="E135" s="7"/>
      <c r="F135" s="7"/>
      <c r="G135" s="7"/>
      <c r="H135" s="8"/>
      <c r="I135" s="7"/>
      <c r="J135" s="9"/>
      <c r="K135" s="7"/>
      <c r="L135" s="7"/>
      <c r="M135" s="7"/>
      <c r="N135" s="7"/>
      <c r="O135" s="7"/>
      <c r="P135" s="7"/>
      <c r="Q135" s="7"/>
      <c r="R135" s="7"/>
      <c r="S135" s="7"/>
      <c r="T135" s="7"/>
      <c r="U135" s="7"/>
      <c r="V135" s="7"/>
      <c r="W135" s="6" t="str">
        <f aca="false">IF(COUNTA(B135:V135)=0,"",IF(OR(B135="",C135="",D135="",F135="",G135="",H135="",I135="",L135="",M135=""),"ناقص",IF(AND(ISNUMBER(F135),ISNUMBER(H135)),"OK","السنة/السعر لازم أرقام")))</f>
        <v>ناقص</v>
      </c>
      <c r="X135" s="6" t="str">
        <f aca="false">IF(B135="","",B135&amp;" "&amp;C135&amp;" "&amp;D135&amp;" "&amp;E135&amp;" "&amp;F135&amp;" "&amp;G135&amp;" "&amp;I135&amp;" "&amp;L135&amp;" "&amp;M135&amp;" سعر "&amp;H135&amp;" جنيه "&amp;U135)</f>
        <v/>
      </c>
    </row>
    <row r="136" customFormat="false" ht="15" hidden="false" customHeight="false" outlineLevel="0" collapsed="false">
      <c r="A136" s="6" t="s">
        <v>331</v>
      </c>
      <c r="B136" s="7"/>
      <c r="C136" s="6" t="str">
        <f aca="false">IF(B136="","",IFERROR(INDEX(Lists!$K$2:$K$60,MATCH(B136,Lists!$J$2:$J$60,0)),""))</f>
        <v/>
      </c>
      <c r="D136" s="7"/>
      <c r="E136" s="7"/>
      <c r="F136" s="7"/>
      <c r="G136" s="7"/>
      <c r="H136" s="8"/>
      <c r="I136" s="7"/>
      <c r="J136" s="9"/>
      <c r="K136" s="7"/>
      <c r="L136" s="7"/>
      <c r="M136" s="7"/>
      <c r="N136" s="7"/>
      <c r="O136" s="7"/>
      <c r="P136" s="7"/>
      <c r="Q136" s="7"/>
      <c r="R136" s="7"/>
      <c r="S136" s="7"/>
      <c r="T136" s="7"/>
      <c r="U136" s="7"/>
      <c r="V136" s="7"/>
      <c r="W136" s="6" t="str">
        <f aca="false">IF(COUNTA(B136:V136)=0,"",IF(OR(B136="",C136="",D136="",F136="",G136="",H136="",I136="",L136="",M136=""),"ناقص",IF(AND(ISNUMBER(F136),ISNUMBER(H136)),"OK","السنة/السعر لازم أرقام")))</f>
        <v>ناقص</v>
      </c>
      <c r="X136" s="6" t="str">
        <f aca="false">IF(B136="","",B136&amp;" "&amp;C136&amp;" "&amp;D136&amp;" "&amp;E136&amp;" "&amp;F136&amp;" "&amp;G136&amp;" "&amp;I136&amp;" "&amp;L136&amp;" "&amp;M136&amp;" سعر "&amp;H136&amp;" جنيه "&amp;U136)</f>
        <v/>
      </c>
    </row>
    <row r="137" customFormat="false" ht="15" hidden="false" customHeight="false" outlineLevel="0" collapsed="false">
      <c r="A137" s="6" t="s">
        <v>332</v>
      </c>
      <c r="B137" s="7"/>
      <c r="C137" s="6" t="str">
        <f aca="false">IF(B137="","",IFERROR(INDEX(Lists!$K$2:$K$60,MATCH(B137,Lists!$J$2:$J$60,0)),""))</f>
        <v/>
      </c>
      <c r="D137" s="7"/>
      <c r="E137" s="7"/>
      <c r="F137" s="7"/>
      <c r="G137" s="7"/>
      <c r="H137" s="8"/>
      <c r="I137" s="7"/>
      <c r="J137" s="9"/>
      <c r="K137" s="7"/>
      <c r="L137" s="7"/>
      <c r="M137" s="7"/>
      <c r="N137" s="7"/>
      <c r="O137" s="7"/>
      <c r="P137" s="7"/>
      <c r="Q137" s="7"/>
      <c r="R137" s="7"/>
      <c r="S137" s="7"/>
      <c r="T137" s="7"/>
      <c r="U137" s="7"/>
      <c r="V137" s="7"/>
      <c r="W137" s="6" t="str">
        <f aca="false">IF(COUNTA(B137:V137)=0,"",IF(OR(B137="",C137="",D137="",F137="",G137="",H137="",I137="",L137="",M137=""),"ناقص",IF(AND(ISNUMBER(F137),ISNUMBER(H137)),"OK","السنة/السعر لازم أرقام")))</f>
        <v>ناقص</v>
      </c>
      <c r="X137" s="6" t="str">
        <f aca="false">IF(B137="","",B137&amp;" "&amp;C137&amp;" "&amp;D137&amp;" "&amp;E137&amp;" "&amp;F137&amp;" "&amp;G137&amp;" "&amp;I137&amp;" "&amp;L137&amp;" "&amp;M137&amp;" سعر "&amp;H137&amp;" جنيه "&amp;U137)</f>
        <v/>
      </c>
    </row>
    <row r="138" customFormat="false" ht="15" hidden="false" customHeight="false" outlineLevel="0" collapsed="false">
      <c r="A138" s="6" t="s">
        <v>333</v>
      </c>
      <c r="B138" s="7"/>
      <c r="C138" s="6" t="str">
        <f aca="false">IF(B138="","",IFERROR(INDEX(Lists!$K$2:$K$60,MATCH(B138,Lists!$J$2:$J$60,0)),""))</f>
        <v/>
      </c>
      <c r="D138" s="7"/>
      <c r="E138" s="7"/>
      <c r="F138" s="7"/>
      <c r="G138" s="7"/>
      <c r="H138" s="8"/>
      <c r="I138" s="7"/>
      <c r="J138" s="9"/>
      <c r="K138" s="7"/>
      <c r="L138" s="7"/>
      <c r="M138" s="7"/>
      <c r="N138" s="7"/>
      <c r="O138" s="7"/>
      <c r="P138" s="7"/>
      <c r="Q138" s="7"/>
      <c r="R138" s="7"/>
      <c r="S138" s="7"/>
      <c r="T138" s="7"/>
      <c r="U138" s="7"/>
      <c r="V138" s="7"/>
      <c r="W138" s="6" t="str">
        <f aca="false">IF(COUNTA(B138:V138)=0,"",IF(OR(B138="",C138="",D138="",F138="",G138="",H138="",I138="",L138="",M138=""),"ناقص",IF(AND(ISNUMBER(F138),ISNUMBER(H138)),"OK","السنة/السعر لازم أرقام")))</f>
        <v>ناقص</v>
      </c>
      <c r="X138" s="6" t="str">
        <f aca="false">IF(B138="","",B138&amp;" "&amp;C138&amp;" "&amp;D138&amp;" "&amp;E138&amp;" "&amp;F138&amp;" "&amp;G138&amp;" "&amp;I138&amp;" "&amp;L138&amp;" "&amp;M138&amp;" سعر "&amp;H138&amp;" جنيه "&amp;U138)</f>
        <v/>
      </c>
    </row>
    <row r="139" customFormat="false" ht="15" hidden="false" customHeight="false" outlineLevel="0" collapsed="false">
      <c r="A139" s="6" t="s">
        <v>334</v>
      </c>
      <c r="B139" s="7"/>
      <c r="C139" s="6" t="str">
        <f aca="false">IF(B139="","",IFERROR(INDEX(Lists!$K$2:$K$60,MATCH(B139,Lists!$J$2:$J$60,0)),""))</f>
        <v/>
      </c>
      <c r="D139" s="7"/>
      <c r="E139" s="7"/>
      <c r="F139" s="7"/>
      <c r="G139" s="7"/>
      <c r="H139" s="8"/>
      <c r="I139" s="7"/>
      <c r="J139" s="9"/>
      <c r="K139" s="7"/>
      <c r="L139" s="7"/>
      <c r="M139" s="7"/>
      <c r="N139" s="7"/>
      <c r="O139" s="7"/>
      <c r="P139" s="7"/>
      <c r="Q139" s="7"/>
      <c r="R139" s="7"/>
      <c r="S139" s="7"/>
      <c r="T139" s="7"/>
      <c r="U139" s="7"/>
      <c r="V139" s="7"/>
      <c r="W139" s="6" t="str">
        <f aca="false">IF(COUNTA(B139:V139)=0,"",IF(OR(B139="",C139="",D139="",F139="",G139="",H139="",I139="",L139="",M139=""),"ناقص",IF(AND(ISNUMBER(F139),ISNUMBER(H139)),"OK","السنة/السعر لازم أرقام")))</f>
        <v>ناقص</v>
      </c>
      <c r="X139" s="6" t="str">
        <f aca="false">IF(B139="","",B139&amp;" "&amp;C139&amp;" "&amp;D139&amp;" "&amp;E139&amp;" "&amp;F139&amp;" "&amp;G139&amp;" "&amp;I139&amp;" "&amp;L139&amp;" "&amp;M139&amp;" سعر "&amp;H139&amp;" جنيه "&amp;U139)</f>
        <v/>
      </c>
    </row>
    <row r="140" customFormat="false" ht="15" hidden="false" customHeight="false" outlineLevel="0" collapsed="false">
      <c r="A140" s="6" t="s">
        <v>335</v>
      </c>
      <c r="B140" s="7"/>
      <c r="C140" s="6" t="str">
        <f aca="false">IF(B140="","",IFERROR(INDEX(Lists!$K$2:$K$60,MATCH(B140,Lists!$J$2:$J$60,0)),""))</f>
        <v/>
      </c>
      <c r="D140" s="7"/>
      <c r="E140" s="7"/>
      <c r="F140" s="7"/>
      <c r="G140" s="7"/>
      <c r="H140" s="8"/>
      <c r="I140" s="7"/>
      <c r="J140" s="9"/>
      <c r="K140" s="7"/>
      <c r="L140" s="7"/>
      <c r="M140" s="7"/>
      <c r="N140" s="7"/>
      <c r="O140" s="7"/>
      <c r="P140" s="7"/>
      <c r="Q140" s="7"/>
      <c r="R140" s="7"/>
      <c r="S140" s="7"/>
      <c r="T140" s="7"/>
      <c r="U140" s="7"/>
      <c r="V140" s="7"/>
      <c r="W140" s="6" t="str">
        <f aca="false">IF(COUNTA(B140:V140)=0,"",IF(OR(B140="",C140="",D140="",F140="",G140="",H140="",I140="",L140="",M140=""),"ناقص",IF(AND(ISNUMBER(F140),ISNUMBER(H140)),"OK","السنة/السعر لازم أرقام")))</f>
        <v>ناقص</v>
      </c>
      <c r="X140" s="6" t="str">
        <f aca="false">IF(B140="","",B140&amp;" "&amp;C140&amp;" "&amp;D140&amp;" "&amp;E140&amp;" "&amp;F140&amp;" "&amp;G140&amp;" "&amp;I140&amp;" "&amp;L140&amp;" "&amp;M140&amp;" سعر "&amp;H140&amp;" جنيه "&amp;U140)</f>
        <v/>
      </c>
    </row>
    <row r="141" customFormat="false" ht="15" hidden="false" customHeight="false" outlineLevel="0" collapsed="false">
      <c r="A141" s="6" t="s">
        <v>336</v>
      </c>
      <c r="B141" s="7"/>
      <c r="C141" s="6" t="str">
        <f aca="false">IF(B141="","",IFERROR(INDEX(Lists!$K$2:$K$60,MATCH(B141,Lists!$J$2:$J$60,0)),""))</f>
        <v/>
      </c>
      <c r="D141" s="7"/>
      <c r="E141" s="7"/>
      <c r="F141" s="7"/>
      <c r="G141" s="7"/>
      <c r="H141" s="8"/>
      <c r="I141" s="7"/>
      <c r="J141" s="9"/>
      <c r="K141" s="7"/>
      <c r="L141" s="7"/>
      <c r="M141" s="7"/>
      <c r="N141" s="7"/>
      <c r="O141" s="7"/>
      <c r="P141" s="7"/>
      <c r="Q141" s="7"/>
      <c r="R141" s="7"/>
      <c r="S141" s="7"/>
      <c r="T141" s="7"/>
      <c r="U141" s="7"/>
      <c r="V141" s="7"/>
      <c r="W141" s="6" t="str">
        <f aca="false">IF(COUNTA(B141:V141)=0,"",IF(OR(B141="",C141="",D141="",F141="",G141="",H141="",I141="",L141="",M141=""),"ناقص",IF(AND(ISNUMBER(F141),ISNUMBER(H141)),"OK","السنة/السعر لازم أرقام")))</f>
        <v>ناقص</v>
      </c>
      <c r="X141" s="6" t="str">
        <f aca="false">IF(B141="","",B141&amp;" "&amp;C141&amp;" "&amp;D141&amp;" "&amp;E141&amp;" "&amp;F141&amp;" "&amp;G141&amp;" "&amp;I141&amp;" "&amp;L141&amp;" "&amp;M141&amp;" سعر "&amp;H141&amp;" جنيه "&amp;U141)</f>
        <v/>
      </c>
    </row>
    <row r="142" customFormat="false" ht="15" hidden="false" customHeight="false" outlineLevel="0" collapsed="false">
      <c r="A142" s="6" t="s">
        <v>337</v>
      </c>
      <c r="B142" s="7"/>
      <c r="C142" s="6" t="str">
        <f aca="false">IF(B142="","",IFERROR(INDEX(Lists!$K$2:$K$60,MATCH(B142,Lists!$J$2:$J$60,0)),""))</f>
        <v/>
      </c>
      <c r="D142" s="7"/>
      <c r="E142" s="7"/>
      <c r="F142" s="7"/>
      <c r="G142" s="7"/>
      <c r="H142" s="8"/>
      <c r="I142" s="7"/>
      <c r="J142" s="9"/>
      <c r="K142" s="7"/>
      <c r="L142" s="7"/>
      <c r="M142" s="7"/>
      <c r="N142" s="7"/>
      <c r="O142" s="7"/>
      <c r="P142" s="7"/>
      <c r="Q142" s="7"/>
      <c r="R142" s="7"/>
      <c r="S142" s="7"/>
      <c r="T142" s="7"/>
      <c r="U142" s="7"/>
      <c r="V142" s="7"/>
      <c r="W142" s="6" t="str">
        <f aca="false">IF(COUNTA(B142:V142)=0,"",IF(OR(B142="",C142="",D142="",F142="",G142="",H142="",I142="",L142="",M142=""),"ناقص",IF(AND(ISNUMBER(F142),ISNUMBER(H142)),"OK","السنة/السعر لازم أرقام")))</f>
        <v>ناقص</v>
      </c>
      <c r="X142" s="6" t="str">
        <f aca="false">IF(B142="","",B142&amp;" "&amp;C142&amp;" "&amp;D142&amp;" "&amp;E142&amp;" "&amp;F142&amp;" "&amp;G142&amp;" "&amp;I142&amp;" "&amp;L142&amp;" "&amp;M142&amp;" سعر "&amp;H142&amp;" جنيه "&amp;U142)</f>
        <v/>
      </c>
    </row>
    <row r="143" customFormat="false" ht="15" hidden="false" customHeight="false" outlineLevel="0" collapsed="false">
      <c r="A143" s="6" t="s">
        <v>338</v>
      </c>
      <c r="B143" s="7"/>
      <c r="C143" s="6" t="str">
        <f aca="false">IF(B143="","",IFERROR(INDEX(Lists!$K$2:$K$60,MATCH(B143,Lists!$J$2:$J$60,0)),""))</f>
        <v/>
      </c>
      <c r="D143" s="7"/>
      <c r="E143" s="7"/>
      <c r="F143" s="7"/>
      <c r="G143" s="7"/>
      <c r="H143" s="8"/>
      <c r="I143" s="7"/>
      <c r="J143" s="9"/>
      <c r="K143" s="7"/>
      <c r="L143" s="7"/>
      <c r="M143" s="7"/>
      <c r="N143" s="7"/>
      <c r="O143" s="7"/>
      <c r="P143" s="7"/>
      <c r="Q143" s="7"/>
      <c r="R143" s="7"/>
      <c r="S143" s="7"/>
      <c r="T143" s="7"/>
      <c r="U143" s="7"/>
      <c r="V143" s="7"/>
      <c r="W143" s="6" t="str">
        <f aca="false">IF(COUNTA(B143:V143)=0,"",IF(OR(B143="",C143="",D143="",F143="",G143="",H143="",I143="",L143="",M143=""),"ناقص",IF(AND(ISNUMBER(F143),ISNUMBER(H143)),"OK","السنة/السعر لازم أرقام")))</f>
        <v>ناقص</v>
      </c>
      <c r="X143" s="6" t="str">
        <f aca="false">IF(B143="","",B143&amp;" "&amp;C143&amp;" "&amp;D143&amp;" "&amp;E143&amp;" "&amp;F143&amp;" "&amp;G143&amp;" "&amp;I143&amp;" "&amp;L143&amp;" "&amp;M143&amp;" سعر "&amp;H143&amp;" جنيه "&amp;U143)</f>
        <v/>
      </c>
    </row>
    <row r="144" customFormat="false" ht="15" hidden="false" customHeight="false" outlineLevel="0" collapsed="false">
      <c r="A144" s="6" t="s">
        <v>339</v>
      </c>
      <c r="B144" s="7"/>
      <c r="C144" s="6" t="str">
        <f aca="false">IF(B144="","",IFERROR(INDEX(Lists!$K$2:$K$60,MATCH(B144,Lists!$J$2:$J$60,0)),""))</f>
        <v/>
      </c>
      <c r="D144" s="7"/>
      <c r="E144" s="7"/>
      <c r="F144" s="7"/>
      <c r="G144" s="7"/>
      <c r="H144" s="8"/>
      <c r="I144" s="7"/>
      <c r="J144" s="9"/>
      <c r="K144" s="7"/>
      <c r="L144" s="7"/>
      <c r="M144" s="7"/>
      <c r="N144" s="7"/>
      <c r="O144" s="7"/>
      <c r="P144" s="7"/>
      <c r="Q144" s="7"/>
      <c r="R144" s="7"/>
      <c r="S144" s="7"/>
      <c r="T144" s="7"/>
      <c r="U144" s="7"/>
      <c r="V144" s="7"/>
      <c r="W144" s="6" t="str">
        <f aca="false">IF(COUNTA(B144:V144)=0,"",IF(OR(B144="",C144="",D144="",F144="",G144="",H144="",I144="",L144="",M144=""),"ناقص",IF(AND(ISNUMBER(F144),ISNUMBER(H144)),"OK","السنة/السعر لازم أرقام")))</f>
        <v>ناقص</v>
      </c>
      <c r="X144" s="6" t="str">
        <f aca="false">IF(B144="","",B144&amp;" "&amp;C144&amp;" "&amp;D144&amp;" "&amp;E144&amp;" "&amp;F144&amp;" "&amp;G144&amp;" "&amp;I144&amp;" "&amp;L144&amp;" "&amp;M144&amp;" سعر "&amp;H144&amp;" جنيه "&amp;U144)</f>
        <v/>
      </c>
    </row>
    <row r="145" customFormat="false" ht="15" hidden="false" customHeight="false" outlineLevel="0" collapsed="false">
      <c r="A145" s="6" t="s">
        <v>340</v>
      </c>
      <c r="B145" s="7"/>
      <c r="C145" s="6" t="str">
        <f aca="false">IF(B145="","",IFERROR(INDEX(Lists!$K$2:$K$60,MATCH(B145,Lists!$J$2:$J$60,0)),""))</f>
        <v/>
      </c>
      <c r="D145" s="7"/>
      <c r="E145" s="7"/>
      <c r="F145" s="7"/>
      <c r="G145" s="7"/>
      <c r="H145" s="8"/>
      <c r="I145" s="7"/>
      <c r="J145" s="9"/>
      <c r="K145" s="7"/>
      <c r="L145" s="7"/>
      <c r="M145" s="7"/>
      <c r="N145" s="7"/>
      <c r="O145" s="7"/>
      <c r="P145" s="7"/>
      <c r="Q145" s="7"/>
      <c r="R145" s="7"/>
      <c r="S145" s="7"/>
      <c r="T145" s="7"/>
      <c r="U145" s="7"/>
      <c r="V145" s="7"/>
      <c r="W145" s="6" t="str">
        <f aca="false">IF(COUNTA(B145:V145)=0,"",IF(OR(B145="",C145="",D145="",F145="",G145="",H145="",I145="",L145="",M145=""),"ناقص",IF(AND(ISNUMBER(F145),ISNUMBER(H145)),"OK","السنة/السعر لازم أرقام")))</f>
        <v>ناقص</v>
      </c>
      <c r="X145" s="6" t="str">
        <f aca="false">IF(B145="","",B145&amp;" "&amp;C145&amp;" "&amp;D145&amp;" "&amp;E145&amp;" "&amp;F145&amp;" "&amp;G145&amp;" "&amp;I145&amp;" "&amp;L145&amp;" "&amp;M145&amp;" سعر "&amp;H145&amp;" جنيه "&amp;U145)</f>
        <v/>
      </c>
    </row>
    <row r="146" customFormat="false" ht="15" hidden="false" customHeight="false" outlineLevel="0" collapsed="false">
      <c r="A146" s="6" t="s">
        <v>341</v>
      </c>
      <c r="B146" s="7"/>
      <c r="C146" s="6" t="str">
        <f aca="false">IF(B146="","",IFERROR(INDEX(Lists!$K$2:$K$60,MATCH(B146,Lists!$J$2:$J$60,0)),""))</f>
        <v/>
      </c>
      <c r="D146" s="7"/>
      <c r="E146" s="7"/>
      <c r="F146" s="7"/>
      <c r="G146" s="7"/>
      <c r="H146" s="8"/>
      <c r="I146" s="7"/>
      <c r="J146" s="9"/>
      <c r="K146" s="7"/>
      <c r="L146" s="7"/>
      <c r="M146" s="7"/>
      <c r="N146" s="7"/>
      <c r="O146" s="7"/>
      <c r="P146" s="7"/>
      <c r="Q146" s="7"/>
      <c r="R146" s="7"/>
      <c r="S146" s="7"/>
      <c r="T146" s="7"/>
      <c r="U146" s="7"/>
      <c r="V146" s="7"/>
      <c r="W146" s="6" t="str">
        <f aca="false">IF(COUNTA(B146:V146)=0,"",IF(OR(B146="",C146="",D146="",F146="",G146="",H146="",I146="",L146="",M146=""),"ناقص",IF(AND(ISNUMBER(F146),ISNUMBER(H146)),"OK","السنة/السعر لازم أرقام")))</f>
        <v>ناقص</v>
      </c>
      <c r="X146" s="6" t="str">
        <f aca="false">IF(B146="","",B146&amp;" "&amp;C146&amp;" "&amp;D146&amp;" "&amp;E146&amp;" "&amp;F146&amp;" "&amp;G146&amp;" "&amp;I146&amp;" "&amp;L146&amp;" "&amp;M146&amp;" سعر "&amp;H146&amp;" جنيه "&amp;U146)</f>
        <v/>
      </c>
    </row>
    <row r="147" customFormat="false" ht="15" hidden="false" customHeight="false" outlineLevel="0" collapsed="false">
      <c r="A147" s="6" t="s">
        <v>342</v>
      </c>
      <c r="B147" s="7"/>
      <c r="C147" s="6" t="str">
        <f aca="false">IF(B147="","",IFERROR(INDEX(Lists!$K$2:$K$60,MATCH(B147,Lists!$J$2:$J$60,0)),""))</f>
        <v/>
      </c>
      <c r="D147" s="7"/>
      <c r="E147" s="7"/>
      <c r="F147" s="7"/>
      <c r="G147" s="7"/>
      <c r="H147" s="8"/>
      <c r="I147" s="7"/>
      <c r="J147" s="9"/>
      <c r="K147" s="7"/>
      <c r="L147" s="7"/>
      <c r="M147" s="7"/>
      <c r="N147" s="7"/>
      <c r="O147" s="7"/>
      <c r="P147" s="7"/>
      <c r="Q147" s="7"/>
      <c r="R147" s="7"/>
      <c r="S147" s="7"/>
      <c r="T147" s="7"/>
      <c r="U147" s="7"/>
      <c r="V147" s="7"/>
      <c r="W147" s="6" t="str">
        <f aca="false">IF(COUNTA(B147:V147)=0,"",IF(OR(B147="",C147="",D147="",F147="",G147="",H147="",I147="",L147="",M147=""),"ناقص",IF(AND(ISNUMBER(F147),ISNUMBER(H147)),"OK","السنة/السعر لازم أرقام")))</f>
        <v>ناقص</v>
      </c>
      <c r="X147" s="6" t="str">
        <f aca="false">IF(B147="","",B147&amp;" "&amp;C147&amp;" "&amp;D147&amp;" "&amp;E147&amp;" "&amp;F147&amp;" "&amp;G147&amp;" "&amp;I147&amp;" "&amp;L147&amp;" "&amp;M147&amp;" سعر "&amp;H147&amp;" جنيه "&amp;U147)</f>
        <v/>
      </c>
    </row>
    <row r="148" customFormat="false" ht="15" hidden="false" customHeight="false" outlineLevel="0" collapsed="false">
      <c r="A148" s="6" t="s">
        <v>343</v>
      </c>
      <c r="B148" s="7"/>
      <c r="C148" s="6" t="str">
        <f aca="false">IF(B148="","",IFERROR(INDEX(Lists!$K$2:$K$60,MATCH(B148,Lists!$J$2:$J$60,0)),""))</f>
        <v/>
      </c>
      <c r="D148" s="7"/>
      <c r="E148" s="7"/>
      <c r="F148" s="7"/>
      <c r="G148" s="7"/>
      <c r="H148" s="8"/>
      <c r="I148" s="7"/>
      <c r="J148" s="9"/>
      <c r="K148" s="7"/>
      <c r="L148" s="7"/>
      <c r="M148" s="7"/>
      <c r="N148" s="7"/>
      <c r="O148" s="7"/>
      <c r="P148" s="7"/>
      <c r="Q148" s="7"/>
      <c r="R148" s="7"/>
      <c r="S148" s="7"/>
      <c r="T148" s="7"/>
      <c r="U148" s="7"/>
      <c r="V148" s="7"/>
      <c r="W148" s="6" t="str">
        <f aca="false">IF(COUNTA(B148:V148)=0,"",IF(OR(B148="",C148="",D148="",F148="",G148="",H148="",I148="",L148="",M148=""),"ناقص",IF(AND(ISNUMBER(F148),ISNUMBER(H148)),"OK","السنة/السعر لازم أرقام")))</f>
        <v>ناقص</v>
      </c>
      <c r="X148" s="6" t="str">
        <f aca="false">IF(B148="","",B148&amp;" "&amp;C148&amp;" "&amp;D148&amp;" "&amp;E148&amp;" "&amp;F148&amp;" "&amp;G148&amp;" "&amp;I148&amp;" "&amp;L148&amp;" "&amp;M148&amp;" سعر "&amp;H148&amp;" جنيه "&amp;U148)</f>
        <v/>
      </c>
    </row>
    <row r="149" customFormat="false" ht="15" hidden="false" customHeight="false" outlineLevel="0" collapsed="false">
      <c r="A149" s="6" t="s">
        <v>344</v>
      </c>
      <c r="B149" s="7"/>
      <c r="C149" s="6" t="str">
        <f aca="false">IF(B149="","",IFERROR(INDEX(Lists!$K$2:$K$60,MATCH(B149,Lists!$J$2:$J$60,0)),""))</f>
        <v/>
      </c>
      <c r="D149" s="7"/>
      <c r="E149" s="7"/>
      <c r="F149" s="7"/>
      <c r="G149" s="7"/>
      <c r="H149" s="8"/>
      <c r="I149" s="7"/>
      <c r="J149" s="9"/>
      <c r="K149" s="7"/>
      <c r="L149" s="7"/>
      <c r="M149" s="7"/>
      <c r="N149" s="7"/>
      <c r="O149" s="7"/>
      <c r="P149" s="7"/>
      <c r="Q149" s="7"/>
      <c r="R149" s="7"/>
      <c r="S149" s="7"/>
      <c r="T149" s="7"/>
      <c r="U149" s="7"/>
      <c r="V149" s="7"/>
      <c r="W149" s="6" t="str">
        <f aca="false">IF(COUNTA(B149:V149)=0,"",IF(OR(B149="",C149="",D149="",F149="",G149="",H149="",I149="",L149="",M149=""),"ناقص",IF(AND(ISNUMBER(F149),ISNUMBER(H149)),"OK","السنة/السعر لازم أرقام")))</f>
        <v>ناقص</v>
      </c>
      <c r="X149" s="6" t="str">
        <f aca="false">IF(B149="","",B149&amp;" "&amp;C149&amp;" "&amp;D149&amp;" "&amp;E149&amp;" "&amp;F149&amp;" "&amp;G149&amp;" "&amp;I149&amp;" "&amp;L149&amp;" "&amp;M149&amp;" سعر "&amp;H149&amp;" جنيه "&amp;U149)</f>
        <v/>
      </c>
    </row>
    <row r="150" customFormat="false" ht="15" hidden="false" customHeight="false" outlineLevel="0" collapsed="false">
      <c r="A150" s="6" t="s">
        <v>345</v>
      </c>
      <c r="B150" s="7"/>
      <c r="C150" s="6" t="str">
        <f aca="false">IF(B150="","",IFERROR(INDEX(Lists!$K$2:$K$60,MATCH(B150,Lists!$J$2:$J$60,0)),""))</f>
        <v/>
      </c>
      <c r="D150" s="7"/>
      <c r="E150" s="7"/>
      <c r="F150" s="7"/>
      <c r="G150" s="7"/>
      <c r="H150" s="8"/>
      <c r="I150" s="7"/>
      <c r="J150" s="9"/>
      <c r="K150" s="7"/>
      <c r="L150" s="7"/>
      <c r="M150" s="7"/>
      <c r="N150" s="7"/>
      <c r="O150" s="7"/>
      <c r="P150" s="7"/>
      <c r="Q150" s="7"/>
      <c r="R150" s="7"/>
      <c r="S150" s="7"/>
      <c r="T150" s="7"/>
      <c r="U150" s="7"/>
      <c r="V150" s="7"/>
      <c r="W150" s="6" t="str">
        <f aca="false">IF(COUNTA(B150:V150)=0,"",IF(OR(B150="",C150="",D150="",F150="",G150="",H150="",I150="",L150="",M150=""),"ناقص",IF(AND(ISNUMBER(F150),ISNUMBER(H150)),"OK","السنة/السعر لازم أرقام")))</f>
        <v>ناقص</v>
      </c>
      <c r="X150" s="6" t="str">
        <f aca="false">IF(B150="","",B150&amp;" "&amp;C150&amp;" "&amp;D150&amp;" "&amp;E150&amp;" "&amp;F150&amp;" "&amp;G150&amp;" "&amp;I150&amp;" "&amp;L150&amp;" "&amp;M150&amp;" سعر "&amp;H150&amp;" جنيه "&amp;U150)</f>
        <v/>
      </c>
    </row>
    <row r="151" customFormat="false" ht="15" hidden="false" customHeight="false" outlineLevel="0" collapsed="false">
      <c r="A151" s="6" t="s">
        <v>346</v>
      </c>
      <c r="B151" s="7"/>
      <c r="C151" s="6" t="str">
        <f aca="false">IF(B151="","",IFERROR(INDEX(Lists!$K$2:$K$60,MATCH(B151,Lists!$J$2:$J$60,0)),""))</f>
        <v/>
      </c>
      <c r="D151" s="7"/>
      <c r="E151" s="7"/>
      <c r="F151" s="7"/>
      <c r="G151" s="7"/>
      <c r="H151" s="8"/>
      <c r="I151" s="7"/>
      <c r="J151" s="9"/>
      <c r="K151" s="7"/>
      <c r="L151" s="7"/>
      <c r="M151" s="7"/>
      <c r="N151" s="7"/>
      <c r="O151" s="7"/>
      <c r="P151" s="7"/>
      <c r="Q151" s="7"/>
      <c r="R151" s="7"/>
      <c r="S151" s="7"/>
      <c r="T151" s="7"/>
      <c r="U151" s="7"/>
      <c r="V151" s="7"/>
      <c r="W151" s="6" t="str">
        <f aca="false">IF(COUNTA(B151:V151)=0,"",IF(OR(B151="",C151="",D151="",F151="",G151="",H151="",I151="",L151="",M151=""),"ناقص",IF(AND(ISNUMBER(F151),ISNUMBER(H151)),"OK","السنة/السعر لازم أرقام")))</f>
        <v>ناقص</v>
      </c>
      <c r="X151" s="6" t="str">
        <f aca="false">IF(B151="","",B151&amp;" "&amp;C151&amp;" "&amp;D151&amp;" "&amp;E151&amp;" "&amp;F151&amp;" "&amp;G151&amp;" "&amp;I151&amp;" "&amp;L151&amp;" "&amp;M151&amp;" سعر "&amp;H151&amp;" جنيه "&amp;U151)</f>
        <v/>
      </c>
    </row>
    <row r="152" customFormat="false" ht="15" hidden="false" customHeight="false" outlineLevel="0" collapsed="false">
      <c r="A152" s="6" t="s">
        <v>347</v>
      </c>
      <c r="B152" s="7"/>
      <c r="C152" s="6" t="str">
        <f aca="false">IF(B152="","",IFERROR(INDEX(Lists!$K$2:$K$60,MATCH(B152,Lists!$J$2:$J$60,0)),""))</f>
        <v/>
      </c>
      <c r="D152" s="7"/>
      <c r="E152" s="7"/>
      <c r="F152" s="7"/>
      <c r="G152" s="7"/>
      <c r="H152" s="8"/>
      <c r="I152" s="7"/>
      <c r="J152" s="9"/>
      <c r="K152" s="7"/>
      <c r="L152" s="7"/>
      <c r="M152" s="7"/>
      <c r="N152" s="7"/>
      <c r="O152" s="7"/>
      <c r="P152" s="7"/>
      <c r="Q152" s="7"/>
      <c r="R152" s="7"/>
      <c r="S152" s="7"/>
      <c r="T152" s="7"/>
      <c r="U152" s="7"/>
      <c r="V152" s="7"/>
      <c r="W152" s="6" t="str">
        <f aca="false">IF(COUNTA(B152:V152)=0,"",IF(OR(B152="",C152="",D152="",F152="",G152="",H152="",I152="",L152="",M152=""),"ناقص",IF(AND(ISNUMBER(F152),ISNUMBER(H152)),"OK","السنة/السعر لازم أرقام")))</f>
        <v>ناقص</v>
      </c>
      <c r="X152" s="6" t="str">
        <f aca="false">IF(B152="","",B152&amp;" "&amp;C152&amp;" "&amp;D152&amp;" "&amp;E152&amp;" "&amp;F152&amp;" "&amp;G152&amp;" "&amp;I152&amp;" "&amp;L152&amp;" "&amp;M152&amp;" سعر "&amp;H152&amp;" جنيه "&amp;U152)</f>
        <v/>
      </c>
    </row>
    <row r="153" customFormat="false" ht="15" hidden="false" customHeight="false" outlineLevel="0" collapsed="false">
      <c r="A153" s="6" t="s">
        <v>348</v>
      </c>
      <c r="B153" s="7"/>
      <c r="C153" s="6" t="str">
        <f aca="false">IF(B153="","",IFERROR(INDEX(Lists!$K$2:$K$60,MATCH(B153,Lists!$J$2:$J$60,0)),""))</f>
        <v/>
      </c>
      <c r="D153" s="7"/>
      <c r="E153" s="7"/>
      <c r="F153" s="7"/>
      <c r="G153" s="7"/>
      <c r="H153" s="8"/>
      <c r="I153" s="7"/>
      <c r="J153" s="9"/>
      <c r="K153" s="7"/>
      <c r="L153" s="7"/>
      <c r="M153" s="7"/>
      <c r="N153" s="7"/>
      <c r="O153" s="7"/>
      <c r="P153" s="7"/>
      <c r="Q153" s="7"/>
      <c r="R153" s="7"/>
      <c r="S153" s="7"/>
      <c r="T153" s="7"/>
      <c r="U153" s="7"/>
      <c r="V153" s="7"/>
      <c r="W153" s="6" t="str">
        <f aca="false">IF(COUNTA(B153:V153)=0,"",IF(OR(B153="",C153="",D153="",F153="",G153="",H153="",I153="",L153="",M153=""),"ناقص",IF(AND(ISNUMBER(F153),ISNUMBER(H153)),"OK","السنة/السعر لازم أرقام")))</f>
        <v>ناقص</v>
      </c>
      <c r="X153" s="6" t="str">
        <f aca="false">IF(B153="","",B153&amp;" "&amp;C153&amp;" "&amp;D153&amp;" "&amp;E153&amp;" "&amp;F153&amp;" "&amp;G153&amp;" "&amp;I153&amp;" "&amp;L153&amp;" "&amp;M153&amp;" سعر "&amp;H153&amp;" جنيه "&amp;U153)</f>
        <v/>
      </c>
    </row>
    <row r="154" customFormat="false" ht="15" hidden="false" customHeight="false" outlineLevel="0" collapsed="false">
      <c r="A154" s="6" t="s">
        <v>349</v>
      </c>
      <c r="B154" s="7"/>
      <c r="C154" s="6" t="str">
        <f aca="false">IF(B154="","",IFERROR(INDEX(Lists!$K$2:$K$60,MATCH(B154,Lists!$J$2:$J$60,0)),""))</f>
        <v/>
      </c>
      <c r="D154" s="7"/>
      <c r="E154" s="7"/>
      <c r="F154" s="7"/>
      <c r="G154" s="7"/>
      <c r="H154" s="8"/>
      <c r="I154" s="7"/>
      <c r="J154" s="9"/>
      <c r="K154" s="7"/>
      <c r="L154" s="7"/>
      <c r="M154" s="7"/>
      <c r="N154" s="7"/>
      <c r="O154" s="7"/>
      <c r="P154" s="7"/>
      <c r="Q154" s="7"/>
      <c r="R154" s="7"/>
      <c r="S154" s="7"/>
      <c r="T154" s="7"/>
      <c r="U154" s="7"/>
      <c r="V154" s="7"/>
      <c r="W154" s="6" t="str">
        <f aca="false">IF(COUNTA(B154:V154)=0,"",IF(OR(B154="",C154="",D154="",F154="",G154="",H154="",I154="",L154="",M154=""),"ناقص",IF(AND(ISNUMBER(F154),ISNUMBER(H154)),"OK","السنة/السعر لازم أرقام")))</f>
        <v>ناقص</v>
      </c>
      <c r="X154" s="6" t="str">
        <f aca="false">IF(B154="","",B154&amp;" "&amp;C154&amp;" "&amp;D154&amp;" "&amp;E154&amp;" "&amp;F154&amp;" "&amp;G154&amp;" "&amp;I154&amp;" "&amp;L154&amp;" "&amp;M154&amp;" سعر "&amp;H154&amp;" جنيه "&amp;U154)</f>
        <v/>
      </c>
    </row>
    <row r="155" customFormat="false" ht="15" hidden="false" customHeight="false" outlineLevel="0" collapsed="false">
      <c r="A155" s="6" t="s">
        <v>350</v>
      </c>
      <c r="B155" s="7"/>
      <c r="C155" s="6" t="str">
        <f aca="false">IF(B155="","",IFERROR(INDEX(Lists!$K$2:$K$60,MATCH(B155,Lists!$J$2:$J$60,0)),""))</f>
        <v/>
      </c>
      <c r="D155" s="7"/>
      <c r="E155" s="7"/>
      <c r="F155" s="7"/>
      <c r="G155" s="7"/>
      <c r="H155" s="8"/>
      <c r="I155" s="7"/>
      <c r="J155" s="9"/>
      <c r="K155" s="7"/>
      <c r="L155" s="7"/>
      <c r="M155" s="7"/>
      <c r="N155" s="7"/>
      <c r="O155" s="7"/>
      <c r="P155" s="7"/>
      <c r="Q155" s="7"/>
      <c r="R155" s="7"/>
      <c r="S155" s="7"/>
      <c r="T155" s="7"/>
      <c r="U155" s="7"/>
      <c r="V155" s="7"/>
      <c r="W155" s="6" t="str">
        <f aca="false">IF(COUNTA(B155:V155)=0,"",IF(OR(B155="",C155="",D155="",F155="",G155="",H155="",I155="",L155="",M155=""),"ناقص",IF(AND(ISNUMBER(F155),ISNUMBER(H155)),"OK","السنة/السعر لازم أرقام")))</f>
        <v>ناقص</v>
      </c>
      <c r="X155" s="6" t="str">
        <f aca="false">IF(B155="","",B155&amp;" "&amp;C155&amp;" "&amp;D155&amp;" "&amp;E155&amp;" "&amp;F155&amp;" "&amp;G155&amp;" "&amp;I155&amp;" "&amp;L155&amp;" "&amp;M155&amp;" سعر "&amp;H155&amp;" جنيه "&amp;U155)</f>
        <v/>
      </c>
    </row>
    <row r="156" customFormat="false" ht="15" hidden="false" customHeight="false" outlineLevel="0" collapsed="false">
      <c r="A156" s="6" t="s">
        <v>351</v>
      </c>
      <c r="B156" s="7"/>
      <c r="C156" s="6" t="str">
        <f aca="false">IF(B156="","",IFERROR(INDEX(Lists!$K$2:$K$60,MATCH(B156,Lists!$J$2:$J$60,0)),""))</f>
        <v/>
      </c>
      <c r="D156" s="7"/>
      <c r="E156" s="7"/>
      <c r="F156" s="7"/>
      <c r="G156" s="7"/>
      <c r="H156" s="8"/>
      <c r="I156" s="7"/>
      <c r="J156" s="9"/>
      <c r="K156" s="7"/>
      <c r="L156" s="7"/>
      <c r="M156" s="7"/>
      <c r="N156" s="7"/>
      <c r="O156" s="7"/>
      <c r="P156" s="7"/>
      <c r="Q156" s="7"/>
      <c r="R156" s="7"/>
      <c r="S156" s="7"/>
      <c r="T156" s="7"/>
      <c r="U156" s="7"/>
      <c r="V156" s="7"/>
      <c r="W156" s="6" t="str">
        <f aca="false">IF(COUNTA(B156:V156)=0,"",IF(OR(B156="",C156="",D156="",F156="",G156="",H156="",I156="",L156="",M156=""),"ناقص",IF(AND(ISNUMBER(F156),ISNUMBER(H156)),"OK","السنة/السعر لازم أرقام")))</f>
        <v>ناقص</v>
      </c>
      <c r="X156" s="6" t="str">
        <f aca="false">IF(B156="","",B156&amp;" "&amp;C156&amp;" "&amp;D156&amp;" "&amp;E156&amp;" "&amp;F156&amp;" "&amp;G156&amp;" "&amp;I156&amp;" "&amp;L156&amp;" "&amp;M156&amp;" سعر "&amp;H156&amp;" جنيه "&amp;U156)</f>
        <v/>
      </c>
    </row>
    <row r="157" customFormat="false" ht="15" hidden="false" customHeight="false" outlineLevel="0" collapsed="false">
      <c r="A157" s="6" t="s">
        <v>352</v>
      </c>
      <c r="B157" s="7"/>
      <c r="C157" s="6" t="str">
        <f aca="false">IF(B157="","",IFERROR(INDEX(Lists!$K$2:$K$60,MATCH(B157,Lists!$J$2:$J$60,0)),""))</f>
        <v/>
      </c>
      <c r="D157" s="7"/>
      <c r="E157" s="7"/>
      <c r="F157" s="7"/>
      <c r="G157" s="7"/>
      <c r="H157" s="8"/>
      <c r="I157" s="7"/>
      <c r="J157" s="9"/>
      <c r="K157" s="7"/>
      <c r="L157" s="7"/>
      <c r="M157" s="7"/>
      <c r="N157" s="7"/>
      <c r="O157" s="7"/>
      <c r="P157" s="7"/>
      <c r="Q157" s="7"/>
      <c r="R157" s="7"/>
      <c r="S157" s="7"/>
      <c r="T157" s="7"/>
      <c r="U157" s="7"/>
      <c r="V157" s="7"/>
      <c r="W157" s="6" t="str">
        <f aca="false">IF(COUNTA(B157:V157)=0,"",IF(OR(B157="",C157="",D157="",F157="",G157="",H157="",I157="",L157="",M157=""),"ناقص",IF(AND(ISNUMBER(F157),ISNUMBER(H157)),"OK","السنة/السعر لازم أرقام")))</f>
        <v>ناقص</v>
      </c>
      <c r="X157" s="6" t="str">
        <f aca="false">IF(B157="","",B157&amp;" "&amp;C157&amp;" "&amp;D157&amp;" "&amp;E157&amp;" "&amp;F157&amp;" "&amp;G157&amp;" "&amp;I157&amp;" "&amp;L157&amp;" "&amp;M157&amp;" سعر "&amp;H157&amp;" جنيه "&amp;U157)</f>
        <v/>
      </c>
    </row>
    <row r="158" customFormat="false" ht="15" hidden="false" customHeight="false" outlineLevel="0" collapsed="false">
      <c r="A158" s="6" t="s">
        <v>353</v>
      </c>
      <c r="B158" s="7"/>
      <c r="C158" s="6" t="str">
        <f aca="false">IF(B158="","",IFERROR(INDEX(Lists!$K$2:$K$60,MATCH(B158,Lists!$J$2:$J$60,0)),""))</f>
        <v/>
      </c>
      <c r="D158" s="7"/>
      <c r="E158" s="7"/>
      <c r="F158" s="7"/>
      <c r="G158" s="7"/>
      <c r="H158" s="8"/>
      <c r="I158" s="7"/>
      <c r="J158" s="9"/>
      <c r="K158" s="7"/>
      <c r="L158" s="7"/>
      <c r="M158" s="7"/>
      <c r="N158" s="7"/>
      <c r="O158" s="7"/>
      <c r="P158" s="7"/>
      <c r="Q158" s="7"/>
      <c r="R158" s="7"/>
      <c r="S158" s="7"/>
      <c r="T158" s="7"/>
      <c r="U158" s="7"/>
      <c r="V158" s="7"/>
      <c r="W158" s="6" t="str">
        <f aca="false">IF(COUNTA(B158:V158)=0,"",IF(OR(B158="",C158="",D158="",F158="",G158="",H158="",I158="",L158="",M158=""),"ناقص",IF(AND(ISNUMBER(F158),ISNUMBER(H158)),"OK","السنة/السعر لازم أرقام")))</f>
        <v>ناقص</v>
      </c>
      <c r="X158" s="6" t="str">
        <f aca="false">IF(B158="","",B158&amp;" "&amp;C158&amp;" "&amp;D158&amp;" "&amp;E158&amp;" "&amp;F158&amp;" "&amp;G158&amp;" "&amp;I158&amp;" "&amp;L158&amp;" "&amp;M158&amp;" سعر "&amp;H158&amp;" جنيه "&amp;U158)</f>
        <v/>
      </c>
    </row>
    <row r="159" customFormat="false" ht="15" hidden="false" customHeight="false" outlineLevel="0" collapsed="false">
      <c r="A159" s="6" t="s">
        <v>354</v>
      </c>
      <c r="B159" s="7"/>
      <c r="C159" s="6" t="str">
        <f aca="false">IF(B159="","",IFERROR(INDEX(Lists!$K$2:$K$60,MATCH(B159,Lists!$J$2:$J$60,0)),""))</f>
        <v/>
      </c>
      <c r="D159" s="7"/>
      <c r="E159" s="7"/>
      <c r="F159" s="7"/>
      <c r="G159" s="7"/>
      <c r="H159" s="8"/>
      <c r="I159" s="7"/>
      <c r="J159" s="9"/>
      <c r="K159" s="7"/>
      <c r="L159" s="7"/>
      <c r="M159" s="7"/>
      <c r="N159" s="7"/>
      <c r="O159" s="7"/>
      <c r="P159" s="7"/>
      <c r="Q159" s="7"/>
      <c r="R159" s="7"/>
      <c r="S159" s="7"/>
      <c r="T159" s="7"/>
      <c r="U159" s="7"/>
      <c r="V159" s="7"/>
      <c r="W159" s="6" t="str">
        <f aca="false">IF(COUNTA(B159:V159)=0,"",IF(OR(B159="",C159="",D159="",F159="",G159="",H159="",I159="",L159="",M159=""),"ناقص",IF(AND(ISNUMBER(F159),ISNUMBER(H159)),"OK","السنة/السعر لازم أرقام")))</f>
        <v>ناقص</v>
      </c>
      <c r="X159" s="6" t="str">
        <f aca="false">IF(B159="","",B159&amp;" "&amp;C159&amp;" "&amp;D159&amp;" "&amp;E159&amp;" "&amp;F159&amp;" "&amp;G159&amp;" "&amp;I159&amp;" "&amp;L159&amp;" "&amp;M159&amp;" سعر "&amp;H159&amp;" جنيه "&amp;U159)</f>
        <v/>
      </c>
    </row>
    <row r="160" customFormat="false" ht="15" hidden="false" customHeight="false" outlineLevel="0" collapsed="false">
      <c r="A160" s="6" t="s">
        <v>355</v>
      </c>
      <c r="B160" s="7"/>
      <c r="C160" s="6" t="str">
        <f aca="false">IF(B160="","",IFERROR(INDEX(Lists!$K$2:$K$60,MATCH(B160,Lists!$J$2:$J$60,0)),""))</f>
        <v/>
      </c>
      <c r="D160" s="7"/>
      <c r="E160" s="7"/>
      <c r="F160" s="7"/>
      <c r="G160" s="7"/>
      <c r="H160" s="8"/>
      <c r="I160" s="7"/>
      <c r="J160" s="9"/>
      <c r="K160" s="7"/>
      <c r="L160" s="7"/>
      <c r="M160" s="7"/>
      <c r="N160" s="7"/>
      <c r="O160" s="7"/>
      <c r="P160" s="7"/>
      <c r="Q160" s="7"/>
      <c r="R160" s="7"/>
      <c r="S160" s="7"/>
      <c r="T160" s="7"/>
      <c r="U160" s="7"/>
      <c r="V160" s="7"/>
      <c r="W160" s="6" t="str">
        <f aca="false">IF(COUNTA(B160:V160)=0,"",IF(OR(B160="",C160="",D160="",F160="",G160="",H160="",I160="",L160="",M160=""),"ناقص",IF(AND(ISNUMBER(F160),ISNUMBER(H160)),"OK","السنة/السعر لازم أرقام")))</f>
        <v>ناقص</v>
      </c>
      <c r="X160" s="6" t="str">
        <f aca="false">IF(B160="","",B160&amp;" "&amp;C160&amp;" "&amp;D160&amp;" "&amp;E160&amp;" "&amp;F160&amp;" "&amp;G160&amp;" "&amp;I160&amp;" "&amp;L160&amp;" "&amp;M160&amp;" سعر "&amp;H160&amp;" جنيه "&amp;U160)</f>
        <v/>
      </c>
    </row>
    <row r="161" customFormat="false" ht="15" hidden="false" customHeight="false" outlineLevel="0" collapsed="false">
      <c r="A161" s="6" t="s">
        <v>356</v>
      </c>
      <c r="B161" s="7"/>
      <c r="C161" s="6" t="str">
        <f aca="false">IF(B161="","",IFERROR(INDEX(Lists!$K$2:$K$60,MATCH(B161,Lists!$J$2:$J$60,0)),""))</f>
        <v/>
      </c>
      <c r="D161" s="7"/>
      <c r="E161" s="7"/>
      <c r="F161" s="7"/>
      <c r="G161" s="7"/>
      <c r="H161" s="8"/>
      <c r="I161" s="7"/>
      <c r="J161" s="9"/>
      <c r="K161" s="7"/>
      <c r="L161" s="7"/>
      <c r="M161" s="7"/>
      <c r="N161" s="7"/>
      <c r="O161" s="7"/>
      <c r="P161" s="7"/>
      <c r="Q161" s="7"/>
      <c r="R161" s="7"/>
      <c r="S161" s="7"/>
      <c r="T161" s="7"/>
      <c r="U161" s="7"/>
      <c r="V161" s="7"/>
      <c r="W161" s="6" t="str">
        <f aca="false">IF(COUNTA(B161:V161)=0,"",IF(OR(B161="",C161="",D161="",F161="",G161="",H161="",I161="",L161="",M161=""),"ناقص",IF(AND(ISNUMBER(F161),ISNUMBER(H161)),"OK","السنة/السعر لازم أرقام")))</f>
        <v>ناقص</v>
      </c>
      <c r="X161" s="6" t="str">
        <f aca="false">IF(B161="","",B161&amp;" "&amp;C161&amp;" "&amp;D161&amp;" "&amp;E161&amp;" "&amp;F161&amp;" "&amp;G161&amp;" "&amp;I161&amp;" "&amp;L161&amp;" "&amp;M161&amp;" سعر "&amp;H161&amp;" جنيه "&amp;U161)</f>
        <v/>
      </c>
    </row>
    <row r="162" customFormat="false" ht="15" hidden="false" customHeight="false" outlineLevel="0" collapsed="false">
      <c r="A162" s="6" t="s">
        <v>357</v>
      </c>
      <c r="B162" s="7"/>
      <c r="C162" s="6" t="str">
        <f aca="false">IF(B162="","",IFERROR(INDEX(Lists!$K$2:$K$60,MATCH(B162,Lists!$J$2:$J$60,0)),""))</f>
        <v/>
      </c>
      <c r="D162" s="7"/>
      <c r="E162" s="7"/>
      <c r="F162" s="7"/>
      <c r="G162" s="7"/>
      <c r="H162" s="8"/>
      <c r="I162" s="7"/>
      <c r="J162" s="9"/>
      <c r="K162" s="7"/>
      <c r="L162" s="7"/>
      <c r="M162" s="7"/>
      <c r="N162" s="7"/>
      <c r="O162" s="7"/>
      <c r="P162" s="7"/>
      <c r="Q162" s="7"/>
      <c r="R162" s="7"/>
      <c r="S162" s="7"/>
      <c r="T162" s="7"/>
      <c r="U162" s="7"/>
      <c r="V162" s="7"/>
      <c r="W162" s="6" t="str">
        <f aca="false">IF(COUNTA(B162:V162)=0,"",IF(OR(B162="",C162="",D162="",F162="",G162="",H162="",I162="",L162="",M162=""),"ناقص",IF(AND(ISNUMBER(F162),ISNUMBER(H162)),"OK","السنة/السعر لازم أرقام")))</f>
        <v>ناقص</v>
      </c>
      <c r="X162" s="6" t="str">
        <f aca="false">IF(B162="","",B162&amp;" "&amp;C162&amp;" "&amp;D162&amp;" "&amp;E162&amp;" "&amp;F162&amp;" "&amp;G162&amp;" "&amp;I162&amp;" "&amp;L162&amp;" "&amp;M162&amp;" سعر "&amp;H162&amp;" جنيه "&amp;U162)</f>
        <v/>
      </c>
    </row>
    <row r="163" customFormat="false" ht="15" hidden="false" customHeight="false" outlineLevel="0" collapsed="false">
      <c r="A163" s="6" t="s">
        <v>358</v>
      </c>
      <c r="B163" s="7"/>
      <c r="C163" s="6" t="str">
        <f aca="false">IF(B163="","",IFERROR(INDEX(Lists!$K$2:$K$60,MATCH(B163,Lists!$J$2:$J$60,0)),""))</f>
        <v/>
      </c>
      <c r="D163" s="7"/>
      <c r="E163" s="7"/>
      <c r="F163" s="7"/>
      <c r="G163" s="7"/>
      <c r="H163" s="8"/>
      <c r="I163" s="7"/>
      <c r="J163" s="9"/>
      <c r="K163" s="7"/>
      <c r="L163" s="7"/>
      <c r="M163" s="7"/>
      <c r="N163" s="7"/>
      <c r="O163" s="7"/>
      <c r="P163" s="7"/>
      <c r="Q163" s="7"/>
      <c r="R163" s="7"/>
      <c r="S163" s="7"/>
      <c r="T163" s="7"/>
      <c r="U163" s="7"/>
      <c r="V163" s="7"/>
      <c r="W163" s="6" t="str">
        <f aca="false">IF(COUNTA(B163:V163)=0,"",IF(OR(B163="",C163="",D163="",F163="",G163="",H163="",I163="",L163="",M163=""),"ناقص",IF(AND(ISNUMBER(F163),ISNUMBER(H163)),"OK","السنة/السعر لازم أرقام")))</f>
        <v>ناقص</v>
      </c>
      <c r="X163" s="6" t="str">
        <f aca="false">IF(B163="","",B163&amp;" "&amp;C163&amp;" "&amp;D163&amp;" "&amp;E163&amp;" "&amp;F163&amp;" "&amp;G163&amp;" "&amp;I163&amp;" "&amp;L163&amp;" "&amp;M163&amp;" سعر "&amp;H163&amp;" جنيه "&amp;U163)</f>
        <v/>
      </c>
    </row>
    <row r="164" customFormat="false" ht="15" hidden="false" customHeight="false" outlineLevel="0" collapsed="false">
      <c r="A164" s="6" t="s">
        <v>359</v>
      </c>
      <c r="B164" s="7"/>
      <c r="C164" s="6" t="str">
        <f aca="false">IF(B164="","",IFERROR(INDEX(Lists!$K$2:$K$60,MATCH(B164,Lists!$J$2:$J$60,0)),""))</f>
        <v/>
      </c>
      <c r="D164" s="7"/>
      <c r="E164" s="7"/>
      <c r="F164" s="7"/>
      <c r="G164" s="7"/>
      <c r="H164" s="8"/>
      <c r="I164" s="7"/>
      <c r="J164" s="9"/>
      <c r="K164" s="7"/>
      <c r="L164" s="7"/>
      <c r="M164" s="7"/>
      <c r="N164" s="7"/>
      <c r="O164" s="7"/>
      <c r="P164" s="7"/>
      <c r="Q164" s="7"/>
      <c r="R164" s="7"/>
      <c r="S164" s="7"/>
      <c r="T164" s="7"/>
      <c r="U164" s="7"/>
      <c r="V164" s="7"/>
      <c r="W164" s="6" t="str">
        <f aca="false">IF(COUNTA(B164:V164)=0,"",IF(OR(B164="",C164="",D164="",F164="",G164="",H164="",I164="",L164="",M164=""),"ناقص",IF(AND(ISNUMBER(F164),ISNUMBER(H164)),"OK","السنة/السعر لازم أرقام")))</f>
        <v>ناقص</v>
      </c>
      <c r="X164" s="6" t="str">
        <f aca="false">IF(B164="","",B164&amp;" "&amp;C164&amp;" "&amp;D164&amp;" "&amp;E164&amp;" "&amp;F164&amp;" "&amp;G164&amp;" "&amp;I164&amp;" "&amp;L164&amp;" "&amp;M164&amp;" سعر "&amp;H164&amp;" جنيه "&amp;U164)</f>
        <v/>
      </c>
    </row>
    <row r="165" customFormat="false" ht="15" hidden="false" customHeight="false" outlineLevel="0" collapsed="false">
      <c r="A165" s="6" t="s">
        <v>360</v>
      </c>
      <c r="B165" s="7"/>
      <c r="C165" s="6" t="str">
        <f aca="false">IF(B165="","",IFERROR(INDEX(Lists!$K$2:$K$60,MATCH(B165,Lists!$J$2:$J$60,0)),""))</f>
        <v/>
      </c>
      <c r="D165" s="7"/>
      <c r="E165" s="7"/>
      <c r="F165" s="7"/>
      <c r="G165" s="7"/>
      <c r="H165" s="8"/>
      <c r="I165" s="7"/>
      <c r="J165" s="9"/>
      <c r="K165" s="7"/>
      <c r="L165" s="7"/>
      <c r="M165" s="7"/>
      <c r="N165" s="7"/>
      <c r="O165" s="7"/>
      <c r="P165" s="7"/>
      <c r="Q165" s="7"/>
      <c r="R165" s="7"/>
      <c r="S165" s="7"/>
      <c r="T165" s="7"/>
      <c r="U165" s="7"/>
      <c r="V165" s="7"/>
      <c r="W165" s="6" t="str">
        <f aca="false">IF(COUNTA(B165:V165)=0,"",IF(OR(B165="",C165="",D165="",F165="",G165="",H165="",I165="",L165="",M165=""),"ناقص",IF(AND(ISNUMBER(F165),ISNUMBER(H165)),"OK","السنة/السعر لازم أرقام")))</f>
        <v>ناقص</v>
      </c>
      <c r="X165" s="6" t="str">
        <f aca="false">IF(B165="","",B165&amp;" "&amp;C165&amp;" "&amp;D165&amp;" "&amp;E165&amp;" "&amp;F165&amp;" "&amp;G165&amp;" "&amp;I165&amp;" "&amp;L165&amp;" "&amp;M165&amp;" سعر "&amp;H165&amp;" جنيه "&amp;U165)</f>
        <v/>
      </c>
    </row>
    <row r="166" customFormat="false" ht="15" hidden="false" customHeight="false" outlineLevel="0" collapsed="false">
      <c r="A166" s="6" t="s">
        <v>361</v>
      </c>
      <c r="B166" s="7"/>
      <c r="C166" s="6" t="str">
        <f aca="false">IF(B166="","",IFERROR(INDEX(Lists!$K$2:$K$60,MATCH(B166,Lists!$J$2:$J$60,0)),""))</f>
        <v/>
      </c>
      <c r="D166" s="7"/>
      <c r="E166" s="7"/>
      <c r="F166" s="7"/>
      <c r="G166" s="7"/>
      <c r="H166" s="8"/>
      <c r="I166" s="7"/>
      <c r="J166" s="9"/>
      <c r="K166" s="7"/>
      <c r="L166" s="7"/>
      <c r="M166" s="7"/>
      <c r="N166" s="7"/>
      <c r="O166" s="7"/>
      <c r="P166" s="7"/>
      <c r="Q166" s="7"/>
      <c r="R166" s="7"/>
      <c r="S166" s="7"/>
      <c r="T166" s="7"/>
      <c r="U166" s="7"/>
      <c r="V166" s="7"/>
      <c r="W166" s="6" t="str">
        <f aca="false">IF(COUNTA(B166:V166)=0,"",IF(OR(B166="",C166="",D166="",F166="",G166="",H166="",I166="",L166="",M166=""),"ناقص",IF(AND(ISNUMBER(F166),ISNUMBER(H166)),"OK","السنة/السعر لازم أرقام")))</f>
        <v>ناقص</v>
      </c>
      <c r="X166" s="6" t="str">
        <f aca="false">IF(B166="","",B166&amp;" "&amp;C166&amp;" "&amp;D166&amp;" "&amp;E166&amp;" "&amp;F166&amp;" "&amp;G166&amp;" "&amp;I166&amp;" "&amp;L166&amp;" "&amp;M166&amp;" سعر "&amp;H166&amp;" جنيه "&amp;U166)</f>
        <v/>
      </c>
    </row>
    <row r="167" customFormat="false" ht="15" hidden="false" customHeight="false" outlineLevel="0" collapsed="false">
      <c r="A167" s="6" t="s">
        <v>362</v>
      </c>
      <c r="B167" s="7"/>
      <c r="C167" s="6" t="str">
        <f aca="false">IF(B167="","",IFERROR(INDEX(Lists!$K$2:$K$60,MATCH(B167,Lists!$J$2:$J$60,0)),""))</f>
        <v/>
      </c>
      <c r="D167" s="7"/>
      <c r="E167" s="7"/>
      <c r="F167" s="7"/>
      <c r="G167" s="7"/>
      <c r="H167" s="8"/>
      <c r="I167" s="7"/>
      <c r="J167" s="9"/>
      <c r="K167" s="7"/>
      <c r="L167" s="7"/>
      <c r="M167" s="7"/>
      <c r="N167" s="7"/>
      <c r="O167" s="7"/>
      <c r="P167" s="7"/>
      <c r="Q167" s="7"/>
      <c r="R167" s="7"/>
      <c r="S167" s="7"/>
      <c r="T167" s="7"/>
      <c r="U167" s="7"/>
      <c r="V167" s="7"/>
      <c r="W167" s="6" t="str">
        <f aca="false">IF(COUNTA(B167:V167)=0,"",IF(OR(B167="",C167="",D167="",F167="",G167="",H167="",I167="",L167="",M167=""),"ناقص",IF(AND(ISNUMBER(F167),ISNUMBER(H167)),"OK","السنة/السعر لازم أرقام")))</f>
        <v>ناقص</v>
      </c>
      <c r="X167" s="6" t="str">
        <f aca="false">IF(B167="","",B167&amp;" "&amp;C167&amp;" "&amp;D167&amp;" "&amp;E167&amp;" "&amp;F167&amp;" "&amp;G167&amp;" "&amp;I167&amp;" "&amp;L167&amp;" "&amp;M167&amp;" سعر "&amp;H167&amp;" جنيه "&amp;U167)</f>
        <v/>
      </c>
    </row>
    <row r="168" customFormat="false" ht="15" hidden="false" customHeight="false" outlineLevel="0" collapsed="false">
      <c r="A168" s="6" t="s">
        <v>363</v>
      </c>
      <c r="B168" s="7"/>
      <c r="C168" s="6" t="str">
        <f aca="false">IF(B168="","",IFERROR(INDEX(Lists!$K$2:$K$60,MATCH(B168,Lists!$J$2:$J$60,0)),""))</f>
        <v/>
      </c>
      <c r="D168" s="7"/>
      <c r="E168" s="7"/>
      <c r="F168" s="7"/>
      <c r="G168" s="7"/>
      <c r="H168" s="8"/>
      <c r="I168" s="7"/>
      <c r="J168" s="9"/>
      <c r="K168" s="7"/>
      <c r="L168" s="7"/>
      <c r="M168" s="7"/>
      <c r="N168" s="7"/>
      <c r="O168" s="7"/>
      <c r="P168" s="7"/>
      <c r="Q168" s="7"/>
      <c r="R168" s="7"/>
      <c r="S168" s="7"/>
      <c r="T168" s="7"/>
      <c r="U168" s="7"/>
      <c r="V168" s="7"/>
      <c r="W168" s="6" t="str">
        <f aca="false">IF(COUNTA(B168:V168)=0,"",IF(OR(B168="",C168="",D168="",F168="",G168="",H168="",I168="",L168="",M168=""),"ناقص",IF(AND(ISNUMBER(F168),ISNUMBER(H168)),"OK","السنة/السعر لازم أرقام")))</f>
        <v>ناقص</v>
      </c>
      <c r="X168" s="6" t="str">
        <f aca="false">IF(B168="","",B168&amp;" "&amp;C168&amp;" "&amp;D168&amp;" "&amp;E168&amp;" "&amp;F168&amp;" "&amp;G168&amp;" "&amp;I168&amp;" "&amp;L168&amp;" "&amp;M168&amp;" سعر "&amp;H168&amp;" جنيه "&amp;U168)</f>
        <v/>
      </c>
    </row>
    <row r="169" customFormat="false" ht="15" hidden="false" customHeight="false" outlineLevel="0" collapsed="false">
      <c r="A169" s="6" t="s">
        <v>364</v>
      </c>
      <c r="B169" s="7"/>
      <c r="C169" s="6" t="str">
        <f aca="false">IF(B169="","",IFERROR(INDEX(Lists!$K$2:$K$60,MATCH(B169,Lists!$J$2:$J$60,0)),""))</f>
        <v/>
      </c>
      <c r="D169" s="7"/>
      <c r="E169" s="7"/>
      <c r="F169" s="7"/>
      <c r="G169" s="7"/>
      <c r="H169" s="8"/>
      <c r="I169" s="7"/>
      <c r="J169" s="9"/>
      <c r="K169" s="7"/>
      <c r="L169" s="7"/>
      <c r="M169" s="7"/>
      <c r="N169" s="7"/>
      <c r="O169" s="7"/>
      <c r="P169" s="7"/>
      <c r="Q169" s="7"/>
      <c r="R169" s="7"/>
      <c r="S169" s="7"/>
      <c r="T169" s="7"/>
      <c r="U169" s="7"/>
      <c r="V169" s="7"/>
      <c r="W169" s="6" t="str">
        <f aca="false">IF(COUNTA(B169:V169)=0,"",IF(OR(B169="",C169="",D169="",F169="",G169="",H169="",I169="",L169="",M169=""),"ناقص",IF(AND(ISNUMBER(F169),ISNUMBER(H169)),"OK","السنة/السعر لازم أرقام")))</f>
        <v>ناقص</v>
      </c>
      <c r="X169" s="6" t="str">
        <f aca="false">IF(B169="","",B169&amp;" "&amp;C169&amp;" "&amp;D169&amp;" "&amp;E169&amp;" "&amp;F169&amp;" "&amp;G169&amp;" "&amp;I169&amp;" "&amp;L169&amp;" "&amp;M169&amp;" سعر "&amp;H169&amp;" جنيه "&amp;U169)</f>
        <v/>
      </c>
    </row>
    <row r="170" customFormat="false" ht="15" hidden="false" customHeight="false" outlineLevel="0" collapsed="false">
      <c r="A170" s="6" t="s">
        <v>365</v>
      </c>
      <c r="B170" s="7"/>
      <c r="C170" s="6" t="str">
        <f aca="false">IF(B170="","",IFERROR(INDEX(Lists!$K$2:$K$60,MATCH(B170,Lists!$J$2:$J$60,0)),""))</f>
        <v/>
      </c>
      <c r="D170" s="7"/>
      <c r="E170" s="7"/>
      <c r="F170" s="7"/>
      <c r="G170" s="7"/>
      <c r="H170" s="8"/>
      <c r="I170" s="7"/>
      <c r="J170" s="9"/>
      <c r="K170" s="7"/>
      <c r="L170" s="7"/>
      <c r="M170" s="7"/>
      <c r="N170" s="7"/>
      <c r="O170" s="7"/>
      <c r="P170" s="7"/>
      <c r="Q170" s="7"/>
      <c r="R170" s="7"/>
      <c r="S170" s="7"/>
      <c r="T170" s="7"/>
      <c r="U170" s="7"/>
      <c r="V170" s="7"/>
      <c r="W170" s="6" t="str">
        <f aca="false">IF(COUNTA(B170:V170)=0,"",IF(OR(B170="",C170="",D170="",F170="",G170="",H170="",I170="",L170="",M170=""),"ناقص",IF(AND(ISNUMBER(F170),ISNUMBER(H170)),"OK","السنة/السعر لازم أرقام")))</f>
        <v>ناقص</v>
      </c>
      <c r="X170" s="6" t="str">
        <f aca="false">IF(B170="","",B170&amp;" "&amp;C170&amp;" "&amp;D170&amp;" "&amp;E170&amp;" "&amp;F170&amp;" "&amp;G170&amp;" "&amp;I170&amp;" "&amp;L170&amp;" "&amp;M170&amp;" سعر "&amp;H170&amp;" جنيه "&amp;U170)</f>
        <v/>
      </c>
    </row>
    <row r="171" customFormat="false" ht="15" hidden="false" customHeight="false" outlineLevel="0" collapsed="false">
      <c r="A171" s="6" t="s">
        <v>366</v>
      </c>
      <c r="B171" s="7"/>
      <c r="C171" s="6" t="str">
        <f aca="false">IF(B171="","",IFERROR(INDEX(Lists!$K$2:$K$60,MATCH(B171,Lists!$J$2:$J$60,0)),""))</f>
        <v/>
      </c>
      <c r="D171" s="7"/>
      <c r="E171" s="7"/>
      <c r="F171" s="7"/>
      <c r="G171" s="7"/>
      <c r="H171" s="8"/>
      <c r="I171" s="7"/>
      <c r="J171" s="9"/>
      <c r="K171" s="7"/>
      <c r="L171" s="7"/>
      <c r="M171" s="7"/>
      <c r="N171" s="7"/>
      <c r="O171" s="7"/>
      <c r="P171" s="7"/>
      <c r="Q171" s="7"/>
      <c r="R171" s="7"/>
      <c r="S171" s="7"/>
      <c r="T171" s="7"/>
      <c r="U171" s="7"/>
      <c r="V171" s="7"/>
      <c r="W171" s="6" t="str">
        <f aca="false">IF(COUNTA(B171:V171)=0,"",IF(OR(B171="",C171="",D171="",F171="",G171="",H171="",I171="",L171="",M171=""),"ناقص",IF(AND(ISNUMBER(F171),ISNUMBER(H171)),"OK","السنة/السعر لازم أرقام")))</f>
        <v>ناقص</v>
      </c>
      <c r="X171" s="6" t="str">
        <f aca="false">IF(B171="","",B171&amp;" "&amp;C171&amp;" "&amp;D171&amp;" "&amp;E171&amp;" "&amp;F171&amp;" "&amp;G171&amp;" "&amp;I171&amp;" "&amp;L171&amp;" "&amp;M171&amp;" سعر "&amp;H171&amp;" جنيه "&amp;U171)</f>
        <v/>
      </c>
    </row>
    <row r="172" customFormat="false" ht="15" hidden="false" customHeight="false" outlineLevel="0" collapsed="false">
      <c r="A172" s="6" t="s">
        <v>367</v>
      </c>
      <c r="B172" s="7"/>
      <c r="C172" s="6" t="str">
        <f aca="false">IF(B172="","",IFERROR(INDEX(Lists!$K$2:$K$60,MATCH(B172,Lists!$J$2:$J$60,0)),""))</f>
        <v/>
      </c>
      <c r="D172" s="7"/>
      <c r="E172" s="7"/>
      <c r="F172" s="7"/>
      <c r="G172" s="7"/>
      <c r="H172" s="8"/>
      <c r="I172" s="7"/>
      <c r="J172" s="9"/>
      <c r="K172" s="7"/>
      <c r="L172" s="7"/>
      <c r="M172" s="7"/>
      <c r="N172" s="7"/>
      <c r="O172" s="7"/>
      <c r="P172" s="7"/>
      <c r="Q172" s="7"/>
      <c r="R172" s="7"/>
      <c r="S172" s="7"/>
      <c r="T172" s="7"/>
      <c r="U172" s="7"/>
      <c r="V172" s="7"/>
      <c r="W172" s="6" t="str">
        <f aca="false">IF(COUNTA(B172:V172)=0,"",IF(OR(B172="",C172="",D172="",F172="",G172="",H172="",I172="",L172="",M172=""),"ناقص",IF(AND(ISNUMBER(F172),ISNUMBER(H172)),"OK","السنة/السعر لازم أرقام")))</f>
        <v>ناقص</v>
      </c>
      <c r="X172" s="6" t="str">
        <f aca="false">IF(B172="","",B172&amp;" "&amp;C172&amp;" "&amp;D172&amp;" "&amp;E172&amp;" "&amp;F172&amp;" "&amp;G172&amp;" "&amp;I172&amp;" "&amp;L172&amp;" "&amp;M172&amp;" سعر "&amp;H172&amp;" جنيه "&amp;U172)</f>
        <v/>
      </c>
    </row>
    <row r="173" customFormat="false" ht="15" hidden="false" customHeight="false" outlineLevel="0" collapsed="false">
      <c r="A173" s="6" t="s">
        <v>368</v>
      </c>
      <c r="B173" s="7"/>
      <c r="C173" s="6" t="str">
        <f aca="false">IF(B173="","",IFERROR(INDEX(Lists!$K$2:$K$60,MATCH(B173,Lists!$J$2:$J$60,0)),""))</f>
        <v/>
      </c>
      <c r="D173" s="7"/>
      <c r="E173" s="7"/>
      <c r="F173" s="7"/>
      <c r="G173" s="7"/>
      <c r="H173" s="8"/>
      <c r="I173" s="7"/>
      <c r="J173" s="9"/>
      <c r="K173" s="7"/>
      <c r="L173" s="7"/>
      <c r="M173" s="7"/>
      <c r="N173" s="7"/>
      <c r="O173" s="7"/>
      <c r="P173" s="7"/>
      <c r="Q173" s="7"/>
      <c r="R173" s="7"/>
      <c r="S173" s="7"/>
      <c r="T173" s="7"/>
      <c r="U173" s="7"/>
      <c r="V173" s="7"/>
      <c r="W173" s="6" t="str">
        <f aca="false">IF(COUNTA(B173:V173)=0,"",IF(OR(B173="",C173="",D173="",F173="",G173="",H173="",I173="",L173="",M173=""),"ناقص",IF(AND(ISNUMBER(F173),ISNUMBER(H173)),"OK","السنة/السعر لازم أرقام")))</f>
        <v>ناقص</v>
      </c>
      <c r="X173" s="6" t="str">
        <f aca="false">IF(B173="","",B173&amp;" "&amp;C173&amp;" "&amp;D173&amp;" "&amp;E173&amp;" "&amp;F173&amp;" "&amp;G173&amp;" "&amp;I173&amp;" "&amp;L173&amp;" "&amp;M173&amp;" سعر "&amp;H173&amp;" جنيه "&amp;U173)</f>
        <v/>
      </c>
    </row>
    <row r="174" customFormat="false" ht="15" hidden="false" customHeight="false" outlineLevel="0" collapsed="false">
      <c r="A174" s="6" t="s">
        <v>369</v>
      </c>
      <c r="B174" s="7"/>
      <c r="C174" s="6" t="str">
        <f aca="false">IF(B174="","",IFERROR(INDEX(Lists!$K$2:$K$60,MATCH(B174,Lists!$J$2:$J$60,0)),""))</f>
        <v/>
      </c>
      <c r="D174" s="7"/>
      <c r="E174" s="7"/>
      <c r="F174" s="7"/>
      <c r="G174" s="7"/>
      <c r="H174" s="8"/>
      <c r="I174" s="7"/>
      <c r="J174" s="9"/>
      <c r="K174" s="7"/>
      <c r="L174" s="7"/>
      <c r="M174" s="7"/>
      <c r="N174" s="7"/>
      <c r="O174" s="7"/>
      <c r="P174" s="7"/>
      <c r="Q174" s="7"/>
      <c r="R174" s="7"/>
      <c r="S174" s="7"/>
      <c r="T174" s="7"/>
      <c r="U174" s="7"/>
      <c r="V174" s="7"/>
      <c r="W174" s="6" t="str">
        <f aca="false">IF(COUNTA(B174:V174)=0,"",IF(OR(B174="",C174="",D174="",F174="",G174="",H174="",I174="",L174="",M174=""),"ناقص",IF(AND(ISNUMBER(F174),ISNUMBER(H174)),"OK","السنة/السعر لازم أرقام")))</f>
        <v>ناقص</v>
      </c>
      <c r="X174" s="6" t="str">
        <f aca="false">IF(B174="","",B174&amp;" "&amp;C174&amp;" "&amp;D174&amp;" "&amp;E174&amp;" "&amp;F174&amp;" "&amp;G174&amp;" "&amp;I174&amp;" "&amp;L174&amp;" "&amp;M174&amp;" سعر "&amp;H174&amp;" جنيه "&amp;U174)</f>
        <v/>
      </c>
    </row>
    <row r="175" customFormat="false" ht="15" hidden="false" customHeight="false" outlineLevel="0" collapsed="false">
      <c r="A175" s="6" t="s">
        <v>370</v>
      </c>
      <c r="B175" s="7"/>
      <c r="C175" s="6" t="str">
        <f aca="false">IF(B175="","",IFERROR(INDEX(Lists!$K$2:$K$60,MATCH(B175,Lists!$J$2:$J$60,0)),""))</f>
        <v/>
      </c>
      <c r="D175" s="7"/>
      <c r="E175" s="7"/>
      <c r="F175" s="7"/>
      <c r="G175" s="7"/>
      <c r="H175" s="8"/>
      <c r="I175" s="7"/>
      <c r="J175" s="9"/>
      <c r="K175" s="7"/>
      <c r="L175" s="7"/>
      <c r="M175" s="7"/>
      <c r="N175" s="7"/>
      <c r="O175" s="7"/>
      <c r="P175" s="7"/>
      <c r="Q175" s="7"/>
      <c r="R175" s="7"/>
      <c r="S175" s="7"/>
      <c r="T175" s="7"/>
      <c r="U175" s="7"/>
      <c r="V175" s="7"/>
      <c r="W175" s="6" t="str">
        <f aca="false">IF(COUNTA(B175:V175)=0,"",IF(OR(B175="",C175="",D175="",F175="",G175="",H175="",I175="",L175="",M175=""),"ناقص",IF(AND(ISNUMBER(F175),ISNUMBER(H175)),"OK","السنة/السعر لازم أرقام")))</f>
        <v>ناقص</v>
      </c>
      <c r="X175" s="6" t="str">
        <f aca="false">IF(B175="","",B175&amp;" "&amp;C175&amp;" "&amp;D175&amp;" "&amp;E175&amp;" "&amp;F175&amp;" "&amp;G175&amp;" "&amp;I175&amp;" "&amp;L175&amp;" "&amp;M175&amp;" سعر "&amp;H175&amp;" جنيه "&amp;U175)</f>
        <v/>
      </c>
    </row>
    <row r="176" customFormat="false" ht="15" hidden="false" customHeight="false" outlineLevel="0" collapsed="false">
      <c r="A176" s="6" t="s">
        <v>371</v>
      </c>
      <c r="B176" s="7"/>
      <c r="C176" s="6" t="str">
        <f aca="false">IF(B176="","",IFERROR(INDEX(Lists!$K$2:$K$60,MATCH(B176,Lists!$J$2:$J$60,0)),""))</f>
        <v/>
      </c>
      <c r="D176" s="7"/>
      <c r="E176" s="7"/>
      <c r="F176" s="7"/>
      <c r="G176" s="7"/>
      <c r="H176" s="8"/>
      <c r="I176" s="7"/>
      <c r="J176" s="9"/>
      <c r="K176" s="7"/>
      <c r="L176" s="7"/>
      <c r="M176" s="7"/>
      <c r="N176" s="7"/>
      <c r="O176" s="7"/>
      <c r="P176" s="7"/>
      <c r="Q176" s="7"/>
      <c r="R176" s="7"/>
      <c r="S176" s="7"/>
      <c r="T176" s="7"/>
      <c r="U176" s="7"/>
      <c r="V176" s="7"/>
      <c r="W176" s="6" t="str">
        <f aca="false">IF(COUNTA(B176:V176)=0,"",IF(OR(B176="",C176="",D176="",F176="",G176="",H176="",I176="",L176="",M176=""),"ناقص",IF(AND(ISNUMBER(F176),ISNUMBER(H176)),"OK","السنة/السعر لازم أرقام")))</f>
        <v>ناقص</v>
      </c>
      <c r="X176" s="6" t="str">
        <f aca="false">IF(B176="","",B176&amp;" "&amp;C176&amp;" "&amp;D176&amp;" "&amp;E176&amp;" "&amp;F176&amp;" "&amp;G176&amp;" "&amp;I176&amp;" "&amp;L176&amp;" "&amp;M176&amp;" سعر "&amp;H176&amp;" جنيه "&amp;U176)</f>
        <v/>
      </c>
    </row>
    <row r="177" customFormat="false" ht="15" hidden="false" customHeight="false" outlineLevel="0" collapsed="false">
      <c r="A177" s="6" t="s">
        <v>372</v>
      </c>
      <c r="B177" s="7"/>
      <c r="C177" s="6" t="str">
        <f aca="false">IF(B177="","",IFERROR(INDEX(Lists!$K$2:$K$60,MATCH(B177,Lists!$J$2:$J$60,0)),""))</f>
        <v/>
      </c>
      <c r="D177" s="7"/>
      <c r="E177" s="7"/>
      <c r="F177" s="7"/>
      <c r="G177" s="7"/>
      <c r="H177" s="8"/>
      <c r="I177" s="7"/>
      <c r="J177" s="9"/>
      <c r="K177" s="7"/>
      <c r="L177" s="7"/>
      <c r="M177" s="7"/>
      <c r="N177" s="7"/>
      <c r="O177" s="7"/>
      <c r="P177" s="7"/>
      <c r="Q177" s="7"/>
      <c r="R177" s="7"/>
      <c r="S177" s="7"/>
      <c r="T177" s="7"/>
      <c r="U177" s="7"/>
      <c r="V177" s="7"/>
      <c r="W177" s="6" t="str">
        <f aca="false">IF(COUNTA(B177:V177)=0,"",IF(OR(B177="",C177="",D177="",F177="",G177="",H177="",I177="",L177="",M177=""),"ناقص",IF(AND(ISNUMBER(F177),ISNUMBER(H177)),"OK","السنة/السعر لازم أرقام")))</f>
        <v>ناقص</v>
      </c>
      <c r="X177" s="6" t="str">
        <f aca="false">IF(B177="","",B177&amp;" "&amp;C177&amp;" "&amp;D177&amp;" "&amp;E177&amp;" "&amp;F177&amp;" "&amp;G177&amp;" "&amp;I177&amp;" "&amp;L177&amp;" "&amp;M177&amp;" سعر "&amp;H177&amp;" جنيه "&amp;U177)</f>
        <v/>
      </c>
    </row>
    <row r="178" customFormat="false" ht="15" hidden="false" customHeight="false" outlineLevel="0" collapsed="false">
      <c r="A178" s="6" t="s">
        <v>373</v>
      </c>
      <c r="B178" s="7"/>
      <c r="C178" s="6" t="str">
        <f aca="false">IF(B178="","",IFERROR(INDEX(Lists!$K$2:$K$60,MATCH(B178,Lists!$J$2:$J$60,0)),""))</f>
        <v/>
      </c>
      <c r="D178" s="7"/>
      <c r="E178" s="7"/>
      <c r="F178" s="7"/>
      <c r="G178" s="7"/>
      <c r="H178" s="8"/>
      <c r="I178" s="7"/>
      <c r="J178" s="9"/>
      <c r="K178" s="7"/>
      <c r="L178" s="7"/>
      <c r="M178" s="7"/>
      <c r="N178" s="7"/>
      <c r="O178" s="7"/>
      <c r="P178" s="7"/>
      <c r="Q178" s="7"/>
      <c r="R178" s="7"/>
      <c r="S178" s="7"/>
      <c r="T178" s="7"/>
      <c r="U178" s="7"/>
      <c r="V178" s="7"/>
      <c r="W178" s="6" t="str">
        <f aca="false">IF(COUNTA(B178:V178)=0,"",IF(OR(B178="",C178="",D178="",F178="",G178="",H178="",I178="",L178="",M178=""),"ناقص",IF(AND(ISNUMBER(F178),ISNUMBER(H178)),"OK","السنة/السعر لازم أرقام")))</f>
        <v>ناقص</v>
      </c>
      <c r="X178" s="6" t="str">
        <f aca="false">IF(B178="","",B178&amp;" "&amp;C178&amp;" "&amp;D178&amp;" "&amp;E178&amp;" "&amp;F178&amp;" "&amp;G178&amp;" "&amp;I178&amp;" "&amp;L178&amp;" "&amp;M178&amp;" سعر "&amp;H178&amp;" جنيه "&amp;U178)</f>
        <v/>
      </c>
    </row>
    <row r="179" customFormat="false" ht="15" hidden="false" customHeight="false" outlineLevel="0" collapsed="false">
      <c r="A179" s="6" t="s">
        <v>374</v>
      </c>
      <c r="B179" s="7"/>
      <c r="C179" s="6" t="str">
        <f aca="false">IF(B179="","",IFERROR(INDEX(Lists!$K$2:$K$60,MATCH(B179,Lists!$J$2:$J$60,0)),""))</f>
        <v/>
      </c>
      <c r="D179" s="7"/>
      <c r="E179" s="7"/>
      <c r="F179" s="7"/>
      <c r="G179" s="7"/>
      <c r="H179" s="8"/>
      <c r="I179" s="7"/>
      <c r="J179" s="9"/>
      <c r="K179" s="7"/>
      <c r="L179" s="7"/>
      <c r="M179" s="7"/>
      <c r="N179" s="7"/>
      <c r="O179" s="7"/>
      <c r="P179" s="7"/>
      <c r="Q179" s="7"/>
      <c r="R179" s="7"/>
      <c r="S179" s="7"/>
      <c r="T179" s="7"/>
      <c r="U179" s="7"/>
      <c r="V179" s="7"/>
      <c r="W179" s="6" t="str">
        <f aca="false">IF(COUNTA(B179:V179)=0,"",IF(OR(B179="",C179="",D179="",F179="",G179="",H179="",I179="",L179="",M179=""),"ناقص",IF(AND(ISNUMBER(F179),ISNUMBER(H179)),"OK","السنة/السعر لازم أرقام")))</f>
        <v>ناقص</v>
      </c>
      <c r="X179" s="6" t="str">
        <f aca="false">IF(B179="","",B179&amp;" "&amp;C179&amp;" "&amp;D179&amp;" "&amp;E179&amp;" "&amp;F179&amp;" "&amp;G179&amp;" "&amp;I179&amp;" "&amp;L179&amp;" "&amp;M179&amp;" سعر "&amp;H179&amp;" جنيه "&amp;U179)</f>
        <v/>
      </c>
    </row>
    <row r="180" customFormat="false" ht="15" hidden="false" customHeight="false" outlineLevel="0" collapsed="false">
      <c r="A180" s="6" t="s">
        <v>375</v>
      </c>
      <c r="B180" s="7"/>
      <c r="C180" s="6" t="str">
        <f aca="false">IF(B180="","",IFERROR(INDEX(Lists!$K$2:$K$60,MATCH(B180,Lists!$J$2:$J$60,0)),""))</f>
        <v/>
      </c>
      <c r="D180" s="7"/>
      <c r="E180" s="7"/>
      <c r="F180" s="7"/>
      <c r="G180" s="7"/>
      <c r="H180" s="8"/>
      <c r="I180" s="7"/>
      <c r="J180" s="9"/>
      <c r="K180" s="7"/>
      <c r="L180" s="7"/>
      <c r="M180" s="7"/>
      <c r="N180" s="7"/>
      <c r="O180" s="7"/>
      <c r="P180" s="7"/>
      <c r="Q180" s="7"/>
      <c r="R180" s="7"/>
      <c r="S180" s="7"/>
      <c r="T180" s="7"/>
      <c r="U180" s="7"/>
      <c r="V180" s="7"/>
      <c r="W180" s="6" t="str">
        <f aca="false">IF(COUNTA(B180:V180)=0,"",IF(OR(B180="",C180="",D180="",F180="",G180="",H180="",I180="",L180="",M180=""),"ناقص",IF(AND(ISNUMBER(F180),ISNUMBER(H180)),"OK","السنة/السعر لازم أرقام")))</f>
        <v>ناقص</v>
      </c>
      <c r="X180" s="6" t="str">
        <f aca="false">IF(B180="","",B180&amp;" "&amp;C180&amp;" "&amp;D180&amp;" "&amp;E180&amp;" "&amp;F180&amp;" "&amp;G180&amp;" "&amp;I180&amp;" "&amp;L180&amp;" "&amp;M180&amp;" سعر "&amp;H180&amp;" جنيه "&amp;U180)</f>
        <v/>
      </c>
    </row>
    <row r="181" customFormat="false" ht="15" hidden="false" customHeight="false" outlineLevel="0" collapsed="false">
      <c r="A181" s="6" t="s">
        <v>376</v>
      </c>
      <c r="B181" s="7"/>
      <c r="C181" s="6" t="str">
        <f aca="false">IF(B181="","",IFERROR(INDEX(Lists!$K$2:$K$60,MATCH(B181,Lists!$J$2:$J$60,0)),""))</f>
        <v/>
      </c>
      <c r="D181" s="7"/>
      <c r="E181" s="7"/>
      <c r="F181" s="7"/>
      <c r="G181" s="7"/>
      <c r="H181" s="8"/>
      <c r="I181" s="7"/>
      <c r="J181" s="9"/>
      <c r="K181" s="7"/>
      <c r="L181" s="7"/>
      <c r="M181" s="7"/>
      <c r="N181" s="7"/>
      <c r="O181" s="7"/>
      <c r="P181" s="7"/>
      <c r="Q181" s="7"/>
      <c r="R181" s="7"/>
      <c r="S181" s="7"/>
      <c r="T181" s="7"/>
      <c r="U181" s="7"/>
      <c r="V181" s="7"/>
      <c r="W181" s="6" t="str">
        <f aca="false">IF(COUNTA(B181:V181)=0,"",IF(OR(B181="",C181="",D181="",F181="",G181="",H181="",I181="",L181="",M181=""),"ناقص",IF(AND(ISNUMBER(F181),ISNUMBER(H181)),"OK","السنة/السعر لازم أرقام")))</f>
        <v>ناقص</v>
      </c>
      <c r="X181" s="6" t="str">
        <f aca="false">IF(B181="","",B181&amp;" "&amp;C181&amp;" "&amp;D181&amp;" "&amp;E181&amp;" "&amp;F181&amp;" "&amp;G181&amp;" "&amp;I181&amp;" "&amp;L181&amp;" "&amp;M181&amp;" سعر "&amp;H181&amp;" جنيه "&amp;U181)</f>
        <v/>
      </c>
    </row>
    <row r="182" customFormat="false" ht="15" hidden="false" customHeight="false" outlineLevel="0" collapsed="false">
      <c r="A182" s="6" t="s">
        <v>377</v>
      </c>
      <c r="B182" s="7"/>
      <c r="C182" s="6" t="str">
        <f aca="false">IF(B182="","",IFERROR(INDEX(Lists!$K$2:$K$60,MATCH(B182,Lists!$J$2:$J$60,0)),""))</f>
        <v/>
      </c>
      <c r="D182" s="7"/>
      <c r="E182" s="7"/>
      <c r="F182" s="7"/>
      <c r="G182" s="7"/>
      <c r="H182" s="8"/>
      <c r="I182" s="7"/>
      <c r="J182" s="9"/>
      <c r="K182" s="7"/>
      <c r="L182" s="7"/>
      <c r="M182" s="7"/>
      <c r="N182" s="7"/>
      <c r="O182" s="7"/>
      <c r="P182" s="7"/>
      <c r="Q182" s="7"/>
      <c r="R182" s="7"/>
      <c r="S182" s="7"/>
      <c r="T182" s="7"/>
      <c r="U182" s="7"/>
      <c r="V182" s="7"/>
      <c r="W182" s="6" t="str">
        <f aca="false">IF(COUNTA(B182:V182)=0,"",IF(OR(B182="",C182="",D182="",F182="",G182="",H182="",I182="",L182="",M182=""),"ناقص",IF(AND(ISNUMBER(F182),ISNUMBER(H182)),"OK","السنة/السعر لازم أرقام")))</f>
        <v>ناقص</v>
      </c>
      <c r="X182" s="6" t="str">
        <f aca="false">IF(B182="","",B182&amp;" "&amp;C182&amp;" "&amp;D182&amp;" "&amp;E182&amp;" "&amp;F182&amp;" "&amp;G182&amp;" "&amp;I182&amp;" "&amp;L182&amp;" "&amp;M182&amp;" سعر "&amp;H182&amp;" جنيه "&amp;U182)</f>
        <v/>
      </c>
    </row>
    <row r="183" customFormat="false" ht="15" hidden="false" customHeight="false" outlineLevel="0" collapsed="false">
      <c r="A183" s="6" t="s">
        <v>378</v>
      </c>
      <c r="B183" s="7"/>
      <c r="C183" s="6" t="str">
        <f aca="false">IF(B183="","",IFERROR(INDEX(Lists!$K$2:$K$60,MATCH(B183,Lists!$J$2:$J$60,0)),""))</f>
        <v/>
      </c>
      <c r="D183" s="7"/>
      <c r="E183" s="7"/>
      <c r="F183" s="7"/>
      <c r="G183" s="7"/>
      <c r="H183" s="8"/>
      <c r="I183" s="7"/>
      <c r="J183" s="9"/>
      <c r="K183" s="7"/>
      <c r="L183" s="7"/>
      <c r="M183" s="7"/>
      <c r="N183" s="7"/>
      <c r="O183" s="7"/>
      <c r="P183" s="7"/>
      <c r="Q183" s="7"/>
      <c r="R183" s="7"/>
      <c r="S183" s="7"/>
      <c r="T183" s="7"/>
      <c r="U183" s="7"/>
      <c r="V183" s="7"/>
      <c r="W183" s="6" t="str">
        <f aca="false">IF(COUNTA(B183:V183)=0,"",IF(OR(B183="",C183="",D183="",F183="",G183="",H183="",I183="",L183="",M183=""),"ناقص",IF(AND(ISNUMBER(F183),ISNUMBER(H183)),"OK","السنة/السعر لازم أرقام")))</f>
        <v>ناقص</v>
      </c>
      <c r="X183" s="6" t="str">
        <f aca="false">IF(B183="","",B183&amp;" "&amp;C183&amp;" "&amp;D183&amp;" "&amp;E183&amp;" "&amp;F183&amp;" "&amp;G183&amp;" "&amp;I183&amp;" "&amp;L183&amp;" "&amp;M183&amp;" سعر "&amp;H183&amp;" جنيه "&amp;U183)</f>
        <v/>
      </c>
    </row>
    <row r="184" customFormat="false" ht="15" hidden="false" customHeight="false" outlineLevel="0" collapsed="false">
      <c r="A184" s="6" t="s">
        <v>379</v>
      </c>
      <c r="B184" s="7"/>
      <c r="C184" s="6" t="str">
        <f aca="false">IF(B184="","",IFERROR(INDEX(Lists!$K$2:$K$60,MATCH(B184,Lists!$J$2:$J$60,0)),""))</f>
        <v/>
      </c>
      <c r="D184" s="7"/>
      <c r="E184" s="7"/>
      <c r="F184" s="7"/>
      <c r="G184" s="7"/>
      <c r="H184" s="8"/>
      <c r="I184" s="7"/>
      <c r="J184" s="9"/>
      <c r="K184" s="7"/>
      <c r="L184" s="7"/>
      <c r="M184" s="7"/>
      <c r="N184" s="7"/>
      <c r="O184" s="7"/>
      <c r="P184" s="7"/>
      <c r="Q184" s="7"/>
      <c r="R184" s="7"/>
      <c r="S184" s="7"/>
      <c r="T184" s="7"/>
      <c r="U184" s="7"/>
      <c r="V184" s="7"/>
      <c r="W184" s="6" t="str">
        <f aca="false">IF(COUNTA(B184:V184)=0,"",IF(OR(B184="",C184="",D184="",F184="",G184="",H184="",I184="",L184="",M184=""),"ناقص",IF(AND(ISNUMBER(F184),ISNUMBER(H184)),"OK","السنة/السعر لازم أرقام")))</f>
        <v>ناقص</v>
      </c>
      <c r="X184" s="6" t="str">
        <f aca="false">IF(B184="","",B184&amp;" "&amp;C184&amp;" "&amp;D184&amp;" "&amp;E184&amp;" "&amp;F184&amp;" "&amp;G184&amp;" "&amp;I184&amp;" "&amp;L184&amp;" "&amp;M184&amp;" سعر "&amp;H184&amp;" جنيه "&amp;U184)</f>
        <v/>
      </c>
    </row>
    <row r="185" customFormat="false" ht="15" hidden="false" customHeight="false" outlineLevel="0" collapsed="false">
      <c r="A185" s="6" t="s">
        <v>380</v>
      </c>
      <c r="B185" s="7"/>
      <c r="C185" s="6" t="str">
        <f aca="false">IF(B185="","",IFERROR(INDEX(Lists!$K$2:$K$60,MATCH(B185,Lists!$J$2:$J$60,0)),""))</f>
        <v/>
      </c>
      <c r="D185" s="7"/>
      <c r="E185" s="7"/>
      <c r="F185" s="7"/>
      <c r="G185" s="7"/>
      <c r="H185" s="8"/>
      <c r="I185" s="7"/>
      <c r="J185" s="9"/>
      <c r="K185" s="7"/>
      <c r="L185" s="7"/>
      <c r="M185" s="7"/>
      <c r="N185" s="7"/>
      <c r="O185" s="7"/>
      <c r="P185" s="7"/>
      <c r="Q185" s="7"/>
      <c r="R185" s="7"/>
      <c r="S185" s="7"/>
      <c r="T185" s="7"/>
      <c r="U185" s="7"/>
      <c r="V185" s="7"/>
      <c r="W185" s="6" t="str">
        <f aca="false">IF(COUNTA(B185:V185)=0,"",IF(OR(B185="",C185="",D185="",F185="",G185="",H185="",I185="",L185="",M185=""),"ناقص",IF(AND(ISNUMBER(F185),ISNUMBER(H185)),"OK","السنة/السعر لازم أرقام")))</f>
        <v>ناقص</v>
      </c>
      <c r="X185" s="6" t="str">
        <f aca="false">IF(B185="","",B185&amp;" "&amp;C185&amp;" "&amp;D185&amp;" "&amp;E185&amp;" "&amp;F185&amp;" "&amp;G185&amp;" "&amp;I185&amp;" "&amp;L185&amp;" "&amp;M185&amp;" سعر "&amp;H185&amp;" جنيه "&amp;U185)</f>
        <v/>
      </c>
    </row>
    <row r="186" customFormat="false" ht="15" hidden="false" customHeight="false" outlineLevel="0" collapsed="false">
      <c r="A186" s="6" t="s">
        <v>381</v>
      </c>
      <c r="B186" s="7"/>
      <c r="C186" s="6" t="str">
        <f aca="false">IF(B186="","",IFERROR(INDEX(Lists!$K$2:$K$60,MATCH(B186,Lists!$J$2:$J$60,0)),""))</f>
        <v/>
      </c>
      <c r="D186" s="7"/>
      <c r="E186" s="7"/>
      <c r="F186" s="7"/>
      <c r="G186" s="7"/>
      <c r="H186" s="8"/>
      <c r="I186" s="7"/>
      <c r="J186" s="9"/>
      <c r="K186" s="7"/>
      <c r="L186" s="7"/>
      <c r="M186" s="7"/>
      <c r="N186" s="7"/>
      <c r="O186" s="7"/>
      <c r="P186" s="7"/>
      <c r="Q186" s="7"/>
      <c r="R186" s="7"/>
      <c r="S186" s="7"/>
      <c r="T186" s="7"/>
      <c r="U186" s="7"/>
      <c r="V186" s="7"/>
      <c r="W186" s="6" t="str">
        <f aca="false">IF(COUNTA(B186:V186)=0,"",IF(OR(B186="",C186="",D186="",F186="",G186="",H186="",I186="",L186="",M186=""),"ناقص",IF(AND(ISNUMBER(F186),ISNUMBER(H186)),"OK","السنة/السعر لازم أرقام")))</f>
        <v>ناقص</v>
      </c>
      <c r="X186" s="6" t="str">
        <f aca="false">IF(B186="","",B186&amp;" "&amp;C186&amp;" "&amp;D186&amp;" "&amp;E186&amp;" "&amp;F186&amp;" "&amp;G186&amp;" "&amp;I186&amp;" "&amp;L186&amp;" "&amp;M186&amp;" سعر "&amp;H186&amp;" جنيه "&amp;U186)</f>
        <v/>
      </c>
    </row>
    <row r="187" customFormat="false" ht="15" hidden="false" customHeight="false" outlineLevel="0" collapsed="false">
      <c r="A187" s="6" t="s">
        <v>382</v>
      </c>
      <c r="B187" s="7"/>
      <c r="C187" s="6" t="str">
        <f aca="false">IF(B187="","",IFERROR(INDEX(Lists!$K$2:$K$60,MATCH(B187,Lists!$J$2:$J$60,0)),""))</f>
        <v/>
      </c>
      <c r="D187" s="7"/>
      <c r="E187" s="7"/>
      <c r="F187" s="7"/>
      <c r="G187" s="7"/>
      <c r="H187" s="8"/>
      <c r="I187" s="7"/>
      <c r="J187" s="9"/>
      <c r="K187" s="7"/>
      <c r="L187" s="7"/>
      <c r="M187" s="7"/>
      <c r="N187" s="7"/>
      <c r="O187" s="7"/>
      <c r="P187" s="7"/>
      <c r="Q187" s="7"/>
      <c r="R187" s="7"/>
      <c r="S187" s="7"/>
      <c r="T187" s="7"/>
      <c r="U187" s="7"/>
      <c r="V187" s="7"/>
      <c r="W187" s="6" t="str">
        <f aca="false">IF(COUNTA(B187:V187)=0,"",IF(OR(B187="",C187="",D187="",F187="",G187="",H187="",I187="",L187="",M187=""),"ناقص",IF(AND(ISNUMBER(F187),ISNUMBER(H187)),"OK","السنة/السعر لازم أرقام")))</f>
        <v>ناقص</v>
      </c>
      <c r="X187" s="6" t="str">
        <f aca="false">IF(B187="","",B187&amp;" "&amp;C187&amp;" "&amp;D187&amp;" "&amp;E187&amp;" "&amp;F187&amp;" "&amp;G187&amp;" "&amp;I187&amp;" "&amp;L187&amp;" "&amp;M187&amp;" سعر "&amp;H187&amp;" جنيه "&amp;U187)</f>
        <v/>
      </c>
    </row>
    <row r="188" customFormat="false" ht="15" hidden="false" customHeight="false" outlineLevel="0" collapsed="false">
      <c r="A188" s="6" t="s">
        <v>383</v>
      </c>
      <c r="B188" s="7"/>
      <c r="C188" s="6" t="str">
        <f aca="false">IF(B188="","",IFERROR(INDEX(Lists!$K$2:$K$60,MATCH(B188,Lists!$J$2:$J$60,0)),""))</f>
        <v/>
      </c>
      <c r="D188" s="7"/>
      <c r="E188" s="7"/>
      <c r="F188" s="7"/>
      <c r="G188" s="7"/>
      <c r="H188" s="8"/>
      <c r="I188" s="7"/>
      <c r="J188" s="9"/>
      <c r="K188" s="7"/>
      <c r="L188" s="7"/>
      <c r="M188" s="7"/>
      <c r="N188" s="7"/>
      <c r="O188" s="7"/>
      <c r="P188" s="7"/>
      <c r="Q188" s="7"/>
      <c r="R188" s="7"/>
      <c r="S188" s="7"/>
      <c r="T188" s="7"/>
      <c r="U188" s="7"/>
      <c r="V188" s="7"/>
      <c r="W188" s="6" t="str">
        <f aca="false">IF(COUNTA(B188:V188)=0,"",IF(OR(B188="",C188="",D188="",F188="",G188="",H188="",I188="",L188="",M188=""),"ناقص",IF(AND(ISNUMBER(F188),ISNUMBER(H188)),"OK","السنة/السعر لازم أرقام")))</f>
        <v>ناقص</v>
      </c>
      <c r="X188" s="6" t="str">
        <f aca="false">IF(B188="","",B188&amp;" "&amp;C188&amp;" "&amp;D188&amp;" "&amp;E188&amp;" "&amp;F188&amp;" "&amp;G188&amp;" "&amp;I188&amp;" "&amp;L188&amp;" "&amp;M188&amp;" سعر "&amp;H188&amp;" جنيه "&amp;U188)</f>
        <v/>
      </c>
    </row>
    <row r="189" customFormat="false" ht="15" hidden="false" customHeight="false" outlineLevel="0" collapsed="false">
      <c r="A189" s="6" t="s">
        <v>384</v>
      </c>
      <c r="B189" s="7"/>
      <c r="C189" s="6" t="str">
        <f aca="false">IF(B189="","",IFERROR(INDEX(Lists!$K$2:$K$60,MATCH(B189,Lists!$J$2:$J$60,0)),""))</f>
        <v/>
      </c>
      <c r="D189" s="7"/>
      <c r="E189" s="7"/>
      <c r="F189" s="7"/>
      <c r="G189" s="7"/>
      <c r="H189" s="8"/>
      <c r="I189" s="7"/>
      <c r="J189" s="9"/>
      <c r="K189" s="7"/>
      <c r="L189" s="7"/>
      <c r="M189" s="7"/>
      <c r="N189" s="7"/>
      <c r="O189" s="7"/>
      <c r="P189" s="7"/>
      <c r="Q189" s="7"/>
      <c r="R189" s="7"/>
      <c r="S189" s="7"/>
      <c r="T189" s="7"/>
      <c r="U189" s="7"/>
      <c r="V189" s="7"/>
      <c r="W189" s="6" t="str">
        <f aca="false">IF(COUNTA(B189:V189)=0,"",IF(OR(B189="",C189="",D189="",F189="",G189="",H189="",I189="",L189="",M189=""),"ناقص",IF(AND(ISNUMBER(F189),ISNUMBER(H189)),"OK","السنة/السعر لازم أرقام")))</f>
        <v>ناقص</v>
      </c>
      <c r="X189" s="6" t="str">
        <f aca="false">IF(B189="","",B189&amp;" "&amp;C189&amp;" "&amp;D189&amp;" "&amp;E189&amp;" "&amp;F189&amp;" "&amp;G189&amp;" "&amp;I189&amp;" "&amp;L189&amp;" "&amp;M189&amp;" سعر "&amp;H189&amp;" جنيه "&amp;U189)</f>
        <v/>
      </c>
    </row>
    <row r="190" customFormat="false" ht="15" hidden="false" customHeight="false" outlineLevel="0" collapsed="false">
      <c r="A190" s="6" t="s">
        <v>385</v>
      </c>
      <c r="B190" s="7"/>
      <c r="C190" s="6" t="str">
        <f aca="false">IF(B190="","",IFERROR(INDEX(Lists!$K$2:$K$60,MATCH(B190,Lists!$J$2:$J$60,0)),""))</f>
        <v/>
      </c>
      <c r="D190" s="7"/>
      <c r="E190" s="7"/>
      <c r="F190" s="7"/>
      <c r="G190" s="7"/>
      <c r="H190" s="8"/>
      <c r="I190" s="7"/>
      <c r="J190" s="9"/>
      <c r="K190" s="7"/>
      <c r="L190" s="7"/>
      <c r="M190" s="7"/>
      <c r="N190" s="7"/>
      <c r="O190" s="7"/>
      <c r="P190" s="7"/>
      <c r="Q190" s="7"/>
      <c r="R190" s="7"/>
      <c r="S190" s="7"/>
      <c r="T190" s="7"/>
      <c r="U190" s="7"/>
      <c r="V190" s="7"/>
      <c r="W190" s="6" t="str">
        <f aca="false">IF(COUNTA(B190:V190)=0,"",IF(OR(B190="",C190="",D190="",F190="",G190="",H190="",I190="",L190="",M190=""),"ناقص",IF(AND(ISNUMBER(F190),ISNUMBER(H190)),"OK","السنة/السعر لازم أرقام")))</f>
        <v>ناقص</v>
      </c>
      <c r="X190" s="6" t="str">
        <f aca="false">IF(B190="","",B190&amp;" "&amp;C190&amp;" "&amp;D190&amp;" "&amp;E190&amp;" "&amp;F190&amp;" "&amp;G190&amp;" "&amp;I190&amp;" "&amp;L190&amp;" "&amp;M190&amp;" سعر "&amp;H190&amp;" جنيه "&amp;U190)</f>
        <v/>
      </c>
    </row>
    <row r="191" customFormat="false" ht="15" hidden="false" customHeight="false" outlineLevel="0" collapsed="false">
      <c r="A191" s="6" t="s">
        <v>386</v>
      </c>
      <c r="B191" s="7"/>
      <c r="C191" s="6" t="str">
        <f aca="false">IF(B191="","",IFERROR(INDEX(Lists!$K$2:$K$60,MATCH(B191,Lists!$J$2:$J$60,0)),""))</f>
        <v/>
      </c>
      <c r="D191" s="7"/>
      <c r="E191" s="7"/>
      <c r="F191" s="7"/>
      <c r="G191" s="7"/>
      <c r="H191" s="8"/>
      <c r="I191" s="7"/>
      <c r="J191" s="9"/>
      <c r="K191" s="7"/>
      <c r="L191" s="7"/>
      <c r="M191" s="7"/>
      <c r="N191" s="7"/>
      <c r="O191" s="7"/>
      <c r="P191" s="7"/>
      <c r="Q191" s="7"/>
      <c r="R191" s="7"/>
      <c r="S191" s="7"/>
      <c r="T191" s="7"/>
      <c r="U191" s="7"/>
      <c r="V191" s="7"/>
      <c r="W191" s="6" t="str">
        <f aca="false">IF(COUNTA(B191:V191)=0,"",IF(OR(B191="",C191="",D191="",F191="",G191="",H191="",I191="",L191="",M191=""),"ناقص",IF(AND(ISNUMBER(F191),ISNUMBER(H191)),"OK","السنة/السعر لازم أرقام")))</f>
        <v>ناقص</v>
      </c>
      <c r="X191" s="6" t="str">
        <f aca="false">IF(B191="","",B191&amp;" "&amp;C191&amp;" "&amp;D191&amp;" "&amp;E191&amp;" "&amp;F191&amp;" "&amp;G191&amp;" "&amp;I191&amp;" "&amp;L191&amp;" "&amp;M191&amp;" سعر "&amp;H191&amp;" جنيه "&amp;U191)</f>
        <v/>
      </c>
    </row>
    <row r="192" customFormat="false" ht="15" hidden="false" customHeight="false" outlineLevel="0" collapsed="false">
      <c r="A192" s="6" t="s">
        <v>387</v>
      </c>
      <c r="B192" s="7"/>
      <c r="C192" s="6" t="str">
        <f aca="false">IF(B192="","",IFERROR(INDEX(Lists!$K$2:$K$60,MATCH(B192,Lists!$J$2:$J$60,0)),""))</f>
        <v/>
      </c>
      <c r="D192" s="7"/>
      <c r="E192" s="7"/>
      <c r="F192" s="7"/>
      <c r="G192" s="7"/>
      <c r="H192" s="8"/>
      <c r="I192" s="7"/>
      <c r="J192" s="9"/>
      <c r="K192" s="7"/>
      <c r="L192" s="7"/>
      <c r="M192" s="7"/>
      <c r="N192" s="7"/>
      <c r="O192" s="7"/>
      <c r="P192" s="7"/>
      <c r="Q192" s="7"/>
      <c r="R192" s="7"/>
      <c r="S192" s="7"/>
      <c r="T192" s="7"/>
      <c r="U192" s="7"/>
      <c r="V192" s="7"/>
      <c r="W192" s="6" t="str">
        <f aca="false">IF(COUNTA(B192:V192)=0,"",IF(OR(B192="",C192="",D192="",F192="",G192="",H192="",I192="",L192="",M192=""),"ناقص",IF(AND(ISNUMBER(F192),ISNUMBER(H192)),"OK","السنة/السعر لازم أرقام")))</f>
        <v>ناقص</v>
      </c>
      <c r="X192" s="6" t="str">
        <f aca="false">IF(B192="","",B192&amp;" "&amp;C192&amp;" "&amp;D192&amp;" "&amp;E192&amp;" "&amp;F192&amp;" "&amp;G192&amp;" "&amp;I192&amp;" "&amp;L192&amp;" "&amp;M192&amp;" سعر "&amp;H192&amp;" جنيه "&amp;U192)</f>
        <v/>
      </c>
    </row>
    <row r="193" customFormat="false" ht="15" hidden="false" customHeight="false" outlineLevel="0" collapsed="false">
      <c r="A193" s="6" t="s">
        <v>388</v>
      </c>
      <c r="B193" s="7"/>
      <c r="C193" s="6" t="str">
        <f aca="false">IF(B193="","",IFERROR(INDEX(Lists!$K$2:$K$60,MATCH(B193,Lists!$J$2:$J$60,0)),""))</f>
        <v/>
      </c>
      <c r="D193" s="7"/>
      <c r="E193" s="7"/>
      <c r="F193" s="7"/>
      <c r="G193" s="7"/>
      <c r="H193" s="8"/>
      <c r="I193" s="7"/>
      <c r="J193" s="9"/>
      <c r="K193" s="7"/>
      <c r="L193" s="7"/>
      <c r="M193" s="7"/>
      <c r="N193" s="7"/>
      <c r="O193" s="7"/>
      <c r="P193" s="7"/>
      <c r="Q193" s="7"/>
      <c r="R193" s="7"/>
      <c r="S193" s="7"/>
      <c r="T193" s="7"/>
      <c r="U193" s="7"/>
      <c r="V193" s="7"/>
      <c r="W193" s="6" t="str">
        <f aca="false">IF(COUNTA(B193:V193)=0,"",IF(OR(B193="",C193="",D193="",F193="",G193="",H193="",I193="",L193="",M193=""),"ناقص",IF(AND(ISNUMBER(F193),ISNUMBER(H193)),"OK","السنة/السعر لازم أرقام")))</f>
        <v>ناقص</v>
      </c>
      <c r="X193" s="6" t="str">
        <f aca="false">IF(B193="","",B193&amp;" "&amp;C193&amp;" "&amp;D193&amp;" "&amp;E193&amp;" "&amp;F193&amp;" "&amp;G193&amp;" "&amp;I193&amp;" "&amp;L193&amp;" "&amp;M193&amp;" سعر "&amp;H193&amp;" جنيه "&amp;U193)</f>
        <v/>
      </c>
    </row>
    <row r="194" customFormat="false" ht="15" hidden="false" customHeight="false" outlineLevel="0" collapsed="false">
      <c r="A194" s="6" t="s">
        <v>389</v>
      </c>
      <c r="B194" s="7"/>
      <c r="C194" s="6" t="str">
        <f aca="false">IF(B194="","",IFERROR(INDEX(Lists!$K$2:$K$60,MATCH(B194,Lists!$J$2:$J$60,0)),""))</f>
        <v/>
      </c>
      <c r="D194" s="7"/>
      <c r="E194" s="7"/>
      <c r="F194" s="7"/>
      <c r="G194" s="7"/>
      <c r="H194" s="8"/>
      <c r="I194" s="7"/>
      <c r="J194" s="9"/>
      <c r="K194" s="7"/>
      <c r="L194" s="7"/>
      <c r="M194" s="7"/>
      <c r="N194" s="7"/>
      <c r="O194" s="7"/>
      <c r="P194" s="7"/>
      <c r="Q194" s="7"/>
      <c r="R194" s="7"/>
      <c r="S194" s="7"/>
      <c r="T194" s="7"/>
      <c r="U194" s="7"/>
      <c r="V194" s="7"/>
      <c r="W194" s="6" t="str">
        <f aca="false">IF(COUNTA(B194:V194)=0,"",IF(OR(B194="",C194="",D194="",F194="",G194="",H194="",I194="",L194="",M194=""),"ناقص",IF(AND(ISNUMBER(F194),ISNUMBER(H194)),"OK","السنة/السعر لازم أرقام")))</f>
        <v>ناقص</v>
      </c>
      <c r="X194" s="6" t="str">
        <f aca="false">IF(B194="","",B194&amp;" "&amp;C194&amp;" "&amp;D194&amp;" "&amp;E194&amp;" "&amp;F194&amp;" "&amp;G194&amp;" "&amp;I194&amp;" "&amp;L194&amp;" "&amp;M194&amp;" سعر "&amp;H194&amp;" جنيه "&amp;U194)</f>
        <v/>
      </c>
    </row>
    <row r="195" customFormat="false" ht="15" hidden="false" customHeight="false" outlineLevel="0" collapsed="false">
      <c r="A195" s="6" t="s">
        <v>390</v>
      </c>
      <c r="B195" s="7"/>
      <c r="C195" s="6" t="str">
        <f aca="false">IF(B195="","",IFERROR(INDEX(Lists!$K$2:$K$60,MATCH(B195,Lists!$J$2:$J$60,0)),""))</f>
        <v/>
      </c>
      <c r="D195" s="7"/>
      <c r="E195" s="7"/>
      <c r="F195" s="7"/>
      <c r="G195" s="7"/>
      <c r="H195" s="8"/>
      <c r="I195" s="7"/>
      <c r="J195" s="9"/>
      <c r="K195" s="7"/>
      <c r="L195" s="7"/>
      <c r="M195" s="7"/>
      <c r="N195" s="7"/>
      <c r="O195" s="7"/>
      <c r="P195" s="7"/>
      <c r="Q195" s="7"/>
      <c r="R195" s="7"/>
      <c r="S195" s="7"/>
      <c r="T195" s="7"/>
      <c r="U195" s="7"/>
      <c r="V195" s="7"/>
      <c r="W195" s="6" t="str">
        <f aca="false">IF(COUNTA(B195:V195)=0,"",IF(OR(B195="",C195="",D195="",F195="",G195="",H195="",I195="",L195="",M195=""),"ناقص",IF(AND(ISNUMBER(F195),ISNUMBER(H195)),"OK","السنة/السعر لازم أرقام")))</f>
        <v>ناقص</v>
      </c>
      <c r="X195" s="6" t="str">
        <f aca="false">IF(B195="","",B195&amp;" "&amp;C195&amp;" "&amp;D195&amp;" "&amp;E195&amp;" "&amp;F195&amp;" "&amp;G195&amp;" "&amp;I195&amp;" "&amp;L195&amp;" "&amp;M195&amp;" سعر "&amp;H195&amp;" جنيه "&amp;U195)</f>
        <v/>
      </c>
    </row>
    <row r="196" customFormat="false" ht="15" hidden="false" customHeight="false" outlineLevel="0" collapsed="false">
      <c r="A196" s="6" t="s">
        <v>391</v>
      </c>
      <c r="B196" s="7"/>
      <c r="C196" s="6" t="str">
        <f aca="false">IF(B196="","",IFERROR(INDEX(Lists!$K$2:$K$60,MATCH(B196,Lists!$J$2:$J$60,0)),""))</f>
        <v/>
      </c>
      <c r="D196" s="7"/>
      <c r="E196" s="7"/>
      <c r="F196" s="7"/>
      <c r="G196" s="7"/>
      <c r="H196" s="8"/>
      <c r="I196" s="7"/>
      <c r="J196" s="9"/>
      <c r="K196" s="7"/>
      <c r="L196" s="7"/>
      <c r="M196" s="7"/>
      <c r="N196" s="7"/>
      <c r="O196" s="7"/>
      <c r="P196" s="7"/>
      <c r="Q196" s="7"/>
      <c r="R196" s="7"/>
      <c r="S196" s="7"/>
      <c r="T196" s="7"/>
      <c r="U196" s="7"/>
      <c r="V196" s="7"/>
      <c r="W196" s="6" t="str">
        <f aca="false">IF(COUNTA(B196:V196)=0,"",IF(OR(B196="",C196="",D196="",F196="",G196="",H196="",I196="",L196="",M196=""),"ناقص",IF(AND(ISNUMBER(F196),ISNUMBER(H196)),"OK","السنة/السعر لازم أرقام")))</f>
        <v>ناقص</v>
      </c>
      <c r="X196" s="6" t="str">
        <f aca="false">IF(B196="","",B196&amp;" "&amp;C196&amp;" "&amp;D196&amp;" "&amp;E196&amp;" "&amp;F196&amp;" "&amp;G196&amp;" "&amp;I196&amp;" "&amp;L196&amp;" "&amp;M196&amp;" سعر "&amp;H196&amp;" جنيه "&amp;U196)</f>
        <v/>
      </c>
    </row>
    <row r="197" customFormat="false" ht="15" hidden="false" customHeight="false" outlineLevel="0" collapsed="false">
      <c r="A197" s="6" t="s">
        <v>392</v>
      </c>
      <c r="B197" s="7"/>
      <c r="C197" s="6" t="str">
        <f aca="false">IF(B197="","",IFERROR(INDEX(Lists!$K$2:$K$60,MATCH(B197,Lists!$J$2:$J$60,0)),""))</f>
        <v/>
      </c>
      <c r="D197" s="7"/>
      <c r="E197" s="7"/>
      <c r="F197" s="7"/>
      <c r="G197" s="7"/>
      <c r="H197" s="8"/>
      <c r="I197" s="7"/>
      <c r="J197" s="9"/>
      <c r="K197" s="7"/>
      <c r="L197" s="7"/>
      <c r="M197" s="7"/>
      <c r="N197" s="7"/>
      <c r="O197" s="7"/>
      <c r="P197" s="7"/>
      <c r="Q197" s="7"/>
      <c r="R197" s="7"/>
      <c r="S197" s="7"/>
      <c r="T197" s="7"/>
      <c r="U197" s="7"/>
      <c r="V197" s="7"/>
      <c r="W197" s="6" t="str">
        <f aca="false">IF(COUNTA(B197:V197)=0,"",IF(OR(B197="",C197="",D197="",F197="",G197="",H197="",I197="",L197="",M197=""),"ناقص",IF(AND(ISNUMBER(F197),ISNUMBER(H197)),"OK","السنة/السعر لازم أرقام")))</f>
        <v>ناقص</v>
      </c>
      <c r="X197" s="6" t="str">
        <f aca="false">IF(B197="","",B197&amp;" "&amp;C197&amp;" "&amp;D197&amp;" "&amp;E197&amp;" "&amp;F197&amp;" "&amp;G197&amp;" "&amp;I197&amp;" "&amp;L197&amp;" "&amp;M197&amp;" سعر "&amp;H197&amp;" جنيه "&amp;U197)</f>
        <v/>
      </c>
    </row>
    <row r="198" customFormat="false" ht="15" hidden="false" customHeight="false" outlineLevel="0" collapsed="false">
      <c r="A198" s="6" t="s">
        <v>393</v>
      </c>
      <c r="B198" s="7"/>
      <c r="C198" s="6" t="str">
        <f aca="false">IF(B198="","",IFERROR(INDEX(Lists!$K$2:$K$60,MATCH(B198,Lists!$J$2:$J$60,0)),""))</f>
        <v/>
      </c>
      <c r="D198" s="7"/>
      <c r="E198" s="7"/>
      <c r="F198" s="7"/>
      <c r="G198" s="7"/>
      <c r="H198" s="8"/>
      <c r="I198" s="7"/>
      <c r="J198" s="9"/>
      <c r="K198" s="7"/>
      <c r="L198" s="7"/>
      <c r="M198" s="7"/>
      <c r="N198" s="7"/>
      <c r="O198" s="7"/>
      <c r="P198" s="7"/>
      <c r="Q198" s="7"/>
      <c r="R198" s="7"/>
      <c r="S198" s="7"/>
      <c r="T198" s="7"/>
      <c r="U198" s="7"/>
      <c r="V198" s="7"/>
      <c r="W198" s="6" t="str">
        <f aca="false">IF(COUNTA(B198:V198)=0,"",IF(OR(B198="",C198="",D198="",F198="",G198="",H198="",I198="",L198="",M198=""),"ناقص",IF(AND(ISNUMBER(F198),ISNUMBER(H198)),"OK","السنة/السعر لازم أرقام")))</f>
        <v>ناقص</v>
      </c>
      <c r="X198" s="6" t="str">
        <f aca="false">IF(B198="","",B198&amp;" "&amp;C198&amp;" "&amp;D198&amp;" "&amp;E198&amp;" "&amp;F198&amp;" "&amp;G198&amp;" "&amp;I198&amp;" "&amp;L198&amp;" "&amp;M198&amp;" سعر "&amp;H198&amp;" جنيه "&amp;U198)</f>
        <v/>
      </c>
    </row>
    <row r="199" customFormat="false" ht="15" hidden="false" customHeight="false" outlineLevel="0" collapsed="false">
      <c r="A199" s="6" t="s">
        <v>394</v>
      </c>
      <c r="B199" s="7"/>
      <c r="C199" s="6" t="str">
        <f aca="false">IF(B199="","",IFERROR(INDEX(Lists!$K$2:$K$60,MATCH(B199,Lists!$J$2:$J$60,0)),""))</f>
        <v/>
      </c>
      <c r="D199" s="7"/>
      <c r="E199" s="7"/>
      <c r="F199" s="7"/>
      <c r="G199" s="7"/>
      <c r="H199" s="8"/>
      <c r="I199" s="7"/>
      <c r="J199" s="9"/>
      <c r="K199" s="7"/>
      <c r="L199" s="7"/>
      <c r="M199" s="7"/>
      <c r="N199" s="7"/>
      <c r="O199" s="7"/>
      <c r="P199" s="7"/>
      <c r="Q199" s="7"/>
      <c r="R199" s="7"/>
      <c r="S199" s="7"/>
      <c r="T199" s="7"/>
      <c r="U199" s="7"/>
      <c r="V199" s="7"/>
      <c r="W199" s="6" t="str">
        <f aca="false">IF(COUNTA(B199:V199)=0,"",IF(OR(B199="",C199="",D199="",F199="",G199="",H199="",I199="",L199="",M199=""),"ناقص",IF(AND(ISNUMBER(F199),ISNUMBER(H199)),"OK","السنة/السعر لازم أرقام")))</f>
        <v>ناقص</v>
      </c>
      <c r="X199" s="6" t="str">
        <f aca="false">IF(B199="","",B199&amp;" "&amp;C199&amp;" "&amp;D199&amp;" "&amp;E199&amp;" "&amp;F199&amp;" "&amp;G199&amp;" "&amp;I199&amp;" "&amp;L199&amp;" "&amp;M199&amp;" سعر "&amp;H199&amp;" جنيه "&amp;U199)</f>
        <v/>
      </c>
    </row>
    <row r="200" customFormat="false" ht="15" hidden="false" customHeight="false" outlineLevel="0" collapsed="false">
      <c r="A200" s="6" t="s">
        <v>395</v>
      </c>
      <c r="B200" s="7"/>
      <c r="C200" s="6" t="str">
        <f aca="false">IF(B200="","",IFERROR(INDEX(Lists!$K$2:$K$60,MATCH(B200,Lists!$J$2:$J$60,0)),""))</f>
        <v/>
      </c>
      <c r="D200" s="7"/>
      <c r="E200" s="7"/>
      <c r="F200" s="7"/>
      <c r="G200" s="7"/>
      <c r="H200" s="8"/>
      <c r="I200" s="7"/>
      <c r="J200" s="9"/>
      <c r="K200" s="7"/>
      <c r="L200" s="7"/>
      <c r="M200" s="7"/>
      <c r="N200" s="7"/>
      <c r="O200" s="7"/>
      <c r="P200" s="7"/>
      <c r="Q200" s="7"/>
      <c r="R200" s="7"/>
      <c r="S200" s="7"/>
      <c r="T200" s="7"/>
      <c r="U200" s="7"/>
      <c r="V200" s="7"/>
      <c r="W200" s="6" t="str">
        <f aca="false">IF(COUNTA(B200:V200)=0,"",IF(OR(B200="",C200="",D200="",F200="",G200="",H200="",I200="",L200="",M200=""),"ناقص",IF(AND(ISNUMBER(F200),ISNUMBER(H200)),"OK","السنة/السعر لازم أرقام")))</f>
        <v>ناقص</v>
      </c>
      <c r="X200" s="6" t="str">
        <f aca="false">IF(B200="","",B200&amp;" "&amp;C200&amp;" "&amp;D200&amp;" "&amp;E200&amp;" "&amp;F200&amp;" "&amp;G200&amp;" "&amp;I200&amp;" "&amp;L200&amp;" "&amp;M200&amp;" سعر "&amp;H200&amp;" جنيه "&amp;U200)</f>
        <v/>
      </c>
    </row>
    <row r="201" customFormat="false" ht="15" hidden="false" customHeight="false" outlineLevel="0" collapsed="false">
      <c r="A201" s="6" t="s">
        <v>396</v>
      </c>
      <c r="B201" s="7"/>
      <c r="C201" s="6" t="str">
        <f aca="false">IF(B201="","",IFERROR(INDEX(Lists!$K$2:$K$60,MATCH(B201,Lists!$J$2:$J$60,0)),""))</f>
        <v/>
      </c>
      <c r="D201" s="7"/>
      <c r="E201" s="7"/>
      <c r="F201" s="7"/>
      <c r="G201" s="7"/>
      <c r="H201" s="8"/>
      <c r="I201" s="7"/>
      <c r="J201" s="9"/>
      <c r="K201" s="7"/>
      <c r="L201" s="7"/>
      <c r="M201" s="7"/>
      <c r="N201" s="7"/>
      <c r="O201" s="7"/>
      <c r="P201" s="7"/>
      <c r="Q201" s="7"/>
      <c r="R201" s="7"/>
      <c r="S201" s="7"/>
      <c r="T201" s="7"/>
      <c r="U201" s="7"/>
      <c r="V201" s="7"/>
      <c r="W201" s="6" t="str">
        <f aca="false">IF(COUNTA(B201:V201)=0,"",IF(OR(B201="",C201="",D201="",F201="",G201="",H201="",I201="",L201="",M201=""),"ناقص",IF(AND(ISNUMBER(F201),ISNUMBER(H201)),"OK","السنة/السعر لازم أرقام")))</f>
        <v>ناقص</v>
      </c>
      <c r="X201" s="6" t="str">
        <f aca="false">IF(B201="","",B201&amp;" "&amp;C201&amp;" "&amp;D201&amp;" "&amp;E201&amp;" "&amp;F201&amp;" "&amp;G201&amp;" "&amp;I201&amp;" "&amp;L201&amp;" "&amp;M201&amp;" سعر "&amp;H201&amp;" جنيه "&amp;U201)</f>
        <v/>
      </c>
    </row>
    <row r="202" customFormat="false" ht="15" hidden="false" customHeight="false" outlineLevel="0" collapsed="false">
      <c r="A202" s="6" t="s">
        <v>397</v>
      </c>
      <c r="B202" s="7"/>
      <c r="C202" s="6" t="str">
        <f aca="false">IF(B202="","",IFERROR(INDEX(Lists!$K$2:$K$60,MATCH(B202,Lists!$J$2:$J$60,0)),""))</f>
        <v/>
      </c>
      <c r="D202" s="7"/>
      <c r="E202" s="7"/>
      <c r="F202" s="7"/>
      <c r="G202" s="7"/>
      <c r="H202" s="8"/>
      <c r="I202" s="7"/>
      <c r="J202" s="9"/>
      <c r="K202" s="7"/>
      <c r="L202" s="7"/>
      <c r="M202" s="7"/>
      <c r="N202" s="7"/>
      <c r="O202" s="7"/>
      <c r="P202" s="7"/>
      <c r="Q202" s="7"/>
      <c r="R202" s="7"/>
      <c r="S202" s="7"/>
      <c r="T202" s="7"/>
      <c r="U202" s="7"/>
      <c r="V202" s="7"/>
      <c r="W202" s="6" t="str">
        <f aca="false">IF(COUNTA(B202:V202)=0,"",IF(OR(B202="",C202="",D202="",F202="",G202="",H202="",I202="",L202="",M202=""),"ناقص",IF(AND(ISNUMBER(F202),ISNUMBER(H202)),"OK","السنة/السعر لازم أرقام")))</f>
        <v>ناقص</v>
      </c>
      <c r="X202" s="6" t="str">
        <f aca="false">IF(B202="","",B202&amp;" "&amp;C202&amp;" "&amp;D202&amp;" "&amp;E202&amp;" "&amp;F202&amp;" "&amp;G202&amp;" "&amp;I202&amp;" "&amp;L202&amp;" "&amp;M202&amp;" سعر "&amp;H202&amp;" جنيه "&amp;U202)</f>
        <v/>
      </c>
    </row>
    <row r="203" customFormat="false" ht="15" hidden="false" customHeight="false" outlineLevel="0" collapsed="false">
      <c r="A203" s="6" t="s">
        <v>398</v>
      </c>
      <c r="B203" s="7"/>
      <c r="C203" s="6" t="str">
        <f aca="false">IF(B203="","",IFERROR(INDEX(Lists!$K$2:$K$60,MATCH(B203,Lists!$J$2:$J$60,0)),""))</f>
        <v/>
      </c>
      <c r="D203" s="7"/>
      <c r="E203" s="7"/>
      <c r="F203" s="7"/>
      <c r="G203" s="7"/>
      <c r="H203" s="8"/>
      <c r="I203" s="7"/>
      <c r="J203" s="9"/>
      <c r="K203" s="7"/>
      <c r="L203" s="7"/>
      <c r="M203" s="7"/>
      <c r="N203" s="7"/>
      <c r="O203" s="7"/>
      <c r="P203" s="7"/>
      <c r="Q203" s="7"/>
      <c r="R203" s="7"/>
      <c r="S203" s="7"/>
      <c r="T203" s="7"/>
      <c r="U203" s="7"/>
      <c r="V203" s="7"/>
      <c r="W203" s="6" t="str">
        <f aca="false">IF(COUNTA(B203:V203)=0,"",IF(OR(B203="",C203="",D203="",F203="",G203="",H203="",I203="",L203="",M203=""),"ناقص",IF(AND(ISNUMBER(F203),ISNUMBER(H203)),"OK","السنة/السعر لازم أرقام")))</f>
        <v>ناقص</v>
      </c>
      <c r="X203" s="6" t="str">
        <f aca="false">IF(B203="","",B203&amp;" "&amp;C203&amp;" "&amp;D203&amp;" "&amp;E203&amp;" "&amp;F203&amp;" "&amp;G203&amp;" "&amp;I203&amp;" "&amp;L203&amp;" "&amp;M203&amp;" سعر "&amp;H203&amp;" جنيه "&amp;U203)</f>
        <v/>
      </c>
    </row>
    <row r="204" customFormat="false" ht="15" hidden="false" customHeight="false" outlineLevel="0" collapsed="false">
      <c r="A204" s="6" t="s">
        <v>399</v>
      </c>
      <c r="B204" s="7"/>
      <c r="C204" s="6" t="str">
        <f aca="false">IF(B204="","",IFERROR(INDEX(Lists!$K$2:$K$60,MATCH(B204,Lists!$J$2:$J$60,0)),""))</f>
        <v/>
      </c>
      <c r="D204" s="7"/>
      <c r="E204" s="7"/>
      <c r="F204" s="7"/>
      <c r="G204" s="7"/>
      <c r="H204" s="8"/>
      <c r="I204" s="7"/>
      <c r="J204" s="9"/>
      <c r="K204" s="7"/>
      <c r="L204" s="7"/>
      <c r="M204" s="7"/>
      <c r="N204" s="7"/>
      <c r="O204" s="7"/>
      <c r="P204" s="7"/>
      <c r="Q204" s="7"/>
      <c r="R204" s="7"/>
      <c r="S204" s="7"/>
      <c r="T204" s="7"/>
      <c r="U204" s="7"/>
      <c r="V204" s="7"/>
      <c r="W204" s="6" t="str">
        <f aca="false">IF(COUNTA(B204:V204)=0,"",IF(OR(B204="",C204="",D204="",F204="",G204="",H204="",I204="",L204="",M204=""),"ناقص",IF(AND(ISNUMBER(F204),ISNUMBER(H204)),"OK","السنة/السعر لازم أرقام")))</f>
        <v>ناقص</v>
      </c>
      <c r="X204" s="6" t="str">
        <f aca="false">IF(B204="","",B204&amp;" "&amp;C204&amp;" "&amp;D204&amp;" "&amp;E204&amp;" "&amp;F204&amp;" "&amp;G204&amp;" "&amp;I204&amp;" "&amp;L204&amp;" "&amp;M204&amp;" سعر "&amp;H204&amp;" جنيه "&amp;U204)</f>
        <v/>
      </c>
    </row>
    <row r="205" customFormat="false" ht="15" hidden="false" customHeight="false" outlineLevel="0" collapsed="false">
      <c r="A205" s="6" t="s">
        <v>400</v>
      </c>
      <c r="B205" s="7"/>
      <c r="C205" s="6" t="str">
        <f aca="false">IF(B205="","",IFERROR(INDEX(Lists!$K$2:$K$60,MATCH(B205,Lists!$J$2:$J$60,0)),""))</f>
        <v/>
      </c>
      <c r="D205" s="7"/>
      <c r="E205" s="7"/>
      <c r="F205" s="7"/>
      <c r="G205" s="7"/>
      <c r="H205" s="8"/>
      <c r="I205" s="7"/>
      <c r="J205" s="9"/>
      <c r="K205" s="7"/>
      <c r="L205" s="7"/>
      <c r="M205" s="7"/>
      <c r="N205" s="7"/>
      <c r="O205" s="7"/>
      <c r="P205" s="7"/>
      <c r="Q205" s="7"/>
      <c r="R205" s="7"/>
      <c r="S205" s="7"/>
      <c r="T205" s="7"/>
      <c r="U205" s="7"/>
      <c r="V205" s="7"/>
      <c r="W205" s="6" t="str">
        <f aca="false">IF(COUNTA(B205:V205)=0,"",IF(OR(B205="",C205="",D205="",F205="",G205="",H205="",I205="",L205="",M205=""),"ناقص",IF(AND(ISNUMBER(F205),ISNUMBER(H205)),"OK","السنة/السعر لازم أرقام")))</f>
        <v>ناقص</v>
      </c>
      <c r="X205" s="6" t="str">
        <f aca="false">IF(B205="","",B205&amp;" "&amp;C205&amp;" "&amp;D205&amp;" "&amp;E205&amp;" "&amp;F205&amp;" "&amp;G205&amp;" "&amp;I205&amp;" "&amp;L205&amp;" "&amp;M205&amp;" سعر "&amp;H205&amp;" جنيه "&amp;U205)</f>
        <v/>
      </c>
    </row>
    <row r="206" customFormat="false" ht="15" hidden="false" customHeight="false" outlineLevel="0" collapsed="false">
      <c r="A206" s="6" t="s">
        <v>401</v>
      </c>
      <c r="B206" s="7"/>
      <c r="C206" s="6" t="str">
        <f aca="false">IF(B206="","",IFERROR(INDEX(Lists!$K$2:$K$60,MATCH(B206,Lists!$J$2:$J$60,0)),""))</f>
        <v/>
      </c>
      <c r="D206" s="7"/>
      <c r="E206" s="7"/>
      <c r="F206" s="7"/>
      <c r="G206" s="7"/>
      <c r="H206" s="8"/>
      <c r="I206" s="7"/>
      <c r="J206" s="9"/>
      <c r="K206" s="7"/>
      <c r="L206" s="7"/>
      <c r="M206" s="7"/>
      <c r="N206" s="7"/>
      <c r="O206" s="7"/>
      <c r="P206" s="7"/>
      <c r="Q206" s="7"/>
      <c r="R206" s="7"/>
      <c r="S206" s="7"/>
      <c r="T206" s="7"/>
      <c r="U206" s="7"/>
      <c r="V206" s="7"/>
      <c r="W206" s="6" t="str">
        <f aca="false">IF(COUNTA(B206:V206)=0,"",IF(OR(B206="",C206="",D206="",F206="",G206="",H206="",I206="",L206="",M206=""),"ناقص",IF(AND(ISNUMBER(F206),ISNUMBER(H206)),"OK","السنة/السعر لازم أرقام")))</f>
        <v>ناقص</v>
      </c>
      <c r="X206" s="6" t="str">
        <f aca="false">IF(B206="","",B206&amp;" "&amp;C206&amp;" "&amp;D206&amp;" "&amp;E206&amp;" "&amp;F206&amp;" "&amp;G206&amp;" "&amp;I206&amp;" "&amp;L206&amp;" "&amp;M206&amp;" سعر "&amp;H206&amp;" جنيه "&amp;U206)</f>
        <v/>
      </c>
    </row>
    <row r="207" customFormat="false" ht="15" hidden="false" customHeight="false" outlineLevel="0" collapsed="false">
      <c r="A207" s="6" t="s">
        <v>402</v>
      </c>
      <c r="B207" s="7"/>
      <c r="C207" s="6" t="str">
        <f aca="false">IF(B207="","",IFERROR(INDEX(Lists!$K$2:$K$60,MATCH(B207,Lists!$J$2:$J$60,0)),""))</f>
        <v/>
      </c>
      <c r="D207" s="7"/>
      <c r="E207" s="7"/>
      <c r="F207" s="7"/>
      <c r="G207" s="7"/>
      <c r="H207" s="8"/>
      <c r="I207" s="7"/>
      <c r="J207" s="9"/>
      <c r="K207" s="7"/>
      <c r="L207" s="7"/>
      <c r="M207" s="7"/>
      <c r="N207" s="7"/>
      <c r="O207" s="7"/>
      <c r="P207" s="7"/>
      <c r="Q207" s="7"/>
      <c r="R207" s="7"/>
      <c r="S207" s="7"/>
      <c r="T207" s="7"/>
      <c r="U207" s="7"/>
      <c r="V207" s="7"/>
      <c r="W207" s="6" t="str">
        <f aca="false">IF(COUNTA(B207:V207)=0,"",IF(OR(B207="",C207="",D207="",F207="",G207="",H207="",I207="",L207="",M207=""),"ناقص",IF(AND(ISNUMBER(F207),ISNUMBER(H207)),"OK","السنة/السعر لازم أرقام")))</f>
        <v>ناقص</v>
      </c>
      <c r="X207" s="6" t="str">
        <f aca="false">IF(B207="","",B207&amp;" "&amp;C207&amp;" "&amp;D207&amp;" "&amp;E207&amp;" "&amp;F207&amp;" "&amp;G207&amp;" "&amp;I207&amp;" "&amp;L207&amp;" "&amp;M207&amp;" سعر "&amp;H207&amp;" جنيه "&amp;U207)</f>
        <v/>
      </c>
    </row>
    <row r="208" customFormat="false" ht="15" hidden="false" customHeight="false" outlineLevel="0" collapsed="false">
      <c r="A208" s="6" t="s">
        <v>403</v>
      </c>
      <c r="B208" s="7"/>
      <c r="C208" s="6" t="str">
        <f aca="false">IF(B208="","",IFERROR(INDEX(Lists!$K$2:$K$60,MATCH(B208,Lists!$J$2:$J$60,0)),""))</f>
        <v/>
      </c>
      <c r="D208" s="7"/>
      <c r="E208" s="7"/>
      <c r="F208" s="7"/>
      <c r="G208" s="7"/>
      <c r="H208" s="8"/>
      <c r="I208" s="7"/>
      <c r="J208" s="9"/>
      <c r="K208" s="7"/>
      <c r="L208" s="7"/>
      <c r="M208" s="7"/>
      <c r="N208" s="7"/>
      <c r="O208" s="7"/>
      <c r="P208" s="7"/>
      <c r="Q208" s="7"/>
      <c r="R208" s="7"/>
      <c r="S208" s="7"/>
      <c r="T208" s="7"/>
      <c r="U208" s="7"/>
      <c r="V208" s="7"/>
      <c r="W208" s="6" t="str">
        <f aca="false">IF(COUNTA(B208:V208)=0,"",IF(OR(B208="",C208="",D208="",F208="",G208="",H208="",I208="",L208="",M208=""),"ناقص",IF(AND(ISNUMBER(F208),ISNUMBER(H208)),"OK","السنة/السعر لازم أرقام")))</f>
        <v>ناقص</v>
      </c>
      <c r="X208" s="6" t="str">
        <f aca="false">IF(B208="","",B208&amp;" "&amp;C208&amp;" "&amp;D208&amp;" "&amp;E208&amp;" "&amp;F208&amp;" "&amp;G208&amp;" "&amp;I208&amp;" "&amp;L208&amp;" "&amp;M208&amp;" سعر "&amp;H208&amp;" جنيه "&amp;U208)</f>
        <v/>
      </c>
    </row>
    <row r="209" customFormat="false" ht="15" hidden="false" customHeight="false" outlineLevel="0" collapsed="false">
      <c r="A209" s="6" t="s">
        <v>404</v>
      </c>
      <c r="B209" s="7"/>
      <c r="C209" s="6" t="str">
        <f aca="false">IF(B209="","",IFERROR(INDEX(Lists!$K$2:$K$60,MATCH(B209,Lists!$J$2:$J$60,0)),""))</f>
        <v/>
      </c>
      <c r="D209" s="7"/>
      <c r="E209" s="7"/>
      <c r="F209" s="7"/>
      <c r="G209" s="7"/>
      <c r="H209" s="8"/>
      <c r="I209" s="7"/>
      <c r="J209" s="9"/>
      <c r="K209" s="7"/>
      <c r="L209" s="7"/>
      <c r="M209" s="7"/>
      <c r="N209" s="7"/>
      <c r="O209" s="7"/>
      <c r="P209" s="7"/>
      <c r="Q209" s="7"/>
      <c r="R209" s="7"/>
      <c r="S209" s="7"/>
      <c r="T209" s="7"/>
      <c r="U209" s="7"/>
      <c r="V209" s="7"/>
      <c r="W209" s="6" t="str">
        <f aca="false">IF(COUNTA(B209:V209)=0,"",IF(OR(B209="",C209="",D209="",F209="",G209="",H209="",I209="",L209="",M209=""),"ناقص",IF(AND(ISNUMBER(F209),ISNUMBER(H209)),"OK","السنة/السعر لازم أرقام")))</f>
        <v>ناقص</v>
      </c>
      <c r="X209" s="6" t="str">
        <f aca="false">IF(B209="","",B209&amp;" "&amp;C209&amp;" "&amp;D209&amp;" "&amp;E209&amp;" "&amp;F209&amp;" "&amp;G209&amp;" "&amp;I209&amp;" "&amp;L209&amp;" "&amp;M209&amp;" سعر "&amp;H209&amp;" جنيه "&amp;U209)</f>
        <v/>
      </c>
    </row>
    <row r="210" customFormat="false" ht="15" hidden="false" customHeight="false" outlineLevel="0" collapsed="false">
      <c r="A210" s="6" t="s">
        <v>405</v>
      </c>
      <c r="B210" s="7"/>
      <c r="C210" s="6" t="str">
        <f aca="false">IF(B210="","",IFERROR(INDEX(Lists!$K$2:$K$60,MATCH(B210,Lists!$J$2:$J$60,0)),""))</f>
        <v/>
      </c>
      <c r="D210" s="7"/>
      <c r="E210" s="7"/>
      <c r="F210" s="7"/>
      <c r="G210" s="7"/>
      <c r="H210" s="8"/>
      <c r="I210" s="7"/>
      <c r="J210" s="9"/>
      <c r="K210" s="7"/>
      <c r="L210" s="7"/>
      <c r="M210" s="7"/>
      <c r="N210" s="7"/>
      <c r="O210" s="7"/>
      <c r="P210" s="7"/>
      <c r="Q210" s="7"/>
      <c r="R210" s="7"/>
      <c r="S210" s="7"/>
      <c r="T210" s="7"/>
      <c r="U210" s="7"/>
      <c r="V210" s="7"/>
      <c r="W210" s="6" t="str">
        <f aca="false">IF(COUNTA(B210:V210)=0,"",IF(OR(B210="",C210="",D210="",F210="",G210="",H210="",I210="",L210="",M210=""),"ناقص",IF(AND(ISNUMBER(F210),ISNUMBER(H210)),"OK","السنة/السعر لازم أرقام")))</f>
        <v>ناقص</v>
      </c>
      <c r="X210" s="6" t="str">
        <f aca="false">IF(B210="","",B210&amp;" "&amp;C210&amp;" "&amp;D210&amp;" "&amp;E210&amp;" "&amp;F210&amp;" "&amp;G210&amp;" "&amp;I210&amp;" "&amp;L210&amp;" "&amp;M210&amp;" سعر "&amp;H210&amp;" جنيه "&amp;U210)</f>
        <v/>
      </c>
    </row>
    <row r="211" customFormat="false" ht="15" hidden="false" customHeight="false" outlineLevel="0" collapsed="false">
      <c r="A211" s="6" t="s">
        <v>406</v>
      </c>
      <c r="B211" s="7"/>
      <c r="C211" s="6" t="str">
        <f aca="false">IF(B211="","",IFERROR(INDEX(Lists!$K$2:$K$60,MATCH(B211,Lists!$J$2:$J$60,0)),""))</f>
        <v/>
      </c>
      <c r="D211" s="7"/>
      <c r="E211" s="7"/>
      <c r="F211" s="7"/>
      <c r="G211" s="7"/>
      <c r="H211" s="8"/>
      <c r="I211" s="7"/>
      <c r="J211" s="9"/>
      <c r="K211" s="7"/>
      <c r="L211" s="7"/>
      <c r="M211" s="7"/>
      <c r="N211" s="7"/>
      <c r="O211" s="7"/>
      <c r="P211" s="7"/>
      <c r="Q211" s="7"/>
      <c r="R211" s="7"/>
      <c r="S211" s="7"/>
      <c r="T211" s="7"/>
      <c r="U211" s="7"/>
      <c r="V211" s="7"/>
      <c r="W211" s="6" t="str">
        <f aca="false">IF(COUNTA(B211:V211)=0,"",IF(OR(B211="",C211="",D211="",F211="",G211="",H211="",I211="",L211="",M211=""),"ناقص",IF(AND(ISNUMBER(F211),ISNUMBER(H211)),"OK","السنة/السعر لازم أرقام")))</f>
        <v>ناقص</v>
      </c>
      <c r="X211" s="6" t="str">
        <f aca="false">IF(B211="","",B211&amp;" "&amp;C211&amp;" "&amp;D211&amp;" "&amp;E211&amp;" "&amp;F211&amp;" "&amp;G211&amp;" "&amp;I211&amp;" "&amp;L211&amp;" "&amp;M211&amp;" سعر "&amp;H211&amp;" جنيه "&amp;U211)</f>
        <v/>
      </c>
    </row>
    <row r="212" customFormat="false" ht="15" hidden="false" customHeight="false" outlineLevel="0" collapsed="false">
      <c r="A212" s="6" t="s">
        <v>407</v>
      </c>
      <c r="B212" s="7"/>
      <c r="C212" s="6" t="str">
        <f aca="false">IF(B212="","",IFERROR(INDEX(Lists!$K$2:$K$60,MATCH(B212,Lists!$J$2:$J$60,0)),""))</f>
        <v/>
      </c>
      <c r="D212" s="7"/>
      <c r="E212" s="7"/>
      <c r="F212" s="7"/>
      <c r="G212" s="7"/>
      <c r="H212" s="8"/>
      <c r="I212" s="7"/>
      <c r="J212" s="9"/>
      <c r="K212" s="7"/>
      <c r="L212" s="7"/>
      <c r="M212" s="7"/>
      <c r="N212" s="7"/>
      <c r="O212" s="7"/>
      <c r="P212" s="7"/>
      <c r="Q212" s="7"/>
      <c r="R212" s="7"/>
      <c r="S212" s="7"/>
      <c r="T212" s="7"/>
      <c r="U212" s="7"/>
      <c r="V212" s="7"/>
      <c r="W212" s="6" t="str">
        <f aca="false">IF(COUNTA(B212:V212)=0,"",IF(OR(B212="",C212="",D212="",F212="",G212="",H212="",I212="",L212="",M212=""),"ناقص",IF(AND(ISNUMBER(F212),ISNUMBER(H212)),"OK","السنة/السعر لازم أرقام")))</f>
        <v>ناقص</v>
      </c>
      <c r="X212" s="6" t="str">
        <f aca="false">IF(B212="","",B212&amp;" "&amp;C212&amp;" "&amp;D212&amp;" "&amp;E212&amp;" "&amp;F212&amp;" "&amp;G212&amp;" "&amp;I212&amp;" "&amp;L212&amp;" "&amp;M212&amp;" سعر "&amp;H212&amp;" جنيه "&amp;U212)</f>
        <v/>
      </c>
    </row>
    <row r="213" customFormat="false" ht="15" hidden="false" customHeight="false" outlineLevel="0" collapsed="false">
      <c r="A213" s="6" t="s">
        <v>408</v>
      </c>
      <c r="B213" s="7"/>
      <c r="C213" s="6" t="str">
        <f aca="false">IF(B213="","",IFERROR(INDEX(Lists!$K$2:$K$60,MATCH(B213,Lists!$J$2:$J$60,0)),""))</f>
        <v/>
      </c>
      <c r="D213" s="7"/>
      <c r="E213" s="7"/>
      <c r="F213" s="7"/>
      <c r="G213" s="7"/>
      <c r="H213" s="8"/>
      <c r="I213" s="7"/>
      <c r="J213" s="9"/>
      <c r="K213" s="7"/>
      <c r="L213" s="7"/>
      <c r="M213" s="7"/>
      <c r="N213" s="7"/>
      <c r="O213" s="7"/>
      <c r="P213" s="7"/>
      <c r="Q213" s="7"/>
      <c r="R213" s="7"/>
      <c r="S213" s="7"/>
      <c r="T213" s="7"/>
      <c r="U213" s="7"/>
      <c r="V213" s="7"/>
      <c r="W213" s="6" t="str">
        <f aca="false">IF(COUNTA(B213:V213)=0,"",IF(OR(B213="",C213="",D213="",F213="",G213="",H213="",I213="",L213="",M213=""),"ناقص",IF(AND(ISNUMBER(F213),ISNUMBER(H213)),"OK","السنة/السعر لازم أرقام")))</f>
        <v>ناقص</v>
      </c>
      <c r="X213" s="6" t="str">
        <f aca="false">IF(B213="","",B213&amp;" "&amp;C213&amp;" "&amp;D213&amp;" "&amp;E213&amp;" "&amp;F213&amp;" "&amp;G213&amp;" "&amp;I213&amp;" "&amp;L213&amp;" "&amp;M213&amp;" سعر "&amp;H213&amp;" جنيه "&amp;U213)</f>
        <v/>
      </c>
    </row>
    <row r="214" customFormat="false" ht="15" hidden="false" customHeight="false" outlineLevel="0" collapsed="false">
      <c r="A214" s="6" t="s">
        <v>409</v>
      </c>
      <c r="B214" s="7"/>
      <c r="C214" s="6" t="str">
        <f aca="false">IF(B214="","",IFERROR(INDEX(Lists!$K$2:$K$60,MATCH(B214,Lists!$J$2:$J$60,0)),""))</f>
        <v/>
      </c>
      <c r="D214" s="7"/>
      <c r="E214" s="7"/>
      <c r="F214" s="7"/>
      <c r="G214" s="7"/>
      <c r="H214" s="8"/>
      <c r="I214" s="7"/>
      <c r="J214" s="9"/>
      <c r="K214" s="7"/>
      <c r="L214" s="7"/>
      <c r="M214" s="7"/>
      <c r="N214" s="7"/>
      <c r="O214" s="7"/>
      <c r="P214" s="7"/>
      <c r="Q214" s="7"/>
      <c r="R214" s="7"/>
      <c r="S214" s="7"/>
      <c r="T214" s="7"/>
      <c r="U214" s="7"/>
      <c r="V214" s="7"/>
      <c r="W214" s="6" t="str">
        <f aca="false">IF(COUNTA(B214:V214)=0,"",IF(OR(B214="",C214="",D214="",F214="",G214="",H214="",I214="",L214="",M214=""),"ناقص",IF(AND(ISNUMBER(F214),ISNUMBER(H214)),"OK","السنة/السعر لازم أرقام")))</f>
        <v>ناقص</v>
      </c>
      <c r="X214" s="6" t="str">
        <f aca="false">IF(B214="","",B214&amp;" "&amp;C214&amp;" "&amp;D214&amp;" "&amp;E214&amp;" "&amp;F214&amp;" "&amp;G214&amp;" "&amp;I214&amp;" "&amp;L214&amp;" "&amp;M214&amp;" سعر "&amp;H214&amp;" جنيه "&amp;U214)</f>
        <v/>
      </c>
    </row>
    <row r="215" customFormat="false" ht="15" hidden="false" customHeight="false" outlineLevel="0" collapsed="false">
      <c r="A215" s="6" t="s">
        <v>410</v>
      </c>
      <c r="B215" s="7"/>
      <c r="C215" s="6" t="str">
        <f aca="false">IF(B215="","",IFERROR(INDEX(Lists!$K$2:$K$60,MATCH(B215,Lists!$J$2:$J$60,0)),""))</f>
        <v/>
      </c>
      <c r="D215" s="7"/>
      <c r="E215" s="7"/>
      <c r="F215" s="7"/>
      <c r="G215" s="7"/>
      <c r="H215" s="8"/>
      <c r="I215" s="7"/>
      <c r="J215" s="9"/>
      <c r="K215" s="7"/>
      <c r="L215" s="7"/>
      <c r="M215" s="7"/>
      <c r="N215" s="7"/>
      <c r="O215" s="7"/>
      <c r="P215" s="7"/>
      <c r="Q215" s="7"/>
      <c r="R215" s="7"/>
      <c r="S215" s="7"/>
      <c r="T215" s="7"/>
      <c r="U215" s="7"/>
      <c r="V215" s="7"/>
      <c r="W215" s="6" t="str">
        <f aca="false">IF(COUNTA(B215:V215)=0,"",IF(OR(B215="",C215="",D215="",F215="",G215="",H215="",I215="",L215="",M215=""),"ناقص",IF(AND(ISNUMBER(F215),ISNUMBER(H215)),"OK","السنة/السعر لازم أرقام")))</f>
        <v>ناقص</v>
      </c>
      <c r="X215" s="6" t="str">
        <f aca="false">IF(B215="","",B215&amp;" "&amp;C215&amp;" "&amp;D215&amp;" "&amp;E215&amp;" "&amp;F215&amp;" "&amp;G215&amp;" "&amp;I215&amp;" "&amp;L215&amp;" "&amp;M215&amp;" سعر "&amp;H215&amp;" جنيه "&amp;U215)</f>
        <v/>
      </c>
    </row>
    <row r="216" customFormat="false" ht="15" hidden="false" customHeight="false" outlineLevel="0" collapsed="false">
      <c r="A216" s="6" t="s">
        <v>411</v>
      </c>
      <c r="B216" s="7"/>
      <c r="C216" s="6" t="str">
        <f aca="false">IF(B216="","",IFERROR(INDEX(Lists!$K$2:$K$60,MATCH(B216,Lists!$J$2:$J$60,0)),""))</f>
        <v/>
      </c>
      <c r="D216" s="7"/>
      <c r="E216" s="7"/>
      <c r="F216" s="7"/>
      <c r="G216" s="7"/>
      <c r="H216" s="8"/>
      <c r="I216" s="7"/>
      <c r="J216" s="9"/>
      <c r="K216" s="7"/>
      <c r="L216" s="7"/>
      <c r="M216" s="7"/>
      <c r="N216" s="7"/>
      <c r="O216" s="7"/>
      <c r="P216" s="7"/>
      <c r="Q216" s="7"/>
      <c r="R216" s="7"/>
      <c r="S216" s="7"/>
      <c r="T216" s="7"/>
      <c r="U216" s="7"/>
      <c r="V216" s="7"/>
      <c r="W216" s="6" t="str">
        <f aca="false">IF(COUNTA(B216:V216)=0,"",IF(OR(B216="",C216="",D216="",F216="",G216="",H216="",I216="",L216="",M216=""),"ناقص",IF(AND(ISNUMBER(F216),ISNUMBER(H216)),"OK","السنة/السعر لازم أرقام")))</f>
        <v>ناقص</v>
      </c>
      <c r="X216" s="6" t="str">
        <f aca="false">IF(B216="","",B216&amp;" "&amp;C216&amp;" "&amp;D216&amp;" "&amp;E216&amp;" "&amp;F216&amp;" "&amp;G216&amp;" "&amp;I216&amp;" "&amp;L216&amp;" "&amp;M216&amp;" سعر "&amp;H216&amp;" جنيه "&amp;U216)</f>
        <v/>
      </c>
    </row>
    <row r="217" customFormat="false" ht="15" hidden="false" customHeight="false" outlineLevel="0" collapsed="false">
      <c r="A217" s="6" t="s">
        <v>412</v>
      </c>
      <c r="B217" s="7"/>
      <c r="C217" s="6" t="str">
        <f aca="false">IF(B217="","",IFERROR(INDEX(Lists!$K$2:$K$60,MATCH(B217,Lists!$J$2:$J$60,0)),""))</f>
        <v/>
      </c>
      <c r="D217" s="7"/>
      <c r="E217" s="7"/>
      <c r="F217" s="7"/>
      <c r="G217" s="7"/>
      <c r="H217" s="8"/>
      <c r="I217" s="7"/>
      <c r="J217" s="9"/>
      <c r="K217" s="7"/>
      <c r="L217" s="7"/>
      <c r="M217" s="7"/>
      <c r="N217" s="7"/>
      <c r="O217" s="7"/>
      <c r="P217" s="7"/>
      <c r="Q217" s="7"/>
      <c r="R217" s="7"/>
      <c r="S217" s="7"/>
      <c r="T217" s="7"/>
      <c r="U217" s="7"/>
      <c r="V217" s="7"/>
      <c r="W217" s="6" t="str">
        <f aca="false">IF(COUNTA(B217:V217)=0,"",IF(OR(B217="",C217="",D217="",F217="",G217="",H217="",I217="",L217="",M217=""),"ناقص",IF(AND(ISNUMBER(F217),ISNUMBER(H217)),"OK","السنة/السعر لازم أرقام")))</f>
        <v>ناقص</v>
      </c>
      <c r="X217" s="6" t="str">
        <f aca="false">IF(B217="","",B217&amp;" "&amp;C217&amp;" "&amp;D217&amp;" "&amp;E217&amp;" "&amp;F217&amp;" "&amp;G217&amp;" "&amp;I217&amp;" "&amp;L217&amp;" "&amp;M217&amp;" سعر "&amp;H217&amp;" جنيه "&amp;U217)</f>
        <v/>
      </c>
    </row>
    <row r="218" customFormat="false" ht="15" hidden="false" customHeight="false" outlineLevel="0" collapsed="false">
      <c r="A218" s="6" t="s">
        <v>413</v>
      </c>
      <c r="B218" s="7"/>
      <c r="C218" s="6" t="str">
        <f aca="false">IF(B218="","",IFERROR(INDEX(Lists!$K$2:$K$60,MATCH(B218,Lists!$J$2:$J$60,0)),""))</f>
        <v/>
      </c>
      <c r="D218" s="7"/>
      <c r="E218" s="7"/>
      <c r="F218" s="7"/>
      <c r="G218" s="7"/>
      <c r="H218" s="8"/>
      <c r="I218" s="7"/>
      <c r="J218" s="9"/>
      <c r="K218" s="7"/>
      <c r="L218" s="7"/>
      <c r="M218" s="7"/>
      <c r="N218" s="7"/>
      <c r="O218" s="7"/>
      <c r="P218" s="7"/>
      <c r="Q218" s="7"/>
      <c r="R218" s="7"/>
      <c r="S218" s="7"/>
      <c r="T218" s="7"/>
      <c r="U218" s="7"/>
      <c r="V218" s="7"/>
      <c r="W218" s="6" t="str">
        <f aca="false">IF(COUNTA(B218:V218)=0,"",IF(OR(B218="",C218="",D218="",F218="",G218="",H218="",I218="",L218="",M218=""),"ناقص",IF(AND(ISNUMBER(F218),ISNUMBER(H218)),"OK","السنة/السعر لازم أرقام")))</f>
        <v>ناقص</v>
      </c>
      <c r="X218" s="6" t="str">
        <f aca="false">IF(B218="","",B218&amp;" "&amp;C218&amp;" "&amp;D218&amp;" "&amp;E218&amp;" "&amp;F218&amp;" "&amp;G218&amp;" "&amp;I218&amp;" "&amp;L218&amp;" "&amp;M218&amp;" سعر "&amp;H218&amp;" جنيه "&amp;U218)</f>
        <v/>
      </c>
    </row>
    <row r="219" customFormat="false" ht="15" hidden="false" customHeight="false" outlineLevel="0" collapsed="false">
      <c r="A219" s="6" t="s">
        <v>414</v>
      </c>
      <c r="B219" s="7"/>
      <c r="C219" s="6" t="str">
        <f aca="false">IF(B219="","",IFERROR(INDEX(Lists!$K$2:$K$60,MATCH(B219,Lists!$J$2:$J$60,0)),""))</f>
        <v/>
      </c>
      <c r="D219" s="7"/>
      <c r="E219" s="7"/>
      <c r="F219" s="7"/>
      <c r="G219" s="7"/>
      <c r="H219" s="8"/>
      <c r="I219" s="7"/>
      <c r="J219" s="9"/>
      <c r="K219" s="7"/>
      <c r="L219" s="7"/>
      <c r="M219" s="7"/>
      <c r="N219" s="7"/>
      <c r="O219" s="7"/>
      <c r="P219" s="7"/>
      <c r="Q219" s="7"/>
      <c r="R219" s="7"/>
      <c r="S219" s="7"/>
      <c r="T219" s="7"/>
      <c r="U219" s="7"/>
      <c r="V219" s="7"/>
      <c r="W219" s="6" t="str">
        <f aca="false">IF(COUNTA(B219:V219)=0,"",IF(OR(B219="",C219="",D219="",F219="",G219="",H219="",I219="",L219="",M219=""),"ناقص",IF(AND(ISNUMBER(F219),ISNUMBER(H219)),"OK","السنة/السعر لازم أرقام")))</f>
        <v>ناقص</v>
      </c>
      <c r="X219" s="6" t="str">
        <f aca="false">IF(B219="","",B219&amp;" "&amp;C219&amp;" "&amp;D219&amp;" "&amp;E219&amp;" "&amp;F219&amp;" "&amp;G219&amp;" "&amp;I219&amp;" "&amp;L219&amp;" "&amp;M219&amp;" سعر "&amp;H219&amp;" جنيه "&amp;U219)</f>
        <v/>
      </c>
    </row>
    <row r="220" customFormat="false" ht="15" hidden="false" customHeight="false" outlineLevel="0" collapsed="false">
      <c r="A220" s="6" t="s">
        <v>415</v>
      </c>
      <c r="B220" s="7"/>
      <c r="C220" s="6" t="str">
        <f aca="false">IF(B220="","",IFERROR(INDEX(Lists!$K$2:$K$60,MATCH(B220,Lists!$J$2:$J$60,0)),""))</f>
        <v/>
      </c>
      <c r="D220" s="7"/>
      <c r="E220" s="7"/>
      <c r="F220" s="7"/>
      <c r="G220" s="7"/>
      <c r="H220" s="8"/>
      <c r="I220" s="7"/>
      <c r="J220" s="9"/>
      <c r="K220" s="7"/>
      <c r="L220" s="7"/>
      <c r="M220" s="7"/>
      <c r="N220" s="7"/>
      <c r="O220" s="7"/>
      <c r="P220" s="7"/>
      <c r="Q220" s="7"/>
      <c r="R220" s="7"/>
      <c r="S220" s="7"/>
      <c r="T220" s="7"/>
      <c r="U220" s="7"/>
      <c r="V220" s="7"/>
      <c r="W220" s="6" t="str">
        <f aca="false">IF(COUNTA(B220:V220)=0,"",IF(OR(B220="",C220="",D220="",F220="",G220="",H220="",I220="",L220="",M220=""),"ناقص",IF(AND(ISNUMBER(F220),ISNUMBER(H220)),"OK","السنة/السعر لازم أرقام")))</f>
        <v>ناقص</v>
      </c>
      <c r="X220" s="6" t="str">
        <f aca="false">IF(B220="","",B220&amp;" "&amp;C220&amp;" "&amp;D220&amp;" "&amp;E220&amp;" "&amp;F220&amp;" "&amp;G220&amp;" "&amp;I220&amp;" "&amp;L220&amp;" "&amp;M220&amp;" سعر "&amp;H220&amp;" جنيه "&amp;U220)</f>
        <v/>
      </c>
    </row>
    <row r="221" customFormat="false" ht="15" hidden="false" customHeight="false" outlineLevel="0" collapsed="false">
      <c r="A221" s="6" t="s">
        <v>416</v>
      </c>
      <c r="B221" s="7"/>
      <c r="C221" s="6" t="str">
        <f aca="false">IF(B221="","",IFERROR(INDEX(Lists!$K$2:$K$60,MATCH(B221,Lists!$J$2:$J$60,0)),""))</f>
        <v/>
      </c>
      <c r="D221" s="7"/>
      <c r="E221" s="7"/>
      <c r="F221" s="7"/>
      <c r="G221" s="7"/>
      <c r="H221" s="8"/>
      <c r="I221" s="7"/>
      <c r="J221" s="9"/>
      <c r="K221" s="7"/>
      <c r="L221" s="7"/>
      <c r="M221" s="7"/>
      <c r="N221" s="7"/>
      <c r="O221" s="7"/>
      <c r="P221" s="7"/>
      <c r="Q221" s="7"/>
      <c r="R221" s="7"/>
      <c r="S221" s="7"/>
      <c r="T221" s="7"/>
      <c r="U221" s="7"/>
      <c r="V221" s="7"/>
      <c r="W221" s="6" t="str">
        <f aca="false">IF(COUNTA(B221:V221)=0,"",IF(OR(B221="",C221="",D221="",F221="",G221="",H221="",I221="",L221="",M221=""),"ناقص",IF(AND(ISNUMBER(F221),ISNUMBER(H221)),"OK","السنة/السعر لازم أرقام")))</f>
        <v>ناقص</v>
      </c>
      <c r="X221" s="6" t="str">
        <f aca="false">IF(B221="","",B221&amp;" "&amp;C221&amp;" "&amp;D221&amp;" "&amp;E221&amp;" "&amp;F221&amp;" "&amp;G221&amp;" "&amp;I221&amp;" "&amp;L221&amp;" "&amp;M221&amp;" سعر "&amp;H221&amp;" جنيه "&amp;U221)</f>
        <v/>
      </c>
    </row>
    <row r="222" customFormat="false" ht="15" hidden="false" customHeight="false" outlineLevel="0" collapsed="false">
      <c r="A222" s="6" t="s">
        <v>417</v>
      </c>
      <c r="B222" s="7"/>
      <c r="C222" s="6" t="str">
        <f aca="false">IF(B222="","",IFERROR(INDEX(Lists!$K$2:$K$60,MATCH(B222,Lists!$J$2:$J$60,0)),""))</f>
        <v/>
      </c>
      <c r="D222" s="7"/>
      <c r="E222" s="7"/>
      <c r="F222" s="7"/>
      <c r="G222" s="7"/>
      <c r="H222" s="8"/>
      <c r="I222" s="7"/>
      <c r="J222" s="9"/>
      <c r="K222" s="7"/>
      <c r="L222" s="7"/>
      <c r="M222" s="7"/>
      <c r="N222" s="7"/>
      <c r="O222" s="7"/>
      <c r="P222" s="7"/>
      <c r="Q222" s="7"/>
      <c r="R222" s="7"/>
      <c r="S222" s="7"/>
      <c r="T222" s="7"/>
      <c r="U222" s="7"/>
      <c r="V222" s="7"/>
      <c r="W222" s="6" t="str">
        <f aca="false">IF(COUNTA(B222:V222)=0,"",IF(OR(B222="",C222="",D222="",F222="",G222="",H222="",I222="",L222="",M222=""),"ناقص",IF(AND(ISNUMBER(F222),ISNUMBER(H222)),"OK","السنة/السعر لازم أرقام")))</f>
        <v>ناقص</v>
      </c>
      <c r="X222" s="6" t="str">
        <f aca="false">IF(B222="","",B222&amp;" "&amp;C222&amp;" "&amp;D222&amp;" "&amp;E222&amp;" "&amp;F222&amp;" "&amp;G222&amp;" "&amp;I222&amp;" "&amp;L222&amp;" "&amp;M222&amp;" سعر "&amp;H222&amp;" جنيه "&amp;U222)</f>
        <v/>
      </c>
    </row>
    <row r="223" customFormat="false" ht="15" hidden="false" customHeight="false" outlineLevel="0" collapsed="false">
      <c r="A223" s="6" t="s">
        <v>418</v>
      </c>
      <c r="B223" s="7"/>
      <c r="C223" s="6" t="str">
        <f aca="false">IF(B223="","",IFERROR(INDEX(Lists!$K$2:$K$60,MATCH(B223,Lists!$J$2:$J$60,0)),""))</f>
        <v/>
      </c>
      <c r="D223" s="7"/>
      <c r="E223" s="7"/>
      <c r="F223" s="7"/>
      <c r="G223" s="7"/>
      <c r="H223" s="8"/>
      <c r="I223" s="7"/>
      <c r="J223" s="9"/>
      <c r="K223" s="7"/>
      <c r="L223" s="7"/>
      <c r="M223" s="7"/>
      <c r="N223" s="7"/>
      <c r="O223" s="7"/>
      <c r="P223" s="7"/>
      <c r="Q223" s="7"/>
      <c r="R223" s="7"/>
      <c r="S223" s="7"/>
      <c r="T223" s="7"/>
      <c r="U223" s="7"/>
      <c r="V223" s="7"/>
      <c r="W223" s="6" t="str">
        <f aca="false">IF(COUNTA(B223:V223)=0,"",IF(OR(B223="",C223="",D223="",F223="",G223="",H223="",I223="",L223="",M223=""),"ناقص",IF(AND(ISNUMBER(F223),ISNUMBER(H223)),"OK","السنة/السعر لازم أرقام")))</f>
        <v>ناقص</v>
      </c>
      <c r="X223" s="6" t="str">
        <f aca="false">IF(B223="","",B223&amp;" "&amp;C223&amp;" "&amp;D223&amp;" "&amp;E223&amp;" "&amp;F223&amp;" "&amp;G223&amp;" "&amp;I223&amp;" "&amp;L223&amp;" "&amp;M223&amp;" سعر "&amp;H223&amp;" جنيه "&amp;U223)</f>
        <v/>
      </c>
    </row>
    <row r="224" customFormat="false" ht="15" hidden="false" customHeight="false" outlineLevel="0" collapsed="false">
      <c r="A224" s="6" t="s">
        <v>419</v>
      </c>
      <c r="B224" s="7"/>
      <c r="C224" s="6" t="str">
        <f aca="false">IF(B224="","",IFERROR(INDEX(Lists!$K$2:$K$60,MATCH(B224,Lists!$J$2:$J$60,0)),""))</f>
        <v/>
      </c>
      <c r="D224" s="7"/>
      <c r="E224" s="7"/>
      <c r="F224" s="7"/>
      <c r="G224" s="7"/>
      <c r="H224" s="8"/>
      <c r="I224" s="7"/>
      <c r="J224" s="9"/>
      <c r="K224" s="7"/>
      <c r="L224" s="7"/>
      <c r="M224" s="7"/>
      <c r="N224" s="7"/>
      <c r="O224" s="7"/>
      <c r="P224" s="7"/>
      <c r="Q224" s="7"/>
      <c r="R224" s="7"/>
      <c r="S224" s="7"/>
      <c r="T224" s="7"/>
      <c r="U224" s="7"/>
      <c r="V224" s="7"/>
      <c r="W224" s="6" t="str">
        <f aca="false">IF(COUNTA(B224:V224)=0,"",IF(OR(B224="",C224="",D224="",F224="",G224="",H224="",I224="",L224="",M224=""),"ناقص",IF(AND(ISNUMBER(F224),ISNUMBER(H224)),"OK","السنة/السعر لازم أرقام")))</f>
        <v>ناقص</v>
      </c>
      <c r="X224" s="6" t="str">
        <f aca="false">IF(B224="","",B224&amp;" "&amp;C224&amp;" "&amp;D224&amp;" "&amp;E224&amp;" "&amp;F224&amp;" "&amp;G224&amp;" "&amp;I224&amp;" "&amp;L224&amp;" "&amp;M224&amp;" سعر "&amp;H224&amp;" جنيه "&amp;U224)</f>
        <v/>
      </c>
    </row>
    <row r="225" customFormat="false" ht="15" hidden="false" customHeight="false" outlineLevel="0" collapsed="false">
      <c r="A225" s="6" t="s">
        <v>420</v>
      </c>
      <c r="B225" s="7"/>
      <c r="C225" s="6" t="str">
        <f aca="false">IF(B225="","",IFERROR(INDEX(Lists!$K$2:$K$60,MATCH(B225,Lists!$J$2:$J$60,0)),""))</f>
        <v/>
      </c>
      <c r="D225" s="7"/>
      <c r="E225" s="7"/>
      <c r="F225" s="7"/>
      <c r="G225" s="7"/>
      <c r="H225" s="8"/>
      <c r="I225" s="7"/>
      <c r="J225" s="9"/>
      <c r="K225" s="7"/>
      <c r="L225" s="7"/>
      <c r="M225" s="7"/>
      <c r="N225" s="7"/>
      <c r="O225" s="7"/>
      <c r="P225" s="7"/>
      <c r="Q225" s="7"/>
      <c r="R225" s="7"/>
      <c r="S225" s="7"/>
      <c r="T225" s="7"/>
      <c r="U225" s="7"/>
      <c r="V225" s="7"/>
      <c r="W225" s="6" t="str">
        <f aca="false">IF(COUNTA(B225:V225)=0,"",IF(OR(B225="",C225="",D225="",F225="",G225="",H225="",I225="",L225="",M225=""),"ناقص",IF(AND(ISNUMBER(F225),ISNUMBER(H225)),"OK","السنة/السعر لازم أرقام")))</f>
        <v>ناقص</v>
      </c>
      <c r="X225" s="6" t="str">
        <f aca="false">IF(B225="","",B225&amp;" "&amp;C225&amp;" "&amp;D225&amp;" "&amp;E225&amp;" "&amp;F225&amp;" "&amp;G225&amp;" "&amp;I225&amp;" "&amp;L225&amp;" "&amp;M225&amp;" سعر "&amp;H225&amp;" جنيه "&amp;U225)</f>
        <v/>
      </c>
    </row>
    <row r="226" customFormat="false" ht="15" hidden="false" customHeight="false" outlineLevel="0" collapsed="false">
      <c r="A226" s="6" t="s">
        <v>421</v>
      </c>
      <c r="B226" s="7"/>
      <c r="C226" s="6" t="str">
        <f aca="false">IF(B226="","",IFERROR(INDEX(Lists!$K$2:$K$60,MATCH(B226,Lists!$J$2:$J$60,0)),""))</f>
        <v/>
      </c>
      <c r="D226" s="7"/>
      <c r="E226" s="7"/>
      <c r="F226" s="7"/>
      <c r="G226" s="7"/>
      <c r="H226" s="8"/>
      <c r="I226" s="7"/>
      <c r="J226" s="9"/>
      <c r="K226" s="7"/>
      <c r="L226" s="7"/>
      <c r="M226" s="7"/>
      <c r="N226" s="7"/>
      <c r="O226" s="7"/>
      <c r="P226" s="7"/>
      <c r="Q226" s="7"/>
      <c r="R226" s="7"/>
      <c r="S226" s="7"/>
      <c r="T226" s="7"/>
      <c r="U226" s="7"/>
      <c r="V226" s="7"/>
      <c r="W226" s="6" t="str">
        <f aca="false">IF(COUNTA(B226:V226)=0,"",IF(OR(B226="",C226="",D226="",F226="",G226="",H226="",I226="",L226="",M226=""),"ناقص",IF(AND(ISNUMBER(F226),ISNUMBER(H226)),"OK","السنة/السعر لازم أرقام")))</f>
        <v>ناقص</v>
      </c>
      <c r="X226" s="6" t="str">
        <f aca="false">IF(B226="","",B226&amp;" "&amp;C226&amp;" "&amp;D226&amp;" "&amp;E226&amp;" "&amp;F226&amp;" "&amp;G226&amp;" "&amp;I226&amp;" "&amp;L226&amp;" "&amp;M226&amp;" سعر "&amp;H226&amp;" جنيه "&amp;U226)</f>
        <v/>
      </c>
    </row>
    <row r="227" customFormat="false" ht="15" hidden="false" customHeight="false" outlineLevel="0" collapsed="false">
      <c r="A227" s="6" t="s">
        <v>422</v>
      </c>
      <c r="B227" s="7"/>
      <c r="C227" s="6" t="str">
        <f aca="false">IF(B227="","",IFERROR(INDEX(Lists!$K$2:$K$60,MATCH(B227,Lists!$J$2:$J$60,0)),""))</f>
        <v/>
      </c>
      <c r="D227" s="7"/>
      <c r="E227" s="7"/>
      <c r="F227" s="7"/>
      <c r="G227" s="7"/>
      <c r="H227" s="8"/>
      <c r="I227" s="7"/>
      <c r="J227" s="9"/>
      <c r="K227" s="7"/>
      <c r="L227" s="7"/>
      <c r="M227" s="7"/>
      <c r="N227" s="7"/>
      <c r="O227" s="7"/>
      <c r="P227" s="7"/>
      <c r="Q227" s="7"/>
      <c r="R227" s="7"/>
      <c r="S227" s="7"/>
      <c r="T227" s="7"/>
      <c r="U227" s="7"/>
      <c r="V227" s="7"/>
      <c r="W227" s="6" t="str">
        <f aca="false">IF(COUNTA(B227:V227)=0,"",IF(OR(B227="",C227="",D227="",F227="",G227="",H227="",I227="",L227="",M227=""),"ناقص",IF(AND(ISNUMBER(F227),ISNUMBER(H227)),"OK","السنة/السعر لازم أرقام")))</f>
        <v>ناقص</v>
      </c>
      <c r="X227" s="6" t="str">
        <f aca="false">IF(B227="","",B227&amp;" "&amp;C227&amp;" "&amp;D227&amp;" "&amp;E227&amp;" "&amp;F227&amp;" "&amp;G227&amp;" "&amp;I227&amp;" "&amp;L227&amp;" "&amp;M227&amp;" سعر "&amp;H227&amp;" جنيه "&amp;U227)</f>
        <v/>
      </c>
    </row>
    <row r="228" customFormat="false" ht="15" hidden="false" customHeight="false" outlineLevel="0" collapsed="false">
      <c r="A228" s="6" t="s">
        <v>423</v>
      </c>
      <c r="B228" s="7"/>
      <c r="C228" s="6" t="str">
        <f aca="false">IF(B228="","",IFERROR(INDEX(Lists!$K$2:$K$60,MATCH(B228,Lists!$J$2:$J$60,0)),""))</f>
        <v/>
      </c>
      <c r="D228" s="7"/>
      <c r="E228" s="7"/>
      <c r="F228" s="7"/>
      <c r="G228" s="7"/>
      <c r="H228" s="8"/>
      <c r="I228" s="7"/>
      <c r="J228" s="9"/>
      <c r="K228" s="7"/>
      <c r="L228" s="7"/>
      <c r="M228" s="7"/>
      <c r="N228" s="7"/>
      <c r="O228" s="7"/>
      <c r="P228" s="7"/>
      <c r="Q228" s="7"/>
      <c r="R228" s="7"/>
      <c r="S228" s="7"/>
      <c r="T228" s="7"/>
      <c r="U228" s="7"/>
      <c r="V228" s="7"/>
      <c r="W228" s="6" t="str">
        <f aca="false">IF(COUNTA(B228:V228)=0,"",IF(OR(B228="",C228="",D228="",F228="",G228="",H228="",I228="",L228="",M228=""),"ناقص",IF(AND(ISNUMBER(F228),ISNUMBER(H228)),"OK","السنة/السعر لازم أرقام")))</f>
        <v>ناقص</v>
      </c>
      <c r="X228" s="6" t="str">
        <f aca="false">IF(B228="","",B228&amp;" "&amp;C228&amp;" "&amp;D228&amp;" "&amp;E228&amp;" "&amp;F228&amp;" "&amp;G228&amp;" "&amp;I228&amp;" "&amp;L228&amp;" "&amp;M228&amp;" سعر "&amp;H228&amp;" جنيه "&amp;U228)</f>
        <v/>
      </c>
    </row>
    <row r="229" customFormat="false" ht="15" hidden="false" customHeight="false" outlineLevel="0" collapsed="false">
      <c r="A229" s="6" t="s">
        <v>424</v>
      </c>
      <c r="B229" s="7"/>
      <c r="C229" s="6" t="str">
        <f aca="false">IF(B229="","",IFERROR(INDEX(Lists!$K$2:$K$60,MATCH(B229,Lists!$J$2:$J$60,0)),""))</f>
        <v/>
      </c>
      <c r="D229" s="7"/>
      <c r="E229" s="7"/>
      <c r="F229" s="7"/>
      <c r="G229" s="7"/>
      <c r="H229" s="8"/>
      <c r="I229" s="7"/>
      <c r="J229" s="9"/>
      <c r="K229" s="7"/>
      <c r="L229" s="7"/>
      <c r="M229" s="7"/>
      <c r="N229" s="7"/>
      <c r="O229" s="7"/>
      <c r="P229" s="7"/>
      <c r="Q229" s="7"/>
      <c r="R229" s="7"/>
      <c r="S229" s="7"/>
      <c r="T229" s="7"/>
      <c r="U229" s="7"/>
      <c r="V229" s="7"/>
      <c r="W229" s="6" t="str">
        <f aca="false">IF(COUNTA(B229:V229)=0,"",IF(OR(B229="",C229="",D229="",F229="",G229="",H229="",I229="",L229="",M229=""),"ناقص",IF(AND(ISNUMBER(F229),ISNUMBER(H229)),"OK","السنة/السعر لازم أرقام")))</f>
        <v>ناقص</v>
      </c>
      <c r="X229" s="6" t="str">
        <f aca="false">IF(B229="","",B229&amp;" "&amp;C229&amp;" "&amp;D229&amp;" "&amp;E229&amp;" "&amp;F229&amp;" "&amp;G229&amp;" "&amp;I229&amp;" "&amp;L229&amp;" "&amp;M229&amp;" سعر "&amp;H229&amp;" جنيه "&amp;U229)</f>
        <v/>
      </c>
    </row>
    <row r="230" customFormat="false" ht="15" hidden="false" customHeight="false" outlineLevel="0" collapsed="false">
      <c r="A230" s="6" t="s">
        <v>425</v>
      </c>
      <c r="B230" s="7"/>
      <c r="C230" s="6" t="str">
        <f aca="false">IF(B230="","",IFERROR(INDEX(Lists!$K$2:$K$60,MATCH(B230,Lists!$J$2:$J$60,0)),""))</f>
        <v/>
      </c>
      <c r="D230" s="7"/>
      <c r="E230" s="7"/>
      <c r="F230" s="7"/>
      <c r="G230" s="7"/>
      <c r="H230" s="8"/>
      <c r="I230" s="7"/>
      <c r="J230" s="9"/>
      <c r="K230" s="7"/>
      <c r="L230" s="7"/>
      <c r="M230" s="7"/>
      <c r="N230" s="7"/>
      <c r="O230" s="7"/>
      <c r="P230" s="7"/>
      <c r="Q230" s="7"/>
      <c r="R230" s="7"/>
      <c r="S230" s="7"/>
      <c r="T230" s="7"/>
      <c r="U230" s="7"/>
      <c r="V230" s="7"/>
      <c r="W230" s="6" t="str">
        <f aca="false">IF(COUNTA(B230:V230)=0,"",IF(OR(B230="",C230="",D230="",F230="",G230="",H230="",I230="",L230="",M230=""),"ناقص",IF(AND(ISNUMBER(F230),ISNUMBER(H230)),"OK","السنة/السعر لازم أرقام")))</f>
        <v>ناقص</v>
      </c>
      <c r="X230" s="6" t="str">
        <f aca="false">IF(B230="","",B230&amp;" "&amp;C230&amp;" "&amp;D230&amp;" "&amp;E230&amp;" "&amp;F230&amp;" "&amp;G230&amp;" "&amp;I230&amp;" "&amp;L230&amp;" "&amp;M230&amp;" سعر "&amp;H230&amp;" جنيه "&amp;U230)</f>
        <v/>
      </c>
    </row>
    <row r="231" customFormat="false" ht="15" hidden="false" customHeight="false" outlineLevel="0" collapsed="false">
      <c r="A231" s="6" t="s">
        <v>426</v>
      </c>
      <c r="B231" s="7"/>
      <c r="C231" s="6" t="str">
        <f aca="false">IF(B231="","",IFERROR(INDEX(Lists!$K$2:$K$60,MATCH(B231,Lists!$J$2:$J$60,0)),""))</f>
        <v/>
      </c>
      <c r="D231" s="7"/>
      <c r="E231" s="7"/>
      <c r="F231" s="7"/>
      <c r="G231" s="7"/>
      <c r="H231" s="8"/>
      <c r="I231" s="7"/>
      <c r="J231" s="9"/>
      <c r="K231" s="7"/>
      <c r="L231" s="7"/>
      <c r="M231" s="7"/>
      <c r="N231" s="7"/>
      <c r="O231" s="7"/>
      <c r="P231" s="7"/>
      <c r="Q231" s="7"/>
      <c r="R231" s="7"/>
      <c r="S231" s="7"/>
      <c r="T231" s="7"/>
      <c r="U231" s="7"/>
      <c r="V231" s="7"/>
      <c r="W231" s="6" t="str">
        <f aca="false">IF(COUNTA(B231:V231)=0,"",IF(OR(B231="",C231="",D231="",F231="",G231="",H231="",I231="",L231="",M231=""),"ناقص",IF(AND(ISNUMBER(F231),ISNUMBER(H231)),"OK","السنة/السعر لازم أرقام")))</f>
        <v>ناقص</v>
      </c>
      <c r="X231" s="6" t="str">
        <f aca="false">IF(B231="","",B231&amp;" "&amp;C231&amp;" "&amp;D231&amp;" "&amp;E231&amp;" "&amp;F231&amp;" "&amp;G231&amp;" "&amp;I231&amp;" "&amp;L231&amp;" "&amp;M231&amp;" سعر "&amp;H231&amp;" جنيه "&amp;U231)</f>
        <v/>
      </c>
    </row>
    <row r="232" customFormat="false" ht="15" hidden="false" customHeight="false" outlineLevel="0" collapsed="false">
      <c r="A232" s="6" t="s">
        <v>427</v>
      </c>
      <c r="B232" s="7"/>
      <c r="C232" s="6" t="str">
        <f aca="false">IF(B232="","",IFERROR(INDEX(Lists!$K$2:$K$60,MATCH(B232,Lists!$J$2:$J$60,0)),""))</f>
        <v/>
      </c>
      <c r="D232" s="7"/>
      <c r="E232" s="7"/>
      <c r="F232" s="7"/>
      <c r="G232" s="7"/>
      <c r="H232" s="8"/>
      <c r="I232" s="7"/>
      <c r="J232" s="9"/>
      <c r="K232" s="7"/>
      <c r="L232" s="7"/>
      <c r="M232" s="7"/>
      <c r="N232" s="7"/>
      <c r="O232" s="7"/>
      <c r="P232" s="7"/>
      <c r="Q232" s="7"/>
      <c r="R232" s="7"/>
      <c r="S232" s="7"/>
      <c r="T232" s="7"/>
      <c r="U232" s="7"/>
      <c r="V232" s="7"/>
      <c r="W232" s="6" t="str">
        <f aca="false">IF(COUNTA(B232:V232)=0,"",IF(OR(B232="",C232="",D232="",F232="",G232="",H232="",I232="",L232="",M232=""),"ناقص",IF(AND(ISNUMBER(F232),ISNUMBER(H232)),"OK","السنة/السعر لازم أرقام")))</f>
        <v>ناقص</v>
      </c>
      <c r="X232" s="6" t="str">
        <f aca="false">IF(B232="","",B232&amp;" "&amp;C232&amp;" "&amp;D232&amp;" "&amp;E232&amp;" "&amp;F232&amp;" "&amp;G232&amp;" "&amp;I232&amp;" "&amp;L232&amp;" "&amp;M232&amp;" سعر "&amp;H232&amp;" جنيه "&amp;U232)</f>
        <v/>
      </c>
    </row>
    <row r="233" customFormat="false" ht="15" hidden="false" customHeight="false" outlineLevel="0" collapsed="false">
      <c r="A233" s="6" t="s">
        <v>428</v>
      </c>
      <c r="B233" s="7"/>
      <c r="C233" s="6" t="str">
        <f aca="false">IF(B233="","",IFERROR(INDEX(Lists!$K$2:$K$60,MATCH(B233,Lists!$J$2:$J$60,0)),""))</f>
        <v/>
      </c>
      <c r="D233" s="7"/>
      <c r="E233" s="7"/>
      <c r="F233" s="7"/>
      <c r="G233" s="7"/>
      <c r="H233" s="8"/>
      <c r="I233" s="7"/>
      <c r="J233" s="9"/>
      <c r="K233" s="7"/>
      <c r="L233" s="7"/>
      <c r="M233" s="7"/>
      <c r="N233" s="7"/>
      <c r="O233" s="7"/>
      <c r="P233" s="7"/>
      <c r="Q233" s="7"/>
      <c r="R233" s="7"/>
      <c r="S233" s="7"/>
      <c r="T233" s="7"/>
      <c r="U233" s="7"/>
      <c r="V233" s="7"/>
      <c r="W233" s="6" t="str">
        <f aca="false">IF(COUNTA(B233:V233)=0,"",IF(OR(B233="",C233="",D233="",F233="",G233="",H233="",I233="",L233="",M233=""),"ناقص",IF(AND(ISNUMBER(F233),ISNUMBER(H233)),"OK","السنة/السعر لازم أرقام")))</f>
        <v>ناقص</v>
      </c>
      <c r="X233" s="6" t="str">
        <f aca="false">IF(B233="","",B233&amp;" "&amp;C233&amp;" "&amp;D233&amp;" "&amp;E233&amp;" "&amp;F233&amp;" "&amp;G233&amp;" "&amp;I233&amp;" "&amp;L233&amp;" "&amp;M233&amp;" سعر "&amp;H233&amp;" جنيه "&amp;U233)</f>
        <v/>
      </c>
    </row>
    <row r="234" customFormat="false" ht="15" hidden="false" customHeight="false" outlineLevel="0" collapsed="false">
      <c r="A234" s="6" t="s">
        <v>429</v>
      </c>
      <c r="B234" s="7"/>
      <c r="C234" s="6" t="str">
        <f aca="false">IF(B234="","",IFERROR(INDEX(Lists!$K$2:$K$60,MATCH(B234,Lists!$J$2:$J$60,0)),""))</f>
        <v/>
      </c>
      <c r="D234" s="7"/>
      <c r="E234" s="7"/>
      <c r="F234" s="7"/>
      <c r="G234" s="7"/>
      <c r="H234" s="8"/>
      <c r="I234" s="7"/>
      <c r="J234" s="9"/>
      <c r="K234" s="7"/>
      <c r="L234" s="7"/>
      <c r="M234" s="7"/>
      <c r="N234" s="7"/>
      <c r="O234" s="7"/>
      <c r="P234" s="7"/>
      <c r="Q234" s="7"/>
      <c r="R234" s="7"/>
      <c r="S234" s="7"/>
      <c r="T234" s="7"/>
      <c r="U234" s="7"/>
      <c r="V234" s="7"/>
      <c r="W234" s="6" t="str">
        <f aca="false">IF(COUNTA(B234:V234)=0,"",IF(OR(B234="",C234="",D234="",F234="",G234="",H234="",I234="",L234="",M234=""),"ناقص",IF(AND(ISNUMBER(F234),ISNUMBER(H234)),"OK","السنة/السعر لازم أرقام")))</f>
        <v>ناقص</v>
      </c>
      <c r="X234" s="6" t="str">
        <f aca="false">IF(B234="","",B234&amp;" "&amp;C234&amp;" "&amp;D234&amp;" "&amp;E234&amp;" "&amp;F234&amp;" "&amp;G234&amp;" "&amp;I234&amp;" "&amp;L234&amp;" "&amp;M234&amp;" سعر "&amp;H234&amp;" جنيه "&amp;U234)</f>
        <v/>
      </c>
    </row>
    <row r="235" customFormat="false" ht="15" hidden="false" customHeight="false" outlineLevel="0" collapsed="false">
      <c r="A235" s="6" t="s">
        <v>430</v>
      </c>
      <c r="B235" s="7"/>
      <c r="C235" s="6" t="str">
        <f aca="false">IF(B235="","",IFERROR(INDEX(Lists!$K$2:$K$60,MATCH(B235,Lists!$J$2:$J$60,0)),""))</f>
        <v/>
      </c>
      <c r="D235" s="7"/>
      <c r="E235" s="7"/>
      <c r="F235" s="7"/>
      <c r="G235" s="7"/>
      <c r="H235" s="8"/>
      <c r="I235" s="7"/>
      <c r="J235" s="9"/>
      <c r="K235" s="7"/>
      <c r="L235" s="7"/>
      <c r="M235" s="7"/>
      <c r="N235" s="7"/>
      <c r="O235" s="7"/>
      <c r="P235" s="7"/>
      <c r="Q235" s="7"/>
      <c r="R235" s="7"/>
      <c r="S235" s="7"/>
      <c r="T235" s="7"/>
      <c r="U235" s="7"/>
      <c r="V235" s="7"/>
      <c r="W235" s="6" t="str">
        <f aca="false">IF(COUNTA(B235:V235)=0,"",IF(OR(B235="",C235="",D235="",F235="",G235="",H235="",I235="",L235="",M235=""),"ناقص",IF(AND(ISNUMBER(F235),ISNUMBER(H235)),"OK","السنة/السعر لازم أرقام")))</f>
        <v>ناقص</v>
      </c>
      <c r="X235" s="6" t="str">
        <f aca="false">IF(B235="","",B235&amp;" "&amp;C235&amp;" "&amp;D235&amp;" "&amp;E235&amp;" "&amp;F235&amp;" "&amp;G235&amp;" "&amp;I235&amp;" "&amp;L235&amp;" "&amp;M235&amp;" سعر "&amp;H235&amp;" جنيه "&amp;U235)</f>
        <v/>
      </c>
    </row>
    <row r="236" customFormat="false" ht="15" hidden="false" customHeight="false" outlineLevel="0" collapsed="false">
      <c r="A236" s="6" t="s">
        <v>431</v>
      </c>
      <c r="B236" s="7"/>
      <c r="C236" s="6" t="str">
        <f aca="false">IF(B236="","",IFERROR(INDEX(Lists!$K$2:$K$60,MATCH(B236,Lists!$J$2:$J$60,0)),""))</f>
        <v/>
      </c>
      <c r="D236" s="7"/>
      <c r="E236" s="7"/>
      <c r="F236" s="7"/>
      <c r="G236" s="7"/>
      <c r="H236" s="8"/>
      <c r="I236" s="7"/>
      <c r="J236" s="9"/>
      <c r="K236" s="7"/>
      <c r="L236" s="7"/>
      <c r="M236" s="7"/>
      <c r="N236" s="7"/>
      <c r="O236" s="7"/>
      <c r="P236" s="7"/>
      <c r="Q236" s="7"/>
      <c r="R236" s="7"/>
      <c r="S236" s="7"/>
      <c r="T236" s="7"/>
      <c r="U236" s="7"/>
      <c r="V236" s="7"/>
      <c r="W236" s="6" t="str">
        <f aca="false">IF(COUNTA(B236:V236)=0,"",IF(OR(B236="",C236="",D236="",F236="",G236="",H236="",I236="",L236="",M236=""),"ناقص",IF(AND(ISNUMBER(F236),ISNUMBER(H236)),"OK","السنة/السعر لازم أرقام")))</f>
        <v>ناقص</v>
      </c>
      <c r="X236" s="6" t="str">
        <f aca="false">IF(B236="","",B236&amp;" "&amp;C236&amp;" "&amp;D236&amp;" "&amp;E236&amp;" "&amp;F236&amp;" "&amp;G236&amp;" "&amp;I236&amp;" "&amp;L236&amp;" "&amp;M236&amp;" سعر "&amp;H236&amp;" جنيه "&amp;U236)</f>
        <v/>
      </c>
    </row>
    <row r="237" customFormat="false" ht="15" hidden="false" customHeight="false" outlineLevel="0" collapsed="false">
      <c r="A237" s="6" t="s">
        <v>432</v>
      </c>
      <c r="B237" s="7"/>
      <c r="C237" s="6" t="str">
        <f aca="false">IF(B237="","",IFERROR(INDEX(Lists!$K$2:$K$60,MATCH(B237,Lists!$J$2:$J$60,0)),""))</f>
        <v/>
      </c>
      <c r="D237" s="7"/>
      <c r="E237" s="7"/>
      <c r="F237" s="7"/>
      <c r="G237" s="7"/>
      <c r="H237" s="8"/>
      <c r="I237" s="7"/>
      <c r="J237" s="9"/>
      <c r="K237" s="7"/>
      <c r="L237" s="7"/>
      <c r="M237" s="7"/>
      <c r="N237" s="7"/>
      <c r="O237" s="7"/>
      <c r="P237" s="7"/>
      <c r="Q237" s="7"/>
      <c r="R237" s="7"/>
      <c r="S237" s="7"/>
      <c r="T237" s="7"/>
      <c r="U237" s="7"/>
      <c r="V237" s="7"/>
      <c r="W237" s="6" t="str">
        <f aca="false">IF(COUNTA(B237:V237)=0,"",IF(OR(B237="",C237="",D237="",F237="",G237="",H237="",I237="",L237="",M237=""),"ناقص",IF(AND(ISNUMBER(F237),ISNUMBER(H237)),"OK","السنة/السعر لازم أرقام")))</f>
        <v>ناقص</v>
      </c>
      <c r="X237" s="6" t="str">
        <f aca="false">IF(B237="","",B237&amp;" "&amp;C237&amp;" "&amp;D237&amp;" "&amp;E237&amp;" "&amp;F237&amp;" "&amp;G237&amp;" "&amp;I237&amp;" "&amp;L237&amp;" "&amp;M237&amp;" سعر "&amp;H237&amp;" جنيه "&amp;U237)</f>
        <v/>
      </c>
    </row>
    <row r="238" customFormat="false" ht="15" hidden="false" customHeight="false" outlineLevel="0" collapsed="false">
      <c r="A238" s="6" t="s">
        <v>433</v>
      </c>
      <c r="B238" s="7"/>
      <c r="C238" s="6" t="str">
        <f aca="false">IF(B238="","",IFERROR(INDEX(Lists!$K$2:$K$60,MATCH(B238,Lists!$J$2:$J$60,0)),""))</f>
        <v/>
      </c>
      <c r="D238" s="7"/>
      <c r="E238" s="7"/>
      <c r="F238" s="7"/>
      <c r="G238" s="7"/>
      <c r="H238" s="8"/>
      <c r="I238" s="7"/>
      <c r="J238" s="9"/>
      <c r="K238" s="7"/>
      <c r="L238" s="7"/>
      <c r="M238" s="7"/>
      <c r="N238" s="7"/>
      <c r="O238" s="7"/>
      <c r="P238" s="7"/>
      <c r="Q238" s="7"/>
      <c r="R238" s="7"/>
      <c r="S238" s="7"/>
      <c r="T238" s="7"/>
      <c r="U238" s="7"/>
      <c r="V238" s="7"/>
      <c r="W238" s="6" t="str">
        <f aca="false">IF(COUNTA(B238:V238)=0,"",IF(OR(B238="",C238="",D238="",F238="",G238="",H238="",I238="",L238="",M238=""),"ناقص",IF(AND(ISNUMBER(F238),ISNUMBER(H238)),"OK","السنة/السعر لازم أرقام")))</f>
        <v>ناقص</v>
      </c>
      <c r="X238" s="6" t="str">
        <f aca="false">IF(B238="","",B238&amp;" "&amp;C238&amp;" "&amp;D238&amp;" "&amp;E238&amp;" "&amp;F238&amp;" "&amp;G238&amp;" "&amp;I238&amp;" "&amp;L238&amp;" "&amp;M238&amp;" سعر "&amp;H238&amp;" جنيه "&amp;U238)</f>
        <v/>
      </c>
    </row>
    <row r="239" customFormat="false" ht="15" hidden="false" customHeight="false" outlineLevel="0" collapsed="false">
      <c r="A239" s="6" t="s">
        <v>434</v>
      </c>
      <c r="B239" s="7"/>
      <c r="C239" s="6" t="str">
        <f aca="false">IF(B239="","",IFERROR(INDEX(Lists!$K$2:$K$60,MATCH(B239,Lists!$J$2:$J$60,0)),""))</f>
        <v/>
      </c>
      <c r="D239" s="7"/>
      <c r="E239" s="7"/>
      <c r="F239" s="7"/>
      <c r="G239" s="7"/>
      <c r="H239" s="8"/>
      <c r="I239" s="7"/>
      <c r="J239" s="9"/>
      <c r="K239" s="7"/>
      <c r="L239" s="7"/>
      <c r="M239" s="7"/>
      <c r="N239" s="7"/>
      <c r="O239" s="7"/>
      <c r="P239" s="7"/>
      <c r="Q239" s="7"/>
      <c r="R239" s="7"/>
      <c r="S239" s="7"/>
      <c r="T239" s="7"/>
      <c r="U239" s="7"/>
      <c r="V239" s="7"/>
      <c r="W239" s="6" t="str">
        <f aca="false">IF(COUNTA(B239:V239)=0,"",IF(OR(B239="",C239="",D239="",F239="",G239="",H239="",I239="",L239="",M239=""),"ناقص",IF(AND(ISNUMBER(F239),ISNUMBER(H239)),"OK","السنة/السعر لازم أرقام")))</f>
        <v>ناقص</v>
      </c>
      <c r="X239" s="6" t="str">
        <f aca="false">IF(B239="","",B239&amp;" "&amp;C239&amp;" "&amp;D239&amp;" "&amp;E239&amp;" "&amp;F239&amp;" "&amp;G239&amp;" "&amp;I239&amp;" "&amp;L239&amp;" "&amp;M239&amp;" سعر "&amp;H239&amp;" جنيه "&amp;U239)</f>
        <v/>
      </c>
    </row>
    <row r="240" customFormat="false" ht="15" hidden="false" customHeight="false" outlineLevel="0" collapsed="false">
      <c r="A240" s="6" t="s">
        <v>435</v>
      </c>
      <c r="B240" s="7"/>
      <c r="C240" s="6" t="str">
        <f aca="false">IF(B240="","",IFERROR(INDEX(Lists!$K$2:$K$60,MATCH(B240,Lists!$J$2:$J$60,0)),""))</f>
        <v/>
      </c>
      <c r="D240" s="7"/>
      <c r="E240" s="7"/>
      <c r="F240" s="7"/>
      <c r="G240" s="7"/>
      <c r="H240" s="8"/>
      <c r="I240" s="7"/>
      <c r="J240" s="9"/>
      <c r="K240" s="7"/>
      <c r="L240" s="7"/>
      <c r="M240" s="7"/>
      <c r="N240" s="7"/>
      <c r="O240" s="7"/>
      <c r="P240" s="7"/>
      <c r="Q240" s="7"/>
      <c r="R240" s="7"/>
      <c r="S240" s="7"/>
      <c r="T240" s="7"/>
      <c r="U240" s="7"/>
      <c r="V240" s="7"/>
      <c r="W240" s="6" t="str">
        <f aca="false">IF(COUNTA(B240:V240)=0,"",IF(OR(B240="",C240="",D240="",F240="",G240="",H240="",I240="",L240="",M240=""),"ناقص",IF(AND(ISNUMBER(F240),ISNUMBER(H240)),"OK","السنة/السعر لازم أرقام")))</f>
        <v>ناقص</v>
      </c>
      <c r="X240" s="6" t="str">
        <f aca="false">IF(B240="","",B240&amp;" "&amp;C240&amp;" "&amp;D240&amp;" "&amp;E240&amp;" "&amp;F240&amp;" "&amp;G240&amp;" "&amp;I240&amp;" "&amp;L240&amp;" "&amp;M240&amp;" سعر "&amp;H240&amp;" جنيه "&amp;U240)</f>
        <v/>
      </c>
    </row>
    <row r="241" customFormat="false" ht="15" hidden="false" customHeight="false" outlineLevel="0" collapsed="false">
      <c r="A241" s="6" t="s">
        <v>436</v>
      </c>
      <c r="B241" s="7"/>
      <c r="C241" s="6" t="str">
        <f aca="false">IF(B241="","",IFERROR(INDEX(Lists!$K$2:$K$60,MATCH(B241,Lists!$J$2:$J$60,0)),""))</f>
        <v/>
      </c>
      <c r="D241" s="7"/>
      <c r="E241" s="7"/>
      <c r="F241" s="7"/>
      <c r="G241" s="7"/>
      <c r="H241" s="8"/>
      <c r="I241" s="7"/>
      <c r="J241" s="9"/>
      <c r="K241" s="7"/>
      <c r="L241" s="7"/>
      <c r="M241" s="7"/>
      <c r="N241" s="7"/>
      <c r="O241" s="7"/>
      <c r="P241" s="7"/>
      <c r="Q241" s="7"/>
      <c r="R241" s="7"/>
      <c r="S241" s="7"/>
      <c r="T241" s="7"/>
      <c r="U241" s="7"/>
      <c r="V241" s="7"/>
      <c r="W241" s="6" t="str">
        <f aca="false">IF(COUNTA(B241:V241)=0,"",IF(OR(B241="",C241="",D241="",F241="",G241="",H241="",I241="",L241="",M241=""),"ناقص",IF(AND(ISNUMBER(F241),ISNUMBER(H241)),"OK","السنة/السعر لازم أرقام")))</f>
        <v>ناقص</v>
      </c>
      <c r="X241" s="6" t="str">
        <f aca="false">IF(B241="","",B241&amp;" "&amp;C241&amp;" "&amp;D241&amp;" "&amp;E241&amp;" "&amp;F241&amp;" "&amp;G241&amp;" "&amp;I241&amp;" "&amp;L241&amp;" "&amp;M241&amp;" سعر "&amp;H241&amp;" جنيه "&amp;U241)</f>
        <v/>
      </c>
    </row>
    <row r="242" customFormat="false" ht="15" hidden="false" customHeight="false" outlineLevel="0" collapsed="false">
      <c r="A242" s="6" t="s">
        <v>437</v>
      </c>
      <c r="B242" s="7"/>
      <c r="C242" s="6" t="str">
        <f aca="false">IF(B242="","",IFERROR(INDEX(Lists!$K$2:$K$60,MATCH(B242,Lists!$J$2:$J$60,0)),""))</f>
        <v/>
      </c>
      <c r="D242" s="7"/>
      <c r="E242" s="7"/>
      <c r="F242" s="7"/>
      <c r="G242" s="7"/>
      <c r="H242" s="8"/>
      <c r="I242" s="7"/>
      <c r="J242" s="9"/>
      <c r="K242" s="7"/>
      <c r="L242" s="7"/>
      <c r="M242" s="7"/>
      <c r="N242" s="7"/>
      <c r="O242" s="7"/>
      <c r="P242" s="7"/>
      <c r="Q242" s="7"/>
      <c r="R242" s="7"/>
      <c r="S242" s="7"/>
      <c r="T242" s="7"/>
      <c r="U242" s="7"/>
      <c r="V242" s="7"/>
      <c r="W242" s="6" t="str">
        <f aca="false">IF(COUNTA(B242:V242)=0,"",IF(OR(B242="",C242="",D242="",F242="",G242="",H242="",I242="",L242="",M242=""),"ناقص",IF(AND(ISNUMBER(F242),ISNUMBER(H242)),"OK","السنة/السعر لازم أرقام")))</f>
        <v>ناقص</v>
      </c>
      <c r="X242" s="6" t="str">
        <f aca="false">IF(B242="","",B242&amp;" "&amp;C242&amp;" "&amp;D242&amp;" "&amp;E242&amp;" "&amp;F242&amp;" "&amp;G242&amp;" "&amp;I242&amp;" "&amp;L242&amp;" "&amp;M242&amp;" سعر "&amp;H242&amp;" جنيه "&amp;U242)</f>
        <v/>
      </c>
    </row>
    <row r="243" customFormat="false" ht="15" hidden="false" customHeight="false" outlineLevel="0" collapsed="false">
      <c r="A243" s="6" t="s">
        <v>438</v>
      </c>
      <c r="B243" s="7"/>
      <c r="C243" s="6" t="str">
        <f aca="false">IF(B243="","",IFERROR(INDEX(Lists!$K$2:$K$60,MATCH(B243,Lists!$J$2:$J$60,0)),""))</f>
        <v/>
      </c>
      <c r="D243" s="7"/>
      <c r="E243" s="7"/>
      <c r="F243" s="7"/>
      <c r="G243" s="7"/>
      <c r="H243" s="8"/>
      <c r="I243" s="7"/>
      <c r="J243" s="9"/>
      <c r="K243" s="7"/>
      <c r="L243" s="7"/>
      <c r="M243" s="7"/>
      <c r="N243" s="7"/>
      <c r="O243" s="7"/>
      <c r="P243" s="7"/>
      <c r="Q243" s="7"/>
      <c r="R243" s="7"/>
      <c r="S243" s="7"/>
      <c r="T243" s="7"/>
      <c r="U243" s="7"/>
      <c r="V243" s="7"/>
      <c r="W243" s="6" t="str">
        <f aca="false">IF(COUNTA(B243:V243)=0,"",IF(OR(B243="",C243="",D243="",F243="",G243="",H243="",I243="",L243="",M243=""),"ناقص",IF(AND(ISNUMBER(F243),ISNUMBER(H243)),"OK","السنة/السعر لازم أرقام")))</f>
        <v>ناقص</v>
      </c>
      <c r="X243" s="6" t="str">
        <f aca="false">IF(B243="","",B243&amp;" "&amp;C243&amp;" "&amp;D243&amp;" "&amp;E243&amp;" "&amp;F243&amp;" "&amp;G243&amp;" "&amp;I243&amp;" "&amp;L243&amp;" "&amp;M243&amp;" سعر "&amp;H243&amp;" جنيه "&amp;U243)</f>
        <v/>
      </c>
    </row>
    <row r="244" customFormat="false" ht="15" hidden="false" customHeight="false" outlineLevel="0" collapsed="false">
      <c r="A244" s="6" t="s">
        <v>439</v>
      </c>
      <c r="B244" s="7"/>
      <c r="C244" s="6" t="str">
        <f aca="false">IF(B244="","",IFERROR(INDEX(Lists!$K$2:$K$60,MATCH(B244,Lists!$J$2:$J$60,0)),""))</f>
        <v/>
      </c>
      <c r="D244" s="7"/>
      <c r="E244" s="7"/>
      <c r="F244" s="7"/>
      <c r="G244" s="7"/>
      <c r="H244" s="8"/>
      <c r="I244" s="7"/>
      <c r="J244" s="9"/>
      <c r="K244" s="7"/>
      <c r="L244" s="7"/>
      <c r="M244" s="7"/>
      <c r="N244" s="7"/>
      <c r="O244" s="7"/>
      <c r="P244" s="7"/>
      <c r="Q244" s="7"/>
      <c r="R244" s="7"/>
      <c r="S244" s="7"/>
      <c r="T244" s="7"/>
      <c r="U244" s="7"/>
      <c r="V244" s="7"/>
      <c r="W244" s="6" t="str">
        <f aca="false">IF(COUNTA(B244:V244)=0,"",IF(OR(B244="",C244="",D244="",F244="",G244="",H244="",I244="",L244="",M244=""),"ناقص",IF(AND(ISNUMBER(F244),ISNUMBER(H244)),"OK","السنة/السعر لازم أرقام")))</f>
        <v>ناقص</v>
      </c>
      <c r="X244" s="6" t="str">
        <f aca="false">IF(B244="","",B244&amp;" "&amp;C244&amp;" "&amp;D244&amp;" "&amp;E244&amp;" "&amp;F244&amp;" "&amp;G244&amp;" "&amp;I244&amp;" "&amp;L244&amp;" "&amp;M244&amp;" سعر "&amp;H244&amp;" جنيه "&amp;U244)</f>
        <v/>
      </c>
    </row>
    <row r="245" customFormat="false" ht="15" hidden="false" customHeight="false" outlineLevel="0" collapsed="false">
      <c r="A245" s="6" t="s">
        <v>440</v>
      </c>
      <c r="B245" s="7"/>
      <c r="C245" s="6" t="str">
        <f aca="false">IF(B245="","",IFERROR(INDEX(Lists!$K$2:$K$60,MATCH(B245,Lists!$J$2:$J$60,0)),""))</f>
        <v/>
      </c>
      <c r="D245" s="7"/>
      <c r="E245" s="7"/>
      <c r="F245" s="7"/>
      <c r="G245" s="7"/>
      <c r="H245" s="8"/>
      <c r="I245" s="7"/>
      <c r="J245" s="9"/>
      <c r="K245" s="7"/>
      <c r="L245" s="7"/>
      <c r="M245" s="7"/>
      <c r="N245" s="7"/>
      <c r="O245" s="7"/>
      <c r="P245" s="7"/>
      <c r="Q245" s="7"/>
      <c r="R245" s="7"/>
      <c r="S245" s="7"/>
      <c r="T245" s="7"/>
      <c r="U245" s="7"/>
      <c r="V245" s="7"/>
      <c r="W245" s="6" t="str">
        <f aca="false">IF(COUNTA(B245:V245)=0,"",IF(OR(B245="",C245="",D245="",F245="",G245="",H245="",I245="",L245="",M245=""),"ناقص",IF(AND(ISNUMBER(F245),ISNUMBER(H245)),"OK","السنة/السعر لازم أرقام")))</f>
        <v>ناقص</v>
      </c>
      <c r="X245" s="6" t="str">
        <f aca="false">IF(B245="","",B245&amp;" "&amp;C245&amp;" "&amp;D245&amp;" "&amp;E245&amp;" "&amp;F245&amp;" "&amp;G245&amp;" "&amp;I245&amp;" "&amp;L245&amp;" "&amp;M245&amp;" سعر "&amp;H245&amp;" جنيه "&amp;U245)</f>
        <v/>
      </c>
    </row>
    <row r="246" customFormat="false" ht="15" hidden="false" customHeight="false" outlineLevel="0" collapsed="false">
      <c r="A246" s="6" t="s">
        <v>441</v>
      </c>
      <c r="B246" s="7"/>
      <c r="C246" s="6" t="str">
        <f aca="false">IF(B246="","",IFERROR(INDEX(Lists!$K$2:$K$60,MATCH(B246,Lists!$J$2:$J$60,0)),""))</f>
        <v/>
      </c>
      <c r="D246" s="7"/>
      <c r="E246" s="7"/>
      <c r="F246" s="7"/>
      <c r="G246" s="7"/>
      <c r="H246" s="8"/>
      <c r="I246" s="7"/>
      <c r="J246" s="9"/>
      <c r="K246" s="7"/>
      <c r="L246" s="7"/>
      <c r="M246" s="7"/>
      <c r="N246" s="7"/>
      <c r="O246" s="7"/>
      <c r="P246" s="7"/>
      <c r="Q246" s="7"/>
      <c r="R246" s="7"/>
      <c r="S246" s="7"/>
      <c r="T246" s="7"/>
      <c r="U246" s="7"/>
      <c r="V246" s="7"/>
      <c r="W246" s="6" t="str">
        <f aca="false">IF(COUNTA(B246:V246)=0,"",IF(OR(B246="",C246="",D246="",F246="",G246="",H246="",I246="",L246="",M246=""),"ناقص",IF(AND(ISNUMBER(F246),ISNUMBER(H246)),"OK","السنة/السعر لازم أرقام")))</f>
        <v>ناقص</v>
      </c>
      <c r="X246" s="6" t="str">
        <f aca="false">IF(B246="","",B246&amp;" "&amp;C246&amp;" "&amp;D246&amp;" "&amp;E246&amp;" "&amp;F246&amp;" "&amp;G246&amp;" "&amp;I246&amp;" "&amp;L246&amp;" "&amp;M246&amp;" سعر "&amp;H246&amp;" جنيه "&amp;U246)</f>
        <v/>
      </c>
    </row>
    <row r="247" customFormat="false" ht="15" hidden="false" customHeight="false" outlineLevel="0" collapsed="false">
      <c r="A247" s="6" t="s">
        <v>442</v>
      </c>
      <c r="B247" s="7"/>
      <c r="C247" s="6" t="str">
        <f aca="false">IF(B247="","",IFERROR(INDEX(Lists!$K$2:$K$60,MATCH(B247,Lists!$J$2:$J$60,0)),""))</f>
        <v/>
      </c>
      <c r="D247" s="7"/>
      <c r="E247" s="7"/>
      <c r="F247" s="7"/>
      <c r="G247" s="7"/>
      <c r="H247" s="8"/>
      <c r="I247" s="7"/>
      <c r="J247" s="9"/>
      <c r="K247" s="7"/>
      <c r="L247" s="7"/>
      <c r="M247" s="7"/>
      <c r="N247" s="7"/>
      <c r="O247" s="7"/>
      <c r="P247" s="7"/>
      <c r="Q247" s="7"/>
      <c r="R247" s="7"/>
      <c r="S247" s="7"/>
      <c r="T247" s="7"/>
      <c r="U247" s="7"/>
      <c r="V247" s="7"/>
      <c r="W247" s="6" t="str">
        <f aca="false">IF(COUNTA(B247:V247)=0,"",IF(OR(B247="",C247="",D247="",F247="",G247="",H247="",I247="",L247="",M247=""),"ناقص",IF(AND(ISNUMBER(F247),ISNUMBER(H247)),"OK","السنة/السعر لازم أرقام")))</f>
        <v>ناقص</v>
      </c>
      <c r="X247" s="6" t="str">
        <f aca="false">IF(B247="","",B247&amp;" "&amp;C247&amp;" "&amp;D247&amp;" "&amp;E247&amp;" "&amp;F247&amp;" "&amp;G247&amp;" "&amp;I247&amp;" "&amp;L247&amp;" "&amp;M247&amp;" سعر "&amp;H247&amp;" جنيه "&amp;U247)</f>
        <v/>
      </c>
    </row>
    <row r="248" customFormat="false" ht="15" hidden="false" customHeight="false" outlineLevel="0" collapsed="false">
      <c r="A248" s="6" t="s">
        <v>443</v>
      </c>
      <c r="B248" s="7"/>
      <c r="C248" s="6" t="str">
        <f aca="false">IF(B248="","",IFERROR(INDEX(Lists!$K$2:$K$60,MATCH(B248,Lists!$J$2:$J$60,0)),""))</f>
        <v/>
      </c>
      <c r="D248" s="7"/>
      <c r="E248" s="7"/>
      <c r="F248" s="7"/>
      <c r="G248" s="7"/>
      <c r="H248" s="8"/>
      <c r="I248" s="7"/>
      <c r="J248" s="9"/>
      <c r="K248" s="7"/>
      <c r="L248" s="7"/>
      <c r="M248" s="7"/>
      <c r="N248" s="7"/>
      <c r="O248" s="7"/>
      <c r="P248" s="7"/>
      <c r="Q248" s="7"/>
      <c r="R248" s="7"/>
      <c r="S248" s="7"/>
      <c r="T248" s="7"/>
      <c r="U248" s="7"/>
      <c r="V248" s="7"/>
      <c r="W248" s="6" t="str">
        <f aca="false">IF(COUNTA(B248:V248)=0,"",IF(OR(B248="",C248="",D248="",F248="",G248="",H248="",I248="",L248="",M248=""),"ناقص",IF(AND(ISNUMBER(F248),ISNUMBER(H248)),"OK","السنة/السعر لازم أرقام")))</f>
        <v>ناقص</v>
      </c>
      <c r="X248" s="6" t="str">
        <f aca="false">IF(B248="","",B248&amp;" "&amp;C248&amp;" "&amp;D248&amp;" "&amp;E248&amp;" "&amp;F248&amp;" "&amp;G248&amp;" "&amp;I248&amp;" "&amp;L248&amp;" "&amp;M248&amp;" سعر "&amp;H248&amp;" جنيه "&amp;U248)</f>
        <v/>
      </c>
    </row>
    <row r="249" customFormat="false" ht="15" hidden="false" customHeight="false" outlineLevel="0" collapsed="false">
      <c r="A249" s="6" t="s">
        <v>444</v>
      </c>
      <c r="B249" s="7"/>
      <c r="C249" s="6" t="str">
        <f aca="false">IF(B249="","",IFERROR(INDEX(Lists!$K$2:$K$60,MATCH(B249,Lists!$J$2:$J$60,0)),""))</f>
        <v/>
      </c>
      <c r="D249" s="7"/>
      <c r="E249" s="7"/>
      <c r="F249" s="7"/>
      <c r="G249" s="7"/>
      <c r="H249" s="8"/>
      <c r="I249" s="7"/>
      <c r="J249" s="9"/>
      <c r="K249" s="7"/>
      <c r="L249" s="7"/>
      <c r="M249" s="7"/>
      <c r="N249" s="7"/>
      <c r="O249" s="7"/>
      <c r="P249" s="7"/>
      <c r="Q249" s="7"/>
      <c r="R249" s="7"/>
      <c r="S249" s="7"/>
      <c r="T249" s="7"/>
      <c r="U249" s="7"/>
      <c r="V249" s="7"/>
      <c r="W249" s="6" t="str">
        <f aca="false">IF(COUNTA(B249:V249)=0,"",IF(OR(B249="",C249="",D249="",F249="",G249="",H249="",I249="",L249="",M249=""),"ناقص",IF(AND(ISNUMBER(F249),ISNUMBER(H249)),"OK","السنة/السعر لازم أرقام")))</f>
        <v>ناقص</v>
      </c>
      <c r="X249" s="6" t="str">
        <f aca="false">IF(B249="","",B249&amp;" "&amp;C249&amp;" "&amp;D249&amp;" "&amp;E249&amp;" "&amp;F249&amp;" "&amp;G249&amp;" "&amp;I249&amp;" "&amp;L249&amp;" "&amp;M249&amp;" سعر "&amp;H249&amp;" جنيه "&amp;U249)</f>
        <v/>
      </c>
    </row>
    <row r="250" customFormat="false" ht="15" hidden="false" customHeight="false" outlineLevel="0" collapsed="false">
      <c r="A250" s="6" t="s">
        <v>445</v>
      </c>
      <c r="B250" s="7"/>
      <c r="C250" s="6" t="str">
        <f aca="false">IF(B250="","",IFERROR(INDEX(Lists!$K$2:$K$60,MATCH(B250,Lists!$J$2:$J$60,0)),""))</f>
        <v/>
      </c>
      <c r="D250" s="7"/>
      <c r="E250" s="7"/>
      <c r="F250" s="7"/>
      <c r="G250" s="7"/>
      <c r="H250" s="8"/>
      <c r="I250" s="7"/>
      <c r="J250" s="9"/>
      <c r="K250" s="7"/>
      <c r="L250" s="7"/>
      <c r="M250" s="7"/>
      <c r="N250" s="7"/>
      <c r="O250" s="7"/>
      <c r="P250" s="7"/>
      <c r="Q250" s="7"/>
      <c r="R250" s="7"/>
      <c r="S250" s="7"/>
      <c r="T250" s="7"/>
      <c r="U250" s="7"/>
      <c r="V250" s="7"/>
      <c r="W250" s="6" t="str">
        <f aca="false">IF(COUNTA(B250:V250)=0,"",IF(OR(B250="",C250="",D250="",F250="",G250="",H250="",I250="",L250="",M250=""),"ناقص",IF(AND(ISNUMBER(F250),ISNUMBER(H250)),"OK","السنة/السعر لازم أرقام")))</f>
        <v>ناقص</v>
      </c>
      <c r="X250" s="6" t="str">
        <f aca="false">IF(B250="","",B250&amp;" "&amp;C250&amp;" "&amp;D250&amp;" "&amp;E250&amp;" "&amp;F250&amp;" "&amp;G250&amp;" "&amp;I250&amp;" "&amp;L250&amp;" "&amp;M250&amp;" سعر "&amp;H250&amp;" جنيه "&amp;U250)</f>
        <v/>
      </c>
    </row>
    <row r="251" customFormat="false" ht="15" hidden="false" customHeight="false" outlineLevel="0" collapsed="false">
      <c r="A251" s="6" t="s">
        <v>446</v>
      </c>
      <c r="B251" s="7"/>
      <c r="C251" s="6" t="str">
        <f aca="false">IF(B251="","",IFERROR(INDEX(Lists!$K$2:$K$60,MATCH(B251,Lists!$J$2:$J$60,0)),""))</f>
        <v/>
      </c>
      <c r="D251" s="7"/>
      <c r="E251" s="7"/>
      <c r="F251" s="7"/>
      <c r="G251" s="7"/>
      <c r="H251" s="8"/>
      <c r="I251" s="7"/>
      <c r="J251" s="9"/>
      <c r="K251" s="7"/>
      <c r="L251" s="7"/>
      <c r="M251" s="7"/>
      <c r="N251" s="7"/>
      <c r="O251" s="7"/>
      <c r="P251" s="7"/>
      <c r="Q251" s="7"/>
      <c r="R251" s="7"/>
      <c r="S251" s="7"/>
      <c r="T251" s="7"/>
      <c r="U251" s="7"/>
      <c r="V251" s="7"/>
      <c r="W251" s="6" t="str">
        <f aca="false">IF(COUNTA(B251:V251)=0,"",IF(OR(B251="",C251="",D251="",F251="",G251="",H251="",I251="",L251="",M251=""),"ناقص",IF(AND(ISNUMBER(F251),ISNUMBER(H251)),"OK","السنة/السعر لازم أرقام")))</f>
        <v>ناقص</v>
      </c>
      <c r="X251" s="6" t="str">
        <f aca="false">IF(B251="","",B251&amp;" "&amp;C251&amp;" "&amp;D251&amp;" "&amp;E251&amp;" "&amp;F251&amp;" "&amp;G251&amp;" "&amp;I251&amp;" "&amp;L251&amp;" "&amp;M251&amp;" سعر "&amp;H251&amp;" جنيه "&amp;U251)</f>
        <v/>
      </c>
    </row>
    <row r="252" customFormat="false" ht="15" hidden="false" customHeight="false" outlineLevel="0" collapsed="false">
      <c r="A252" s="6" t="s">
        <v>447</v>
      </c>
      <c r="B252" s="7"/>
      <c r="C252" s="6" t="str">
        <f aca="false">IF(B252="","",IFERROR(INDEX(Lists!$K$2:$K$60,MATCH(B252,Lists!$J$2:$J$60,0)),""))</f>
        <v/>
      </c>
      <c r="D252" s="7"/>
      <c r="E252" s="7"/>
      <c r="F252" s="7"/>
      <c r="G252" s="7"/>
      <c r="H252" s="8"/>
      <c r="I252" s="7"/>
      <c r="J252" s="9"/>
      <c r="K252" s="7"/>
      <c r="L252" s="7"/>
      <c r="M252" s="7"/>
      <c r="N252" s="7"/>
      <c r="O252" s="7"/>
      <c r="P252" s="7"/>
      <c r="Q252" s="7"/>
      <c r="R252" s="7"/>
      <c r="S252" s="7"/>
      <c r="T252" s="7"/>
      <c r="U252" s="7"/>
      <c r="V252" s="7"/>
      <c r="W252" s="6" t="str">
        <f aca="false">IF(COUNTA(B252:V252)=0,"",IF(OR(B252="",C252="",D252="",F252="",G252="",H252="",I252="",L252="",M252=""),"ناقص",IF(AND(ISNUMBER(F252),ISNUMBER(H252)),"OK","السنة/السعر لازم أرقام")))</f>
        <v>ناقص</v>
      </c>
      <c r="X252" s="6" t="str">
        <f aca="false">IF(B252="","",B252&amp;" "&amp;C252&amp;" "&amp;D252&amp;" "&amp;E252&amp;" "&amp;F252&amp;" "&amp;G252&amp;" "&amp;I252&amp;" "&amp;L252&amp;" "&amp;M252&amp;" سعر "&amp;H252&amp;" جنيه "&amp;U252)</f>
        <v/>
      </c>
    </row>
    <row r="253" customFormat="false" ht="15" hidden="false" customHeight="false" outlineLevel="0" collapsed="false">
      <c r="A253" s="6" t="s">
        <v>448</v>
      </c>
      <c r="B253" s="7"/>
      <c r="C253" s="6" t="str">
        <f aca="false">IF(B253="","",IFERROR(INDEX(Lists!$K$2:$K$60,MATCH(B253,Lists!$J$2:$J$60,0)),""))</f>
        <v/>
      </c>
      <c r="D253" s="7"/>
      <c r="E253" s="7"/>
      <c r="F253" s="7"/>
      <c r="G253" s="7"/>
      <c r="H253" s="8"/>
      <c r="I253" s="7"/>
      <c r="J253" s="9"/>
      <c r="K253" s="7"/>
      <c r="L253" s="7"/>
      <c r="M253" s="7"/>
      <c r="N253" s="7"/>
      <c r="O253" s="7"/>
      <c r="P253" s="7"/>
      <c r="Q253" s="7"/>
      <c r="R253" s="7"/>
      <c r="S253" s="7"/>
      <c r="T253" s="7"/>
      <c r="U253" s="7"/>
      <c r="V253" s="7"/>
      <c r="W253" s="6" t="str">
        <f aca="false">IF(COUNTA(B253:V253)=0,"",IF(OR(B253="",C253="",D253="",F253="",G253="",H253="",I253="",L253="",M253=""),"ناقص",IF(AND(ISNUMBER(F253),ISNUMBER(H253)),"OK","السنة/السعر لازم أرقام")))</f>
        <v>ناقص</v>
      </c>
      <c r="X253" s="6" t="str">
        <f aca="false">IF(B253="","",B253&amp;" "&amp;C253&amp;" "&amp;D253&amp;" "&amp;E253&amp;" "&amp;F253&amp;" "&amp;G253&amp;" "&amp;I253&amp;" "&amp;L253&amp;" "&amp;M253&amp;" سعر "&amp;H253&amp;" جنيه "&amp;U253)</f>
        <v/>
      </c>
    </row>
    <row r="254" customFormat="false" ht="15" hidden="false" customHeight="false" outlineLevel="0" collapsed="false">
      <c r="A254" s="6" t="s">
        <v>449</v>
      </c>
      <c r="B254" s="7"/>
      <c r="C254" s="6" t="str">
        <f aca="false">IF(B254="","",IFERROR(INDEX(Lists!$K$2:$K$60,MATCH(B254,Lists!$J$2:$J$60,0)),""))</f>
        <v/>
      </c>
      <c r="D254" s="7"/>
      <c r="E254" s="7"/>
      <c r="F254" s="7"/>
      <c r="G254" s="7"/>
      <c r="H254" s="8"/>
      <c r="I254" s="7"/>
      <c r="J254" s="9"/>
      <c r="K254" s="7"/>
      <c r="L254" s="7"/>
      <c r="M254" s="7"/>
      <c r="N254" s="7"/>
      <c r="O254" s="7"/>
      <c r="P254" s="7"/>
      <c r="Q254" s="7"/>
      <c r="R254" s="7"/>
      <c r="S254" s="7"/>
      <c r="T254" s="7"/>
      <c r="U254" s="7"/>
      <c r="V254" s="7"/>
      <c r="W254" s="6" t="str">
        <f aca="false">IF(COUNTA(B254:V254)=0,"",IF(OR(B254="",C254="",D254="",F254="",G254="",H254="",I254="",L254="",M254=""),"ناقص",IF(AND(ISNUMBER(F254),ISNUMBER(H254)),"OK","السنة/السعر لازم أرقام")))</f>
        <v>ناقص</v>
      </c>
      <c r="X254" s="6" t="str">
        <f aca="false">IF(B254="","",B254&amp;" "&amp;C254&amp;" "&amp;D254&amp;" "&amp;E254&amp;" "&amp;F254&amp;" "&amp;G254&amp;" "&amp;I254&amp;" "&amp;L254&amp;" "&amp;M254&amp;" سعر "&amp;H254&amp;" جنيه "&amp;U254)</f>
        <v/>
      </c>
    </row>
    <row r="255" customFormat="false" ht="15" hidden="false" customHeight="false" outlineLevel="0" collapsed="false">
      <c r="A255" s="6" t="s">
        <v>450</v>
      </c>
      <c r="B255" s="7"/>
      <c r="C255" s="6" t="str">
        <f aca="false">IF(B255="","",IFERROR(INDEX(Lists!$K$2:$K$60,MATCH(B255,Lists!$J$2:$J$60,0)),""))</f>
        <v/>
      </c>
      <c r="D255" s="7"/>
      <c r="E255" s="7"/>
      <c r="F255" s="7"/>
      <c r="G255" s="7"/>
      <c r="H255" s="8"/>
      <c r="I255" s="7"/>
      <c r="J255" s="9"/>
      <c r="K255" s="7"/>
      <c r="L255" s="7"/>
      <c r="M255" s="7"/>
      <c r="N255" s="7"/>
      <c r="O255" s="7"/>
      <c r="P255" s="7"/>
      <c r="Q255" s="7"/>
      <c r="R255" s="7"/>
      <c r="S255" s="7"/>
      <c r="T255" s="7"/>
      <c r="U255" s="7"/>
      <c r="V255" s="7"/>
      <c r="W255" s="6" t="str">
        <f aca="false">IF(COUNTA(B255:V255)=0,"",IF(OR(B255="",C255="",D255="",F255="",G255="",H255="",I255="",L255="",M255=""),"ناقص",IF(AND(ISNUMBER(F255),ISNUMBER(H255)),"OK","السنة/السعر لازم أرقام")))</f>
        <v>ناقص</v>
      </c>
      <c r="X255" s="6" t="str">
        <f aca="false">IF(B255="","",B255&amp;" "&amp;C255&amp;" "&amp;D255&amp;" "&amp;E255&amp;" "&amp;F255&amp;" "&amp;G255&amp;" "&amp;I255&amp;" "&amp;L255&amp;" "&amp;M255&amp;" سعر "&amp;H255&amp;" جنيه "&amp;U255)</f>
        <v/>
      </c>
    </row>
    <row r="256" customFormat="false" ht="15" hidden="false" customHeight="false" outlineLevel="0" collapsed="false">
      <c r="A256" s="6" t="s">
        <v>451</v>
      </c>
      <c r="B256" s="7"/>
      <c r="C256" s="6" t="str">
        <f aca="false">IF(B256="","",IFERROR(INDEX(Lists!$K$2:$K$60,MATCH(B256,Lists!$J$2:$J$60,0)),""))</f>
        <v/>
      </c>
      <c r="D256" s="7"/>
      <c r="E256" s="7"/>
      <c r="F256" s="7"/>
      <c r="G256" s="7"/>
      <c r="H256" s="8"/>
      <c r="I256" s="7"/>
      <c r="J256" s="9"/>
      <c r="K256" s="7"/>
      <c r="L256" s="7"/>
      <c r="M256" s="7"/>
      <c r="N256" s="7"/>
      <c r="O256" s="7"/>
      <c r="P256" s="7"/>
      <c r="Q256" s="7"/>
      <c r="R256" s="7"/>
      <c r="S256" s="7"/>
      <c r="T256" s="7"/>
      <c r="U256" s="7"/>
      <c r="V256" s="7"/>
      <c r="W256" s="6" t="str">
        <f aca="false">IF(COUNTA(B256:V256)=0,"",IF(OR(B256="",C256="",D256="",F256="",G256="",H256="",I256="",L256="",M256=""),"ناقص",IF(AND(ISNUMBER(F256),ISNUMBER(H256)),"OK","السنة/السعر لازم أرقام")))</f>
        <v>ناقص</v>
      </c>
      <c r="X256" s="6" t="str">
        <f aca="false">IF(B256="","",B256&amp;" "&amp;C256&amp;" "&amp;D256&amp;" "&amp;E256&amp;" "&amp;F256&amp;" "&amp;G256&amp;" "&amp;I256&amp;" "&amp;L256&amp;" "&amp;M256&amp;" سعر "&amp;H256&amp;" جنيه "&amp;U256)</f>
        <v/>
      </c>
    </row>
    <row r="257" customFormat="false" ht="15" hidden="false" customHeight="false" outlineLevel="0" collapsed="false">
      <c r="A257" s="6" t="s">
        <v>452</v>
      </c>
      <c r="B257" s="7"/>
      <c r="C257" s="6" t="str">
        <f aca="false">IF(B257="","",IFERROR(INDEX(Lists!$K$2:$K$60,MATCH(B257,Lists!$J$2:$J$60,0)),""))</f>
        <v/>
      </c>
      <c r="D257" s="7"/>
      <c r="E257" s="7"/>
      <c r="F257" s="7"/>
      <c r="G257" s="7"/>
      <c r="H257" s="8"/>
      <c r="I257" s="7"/>
      <c r="J257" s="9"/>
      <c r="K257" s="7"/>
      <c r="L257" s="7"/>
      <c r="M257" s="7"/>
      <c r="N257" s="7"/>
      <c r="O257" s="7"/>
      <c r="P257" s="7"/>
      <c r="Q257" s="7"/>
      <c r="R257" s="7"/>
      <c r="S257" s="7"/>
      <c r="T257" s="7"/>
      <c r="U257" s="7"/>
      <c r="V257" s="7"/>
      <c r="W257" s="6" t="str">
        <f aca="false">IF(COUNTA(B257:V257)=0,"",IF(OR(B257="",C257="",D257="",F257="",G257="",H257="",I257="",L257="",M257=""),"ناقص",IF(AND(ISNUMBER(F257),ISNUMBER(H257)),"OK","السنة/السعر لازم أرقام")))</f>
        <v>ناقص</v>
      </c>
      <c r="X257" s="6" t="str">
        <f aca="false">IF(B257="","",B257&amp;" "&amp;C257&amp;" "&amp;D257&amp;" "&amp;E257&amp;" "&amp;F257&amp;" "&amp;G257&amp;" "&amp;I257&amp;" "&amp;L257&amp;" "&amp;M257&amp;" سعر "&amp;H257&amp;" جنيه "&amp;U257)</f>
        <v/>
      </c>
    </row>
    <row r="258" customFormat="false" ht="15" hidden="false" customHeight="false" outlineLevel="0" collapsed="false">
      <c r="A258" s="6" t="s">
        <v>453</v>
      </c>
      <c r="B258" s="7"/>
      <c r="C258" s="6" t="str">
        <f aca="false">IF(B258="","",IFERROR(INDEX(Lists!$K$2:$K$60,MATCH(B258,Lists!$J$2:$J$60,0)),""))</f>
        <v/>
      </c>
      <c r="D258" s="7"/>
      <c r="E258" s="7"/>
      <c r="F258" s="7"/>
      <c r="G258" s="7"/>
      <c r="H258" s="8"/>
      <c r="I258" s="7"/>
      <c r="J258" s="9"/>
      <c r="K258" s="7"/>
      <c r="L258" s="7"/>
      <c r="M258" s="7"/>
      <c r="N258" s="7"/>
      <c r="O258" s="7"/>
      <c r="P258" s="7"/>
      <c r="Q258" s="7"/>
      <c r="R258" s="7"/>
      <c r="S258" s="7"/>
      <c r="T258" s="7"/>
      <c r="U258" s="7"/>
      <c r="V258" s="7"/>
      <c r="W258" s="6" t="str">
        <f aca="false">IF(COUNTA(B258:V258)=0,"",IF(OR(B258="",C258="",D258="",F258="",G258="",H258="",I258="",L258="",M258=""),"ناقص",IF(AND(ISNUMBER(F258),ISNUMBER(H258)),"OK","السنة/السعر لازم أرقام")))</f>
        <v>ناقص</v>
      </c>
      <c r="X258" s="6" t="str">
        <f aca="false">IF(B258="","",B258&amp;" "&amp;C258&amp;" "&amp;D258&amp;" "&amp;E258&amp;" "&amp;F258&amp;" "&amp;G258&amp;" "&amp;I258&amp;" "&amp;L258&amp;" "&amp;M258&amp;" سعر "&amp;H258&amp;" جنيه "&amp;U258)</f>
        <v/>
      </c>
    </row>
    <row r="259" customFormat="false" ht="15" hidden="false" customHeight="false" outlineLevel="0" collapsed="false">
      <c r="A259" s="6" t="s">
        <v>454</v>
      </c>
      <c r="B259" s="7"/>
      <c r="C259" s="6" t="str">
        <f aca="false">IF(B259="","",IFERROR(INDEX(Lists!$K$2:$K$60,MATCH(B259,Lists!$J$2:$J$60,0)),""))</f>
        <v/>
      </c>
      <c r="D259" s="7"/>
      <c r="E259" s="7"/>
      <c r="F259" s="7"/>
      <c r="G259" s="7"/>
      <c r="H259" s="8"/>
      <c r="I259" s="7"/>
      <c r="J259" s="9"/>
      <c r="K259" s="7"/>
      <c r="L259" s="7"/>
      <c r="M259" s="7"/>
      <c r="N259" s="7"/>
      <c r="O259" s="7"/>
      <c r="P259" s="7"/>
      <c r="Q259" s="7"/>
      <c r="R259" s="7"/>
      <c r="S259" s="7"/>
      <c r="T259" s="7"/>
      <c r="U259" s="7"/>
      <c r="V259" s="7"/>
      <c r="W259" s="6" t="str">
        <f aca="false">IF(COUNTA(B259:V259)=0,"",IF(OR(B259="",C259="",D259="",F259="",G259="",H259="",I259="",L259="",M259=""),"ناقص",IF(AND(ISNUMBER(F259),ISNUMBER(H259)),"OK","السنة/السعر لازم أرقام")))</f>
        <v>ناقص</v>
      </c>
      <c r="X259" s="6" t="str">
        <f aca="false">IF(B259="","",B259&amp;" "&amp;C259&amp;" "&amp;D259&amp;" "&amp;E259&amp;" "&amp;F259&amp;" "&amp;G259&amp;" "&amp;I259&amp;" "&amp;L259&amp;" "&amp;M259&amp;" سعر "&amp;H259&amp;" جنيه "&amp;U259)</f>
        <v/>
      </c>
    </row>
    <row r="260" customFormat="false" ht="15" hidden="false" customHeight="false" outlineLevel="0" collapsed="false">
      <c r="A260" s="6" t="s">
        <v>455</v>
      </c>
      <c r="B260" s="7"/>
      <c r="C260" s="6" t="str">
        <f aca="false">IF(B260="","",IFERROR(INDEX(Lists!$K$2:$K$60,MATCH(B260,Lists!$J$2:$J$60,0)),""))</f>
        <v/>
      </c>
      <c r="D260" s="7"/>
      <c r="E260" s="7"/>
      <c r="F260" s="7"/>
      <c r="G260" s="7"/>
      <c r="H260" s="8"/>
      <c r="I260" s="7"/>
      <c r="J260" s="9"/>
      <c r="K260" s="7"/>
      <c r="L260" s="7"/>
      <c r="M260" s="7"/>
      <c r="N260" s="7"/>
      <c r="O260" s="7"/>
      <c r="P260" s="7"/>
      <c r="Q260" s="7"/>
      <c r="R260" s="7"/>
      <c r="S260" s="7"/>
      <c r="T260" s="7"/>
      <c r="U260" s="7"/>
      <c r="V260" s="7"/>
      <c r="W260" s="6" t="str">
        <f aca="false">IF(COUNTA(B260:V260)=0,"",IF(OR(B260="",C260="",D260="",F260="",G260="",H260="",I260="",L260="",M260=""),"ناقص",IF(AND(ISNUMBER(F260),ISNUMBER(H260)),"OK","السنة/السعر لازم أرقام")))</f>
        <v>ناقص</v>
      </c>
      <c r="X260" s="6" t="str">
        <f aca="false">IF(B260="","",B260&amp;" "&amp;C260&amp;" "&amp;D260&amp;" "&amp;E260&amp;" "&amp;F260&amp;" "&amp;G260&amp;" "&amp;I260&amp;" "&amp;L260&amp;" "&amp;M260&amp;" سعر "&amp;H260&amp;" جنيه "&amp;U260)</f>
        <v/>
      </c>
    </row>
    <row r="261" customFormat="false" ht="15" hidden="false" customHeight="false" outlineLevel="0" collapsed="false">
      <c r="A261" s="6" t="s">
        <v>456</v>
      </c>
      <c r="B261" s="7"/>
      <c r="C261" s="6" t="str">
        <f aca="false">IF(B261="","",IFERROR(INDEX(Lists!$K$2:$K$60,MATCH(B261,Lists!$J$2:$J$60,0)),""))</f>
        <v/>
      </c>
      <c r="D261" s="7"/>
      <c r="E261" s="7"/>
      <c r="F261" s="7"/>
      <c r="G261" s="7"/>
      <c r="H261" s="8"/>
      <c r="I261" s="7"/>
      <c r="J261" s="9"/>
      <c r="K261" s="7"/>
      <c r="L261" s="7"/>
      <c r="M261" s="7"/>
      <c r="N261" s="7"/>
      <c r="O261" s="7"/>
      <c r="P261" s="7"/>
      <c r="Q261" s="7"/>
      <c r="R261" s="7"/>
      <c r="S261" s="7"/>
      <c r="T261" s="7"/>
      <c r="U261" s="7"/>
      <c r="V261" s="7"/>
      <c r="W261" s="6" t="str">
        <f aca="false">IF(COUNTA(B261:V261)=0,"",IF(OR(B261="",C261="",D261="",F261="",G261="",H261="",I261="",L261="",M261=""),"ناقص",IF(AND(ISNUMBER(F261),ISNUMBER(H261)),"OK","السنة/السعر لازم أرقام")))</f>
        <v>ناقص</v>
      </c>
      <c r="X261" s="6" t="str">
        <f aca="false">IF(B261="","",B261&amp;" "&amp;C261&amp;" "&amp;D261&amp;" "&amp;E261&amp;" "&amp;F261&amp;" "&amp;G261&amp;" "&amp;I261&amp;" "&amp;L261&amp;" "&amp;M261&amp;" سعر "&amp;H261&amp;" جنيه "&amp;U261)</f>
        <v/>
      </c>
    </row>
    <row r="262" customFormat="false" ht="15" hidden="false" customHeight="false" outlineLevel="0" collapsed="false">
      <c r="A262" s="6" t="s">
        <v>457</v>
      </c>
      <c r="B262" s="7"/>
      <c r="C262" s="6" t="str">
        <f aca="false">IF(B262="","",IFERROR(INDEX(Lists!$K$2:$K$60,MATCH(B262,Lists!$J$2:$J$60,0)),""))</f>
        <v/>
      </c>
      <c r="D262" s="7"/>
      <c r="E262" s="7"/>
      <c r="F262" s="7"/>
      <c r="G262" s="7"/>
      <c r="H262" s="8"/>
      <c r="I262" s="7"/>
      <c r="J262" s="9"/>
      <c r="K262" s="7"/>
      <c r="L262" s="7"/>
      <c r="M262" s="7"/>
      <c r="N262" s="7"/>
      <c r="O262" s="7"/>
      <c r="P262" s="7"/>
      <c r="Q262" s="7"/>
      <c r="R262" s="7"/>
      <c r="S262" s="7"/>
      <c r="T262" s="7"/>
      <c r="U262" s="7"/>
      <c r="V262" s="7"/>
      <c r="W262" s="6" t="str">
        <f aca="false">IF(COUNTA(B262:V262)=0,"",IF(OR(B262="",C262="",D262="",F262="",G262="",H262="",I262="",L262="",M262=""),"ناقص",IF(AND(ISNUMBER(F262),ISNUMBER(H262)),"OK","السنة/السعر لازم أرقام")))</f>
        <v>ناقص</v>
      </c>
      <c r="X262" s="6" t="str">
        <f aca="false">IF(B262="","",B262&amp;" "&amp;C262&amp;" "&amp;D262&amp;" "&amp;E262&amp;" "&amp;F262&amp;" "&amp;G262&amp;" "&amp;I262&amp;" "&amp;L262&amp;" "&amp;M262&amp;" سعر "&amp;H262&amp;" جنيه "&amp;U262)</f>
        <v/>
      </c>
    </row>
    <row r="263" customFormat="false" ht="15" hidden="false" customHeight="false" outlineLevel="0" collapsed="false">
      <c r="A263" s="6" t="s">
        <v>458</v>
      </c>
      <c r="B263" s="7"/>
      <c r="C263" s="6" t="str">
        <f aca="false">IF(B263="","",IFERROR(INDEX(Lists!$K$2:$K$60,MATCH(B263,Lists!$J$2:$J$60,0)),""))</f>
        <v/>
      </c>
      <c r="D263" s="7"/>
      <c r="E263" s="7"/>
      <c r="F263" s="7"/>
      <c r="G263" s="7"/>
      <c r="H263" s="8"/>
      <c r="I263" s="7"/>
      <c r="J263" s="9"/>
      <c r="K263" s="7"/>
      <c r="L263" s="7"/>
      <c r="M263" s="7"/>
      <c r="N263" s="7"/>
      <c r="O263" s="7"/>
      <c r="P263" s="7"/>
      <c r="Q263" s="7"/>
      <c r="R263" s="7"/>
      <c r="S263" s="7"/>
      <c r="T263" s="7"/>
      <c r="U263" s="7"/>
      <c r="V263" s="7"/>
      <c r="W263" s="6" t="str">
        <f aca="false">IF(COUNTA(B263:V263)=0,"",IF(OR(B263="",C263="",D263="",F263="",G263="",H263="",I263="",L263="",M263=""),"ناقص",IF(AND(ISNUMBER(F263),ISNUMBER(H263)),"OK","السنة/السعر لازم أرقام")))</f>
        <v>ناقص</v>
      </c>
      <c r="X263" s="6" t="str">
        <f aca="false">IF(B263="","",B263&amp;" "&amp;C263&amp;" "&amp;D263&amp;" "&amp;E263&amp;" "&amp;F263&amp;" "&amp;G263&amp;" "&amp;I263&amp;" "&amp;L263&amp;" "&amp;M263&amp;" سعر "&amp;H263&amp;" جنيه "&amp;U263)</f>
        <v/>
      </c>
    </row>
    <row r="264" customFormat="false" ht="15" hidden="false" customHeight="false" outlineLevel="0" collapsed="false">
      <c r="A264" s="6" t="s">
        <v>459</v>
      </c>
      <c r="B264" s="7"/>
      <c r="C264" s="6" t="str">
        <f aca="false">IF(B264="","",IFERROR(INDEX(Lists!$K$2:$K$60,MATCH(B264,Lists!$J$2:$J$60,0)),""))</f>
        <v/>
      </c>
      <c r="D264" s="7"/>
      <c r="E264" s="7"/>
      <c r="F264" s="7"/>
      <c r="G264" s="7"/>
      <c r="H264" s="8"/>
      <c r="I264" s="7"/>
      <c r="J264" s="9"/>
      <c r="K264" s="7"/>
      <c r="L264" s="7"/>
      <c r="M264" s="7"/>
      <c r="N264" s="7"/>
      <c r="O264" s="7"/>
      <c r="P264" s="7"/>
      <c r="Q264" s="7"/>
      <c r="R264" s="7"/>
      <c r="S264" s="7"/>
      <c r="T264" s="7"/>
      <c r="U264" s="7"/>
      <c r="V264" s="7"/>
      <c r="W264" s="6" t="str">
        <f aca="false">IF(COUNTA(B264:V264)=0,"",IF(OR(B264="",C264="",D264="",F264="",G264="",H264="",I264="",L264="",M264=""),"ناقص",IF(AND(ISNUMBER(F264),ISNUMBER(H264)),"OK","السنة/السعر لازم أرقام")))</f>
        <v>ناقص</v>
      </c>
      <c r="X264" s="6" t="str">
        <f aca="false">IF(B264="","",B264&amp;" "&amp;C264&amp;" "&amp;D264&amp;" "&amp;E264&amp;" "&amp;F264&amp;" "&amp;G264&amp;" "&amp;I264&amp;" "&amp;L264&amp;" "&amp;M264&amp;" سعر "&amp;H264&amp;" جنيه "&amp;U264)</f>
        <v/>
      </c>
    </row>
    <row r="265" customFormat="false" ht="15" hidden="false" customHeight="false" outlineLevel="0" collapsed="false">
      <c r="A265" s="6" t="s">
        <v>460</v>
      </c>
      <c r="B265" s="7"/>
      <c r="C265" s="6" t="str">
        <f aca="false">IF(B265="","",IFERROR(INDEX(Lists!$K$2:$K$60,MATCH(B265,Lists!$J$2:$J$60,0)),""))</f>
        <v/>
      </c>
      <c r="D265" s="7"/>
      <c r="E265" s="7"/>
      <c r="F265" s="7"/>
      <c r="G265" s="7"/>
      <c r="H265" s="8"/>
      <c r="I265" s="7"/>
      <c r="J265" s="9"/>
      <c r="K265" s="7"/>
      <c r="L265" s="7"/>
      <c r="M265" s="7"/>
      <c r="N265" s="7"/>
      <c r="O265" s="7"/>
      <c r="P265" s="7"/>
      <c r="Q265" s="7"/>
      <c r="R265" s="7"/>
      <c r="S265" s="7"/>
      <c r="T265" s="7"/>
      <c r="U265" s="7"/>
      <c r="V265" s="7"/>
      <c r="W265" s="6" t="str">
        <f aca="false">IF(COUNTA(B265:V265)=0,"",IF(OR(B265="",C265="",D265="",F265="",G265="",H265="",I265="",L265="",M265=""),"ناقص",IF(AND(ISNUMBER(F265),ISNUMBER(H265)),"OK","السنة/السعر لازم أرقام")))</f>
        <v>ناقص</v>
      </c>
      <c r="X265" s="6" t="str">
        <f aca="false">IF(B265="","",B265&amp;" "&amp;C265&amp;" "&amp;D265&amp;" "&amp;E265&amp;" "&amp;F265&amp;" "&amp;G265&amp;" "&amp;I265&amp;" "&amp;L265&amp;" "&amp;M265&amp;" سعر "&amp;H265&amp;" جنيه "&amp;U265)</f>
        <v/>
      </c>
    </row>
    <row r="266" customFormat="false" ht="15" hidden="false" customHeight="false" outlineLevel="0" collapsed="false">
      <c r="A266" s="6" t="s">
        <v>461</v>
      </c>
      <c r="B266" s="7"/>
      <c r="C266" s="6" t="str">
        <f aca="false">IF(B266="","",IFERROR(INDEX(Lists!$K$2:$K$60,MATCH(B266,Lists!$J$2:$J$60,0)),""))</f>
        <v/>
      </c>
      <c r="D266" s="7"/>
      <c r="E266" s="7"/>
      <c r="F266" s="7"/>
      <c r="G266" s="7"/>
      <c r="H266" s="8"/>
      <c r="I266" s="7"/>
      <c r="J266" s="9"/>
      <c r="K266" s="7"/>
      <c r="L266" s="7"/>
      <c r="M266" s="7"/>
      <c r="N266" s="7"/>
      <c r="O266" s="7"/>
      <c r="P266" s="7"/>
      <c r="Q266" s="7"/>
      <c r="R266" s="7"/>
      <c r="S266" s="7"/>
      <c r="T266" s="7"/>
      <c r="U266" s="7"/>
      <c r="V266" s="7"/>
      <c r="W266" s="6" t="str">
        <f aca="false">IF(COUNTA(B266:V266)=0,"",IF(OR(B266="",C266="",D266="",F266="",G266="",H266="",I266="",L266="",M266=""),"ناقص",IF(AND(ISNUMBER(F266),ISNUMBER(H266)),"OK","السنة/السعر لازم أرقام")))</f>
        <v>ناقص</v>
      </c>
      <c r="X266" s="6" t="str">
        <f aca="false">IF(B266="","",B266&amp;" "&amp;C266&amp;" "&amp;D266&amp;" "&amp;E266&amp;" "&amp;F266&amp;" "&amp;G266&amp;" "&amp;I266&amp;" "&amp;L266&amp;" "&amp;M266&amp;" سعر "&amp;H266&amp;" جنيه "&amp;U266)</f>
        <v/>
      </c>
    </row>
    <row r="267" customFormat="false" ht="15" hidden="false" customHeight="false" outlineLevel="0" collapsed="false">
      <c r="A267" s="6" t="s">
        <v>462</v>
      </c>
      <c r="B267" s="7"/>
      <c r="C267" s="6" t="str">
        <f aca="false">IF(B267="","",IFERROR(INDEX(Lists!$K$2:$K$60,MATCH(B267,Lists!$J$2:$J$60,0)),""))</f>
        <v/>
      </c>
      <c r="D267" s="7"/>
      <c r="E267" s="7"/>
      <c r="F267" s="7"/>
      <c r="G267" s="7"/>
      <c r="H267" s="8"/>
      <c r="I267" s="7"/>
      <c r="J267" s="9"/>
      <c r="K267" s="7"/>
      <c r="L267" s="7"/>
      <c r="M267" s="7"/>
      <c r="N267" s="7"/>
      <c r="O267" s="7"/>
      <c r="P267" s="7"/>
      <c r="Q267" s="7"/>
      <c r="R267" s="7"/>
      <c r="S267" s="7"/>
      <c r="T267" s="7"/>
      <c r="U267" s="7"/>
      <c r="V267" s="7"/>
      <c r="W267" s="6" t="str">
        <f aca="false">IF(COUNTA(B267:V267)=0,"",IF(OR(B267="",C267="",D267="",F267="",G267="",H267="",I267="",L267="",M267=""),"ناقص",IF(AND(ISNUMBER(F267),ISNUMBER(H267)),"OK","السنة/السعر لازم أرقام")))</f>
        <v>ناقص</v>
      </c>
      <c r="X267" s="6" t="str">
        <f aca="false">IF(B267="","",B267&amp;" "&amp;C267&amp;" "&amp;D267&amp;" "&amp;E267&amp;" "&amp;F267&amp;" "&amp;G267&amp;" "&amp;I267&amp;" "&amp;L267&amp;" "&amp;M267&amp;" سعر "&amp;H267&amp;" جنيه "&amp;U267)</f>
        <v/>
      </c>
    </row>
    <row r="268" customFormat="false" ht="15" hidden="false" customHeight="false" outlineLevel="0" collapsed="false">
      <c r="A268" s="6" t="s">
        <v>463</v>
      </c>
      <c r="B268" s="7"/>
      <c r="C268" s="6" t="str">
        <f aca="false">IF(B268="","",IFERROR(INDEX(Lists!$K$2:$K$60,MATCH(B268,Lists!$J$2:$J$60,0)),""))</f>
        <v/>
      </c>
      <c r="D268" s="7"/>
      <c r="E268" s="7"/>
      <c r="F268" s="7"/>
      <c r="G268" s="7"/>
      <c r="H268" s="8"/>
      <c r="I268" s="7"/>
      <c r="J268" s="9"/>
      <c r="K268" s="7"/>
      <c r="L268" s="7"/>
      <c r="M268" s="7"/>
      <c r="N268" s="7"/>
      <c r="O268" s="7"/>
      <c r="P268" s="7"/>
      <c r="Q268" s="7"/>
      <c r="R268" s="7"/>
      <c r="S268" s="7"/>
      <c r="T268" s="7"/>
      <c r="U268" s="7"/>
      <c r="V268" s="7"/>
      <c r="W268" s="6" t="str">
        <f aca="false">IF(COUNTA(B268:V268)=0,"",IF(OR(B268="",C268="",D268="",F268="",G268="",H268="",I268="",L268="",M268=""),"ناقص",IF(AND(ISNUMBER(F268),ISNUMBER(H268)),"OK","السنة/السعر لازم أرقام")))</f>
        <v>ناقص</v>
      </c>
      <c r="X268" s="6" t="str">
        <f aca="false">IF(B268="","",B268&amp;" "&amp;C268&amp;" "&amp;D268&amp;" "&amp;E268&amp;" "&amp;F268&amp;" "&amp;G268&amp;" "&amp;I268&amp;" "&amp;L268&amp;" "&amp;M268&amp;" سعر "&amp;H268&amp;" جنيه "&amp;U268)</f>
        <v/>
      </c>
    </row>
    <row r="269" customFormat="false" ht="15" hidden="false" customHeight="false" outlineLevel="0" collapsed="false">
      <c r="A269" s="6" t="s">
        <v>464</v>
      </c>
      <c r="B269" s="7"/>
      <c r="C269" s="6" t="str">
        <f aca="false">IF(B269="","",IFERROR(INDEX(Lists!$K$2:$K$60,MATCH(B269,Lists!$J$2:$J$60,0)),""))</f>
        <v/>
      </c>
      <c r="D269" s="7"/>
      <c r="E269" s="7"/>
      <c r="F269" s="7"/>
      <c r="G269" s="7"/>
      <c r="H269" s="8"/>
      <c r="I269" s="7"/>
      <c r="J269" s="9"/>
      <c r="K269" s="7"/>
      <c r="L269" s="7"/>
      <c r="M269" s="7"/>
      <c r="N269" s="7"/>
      <c r="O269" s="7"/>
      <c r="P269" s="7"/>
      <c r="Q269" s="7"/>
      <c r="R269" s="7"/>
      <c r="S269" s="7"/>
      <c r="T269" s="7"/>
      <c r="U269" s="7"/>
      <c r="V269" s="7"/>
      <c r="W269" s="6" t="str">
        <f aca="false">IF(COUNTA(B269:V269)=0,"",IF(OR(B269="",C269="",D269="",F269="",G269="",H269="",I269="",L269="",M269=""),"ناقص",IF(AND(ISNUMBER(F269),ISNUMBER(H269)),"OK","السنة/السعر لازم أرقام")))</f>
        <v>ناقص</v>
      </c>
      <c r="X269" s="6" t="str">
        <f aca="false">IF(B269="","",B269&amp;" "&amp;C269&amp;" "&amp;D269&amp;" "&amp;E269&amp;" "&amp;F269&amp;" "&amp;G269&amp;" "&amp;I269&amp;" "&amp;L269&amp;" "&amp;M269&amp;" سعر "&amp;H269&amp;" جنيه "&amp;U269)</f>
        <v/>
      </c>
    </row>
    <row r="270" customFormat="false" ht="15" hidden="false" customHeight="false" outlineLevel="0" collapsed="false">
      <c r="A270" s="6" t="s">
        <v>465</v>
      </c>
      <c r="B270" s="7"/>
      <c r="C270" s="6" t="str">
        <f aca="false">IF(B270="","",IFERROR(INDEX(Lists!$K$2:$K$60,MATCH(B270,Lists!$J$2:$J$60,0)),""))</f>
        <v/>
      </c>
      <c r="D270" s="7"/>
      <c r="E270" s="7"/>
      <c r="F270" s="7"/>
      <c r="G270" s="7"/>
      <c r="H270" s="8"/>
      <c r="I270" s="7"/>
      <c r="J270" s="9"/>
      <c r="K270" s="7"/>
      <c r="L270" s="7"/>
      <c r="M270" s="7"/>
      <c r="N270" s="7"/>
      <c r="O270" s="7"/>
      <c r="P270" s="7"/>
      <c r="Q270" s="7"/>
      <c r="R270" s="7"/>
      <c r="S270" s="7"/>
      <c r="T270" s="7"/>
      <c r="U270" s="7"/>
      <c r="V270" s="7"/>
      <c r="W270" s="6" t="str">
        <f aca="false">IF(COUNTA(B270:V270)=0,"",IF(OR(B270="",C270="",D270="",F270="",G270="",H270="",I270="",L270="",M270=""),"ناقص",IF(AND(ISNUMBER(F270),ISNUMBER(H270)),"OK","السنة/السعر لازم أرقام")))</f>
        <v>ناقص</v>
      </c>
      <c r="X270" s="6" t="str">
        <f aca="false">IF(B270="","",B270&amp;" "&amp;C270&amp;" "&amp;D270&amp;" "&amp;E270&amp;" "&amp;F270&amp;" "&amp;G270&amp;" "&amp;I270&amp;" "&amp;L270&amp;" "&amp;M270&amp;" سعر "&amp;H270&amp;" جنيه "&amp;U270)</f>
        <v/>
      </c>
    </row>
    <row r="271" customFormat="false" ht="15" hidden="false" customHeight="false" outlineLevel="0" collapsed="false">
      <c r="A271" s="6" t="s">
        <v>466</v>
      </c>
      <c r="B271" s="7"/>
      <c r="C271" s="6" t="str">
        <f aca="false">IF(B271="","",IFERROR(INDEX(Lists!$K$2:$K$60,MATCH(B271,Lists!$J$2:$J$60,0)),""))</f>
        <v/>
      </c>
      <c r="D271" s="7"/>
      <c r="E271" s="7"/>
      <c r="F271" s="7"/>
      <c r="G271" s="7"/>
      <c r="H271" s="8"/>
      <c r="I271" s="7"/>
      <c r="J271" s="9"/>
      <c r="K271" s="7"/>
      <c r="L271" s="7"/>
      <c r="M271" s="7"/>
      <c r="N271" s="7"/>
      <c r="O271" s="7"/>
      <c r="P271" s="7"/>
      <c r="Q271" s="7"/>
      <c r="R271" s="7"/>
      <c r="S271" s="7"/>
      <c r="T271" s="7"/>
      <c r="U271" s="7"/>
      <c r="V271" s="7"/>
      <c r="W271" s="6" t="str">
        <f aca="false">IF(COUNTA(B271:V271)=0,"",IF(OR(B271="",C271="",D271="",F271="",G271="",H271="",I271="",L271="",M271=""),"ناقص",IF(AND(ISNUMBER(F271),ISNUMBER(H271)),"OK","السنة/السعر لازم أرقام")))</f>
        <v>ناقص</v>
      </c>
      <c r="X271" s="6" t="str">
        <f aca="false">IF(B271="","",B271&amp;" "&amp;C271&amp;" "&amp;D271&amp;" "&amp;E271&amp;" "&amp;F271&amp;" "&amp;G271&amp;" "&amp;I271&amp;" "&amp;L271&amp;" "&amp;M271&amp;" سعر "&amp;H271&amp;" جنيه "&amp;U271)</f>
        <v/>
      </c>
    </row>
    <row r="272" customFormat="false" ht="15" hidden="false" customHeight="false" outlineLevel="0" collapsed="false">
      <c r="A272" s="6" t="s">
        <v>467</v>
      </c>
      <c r="B272" s="7"/>
      <c r="C272" s="6" t="str">
        <f aca="false">IF(B272="","",IFERROR(INDEX(Lists!$K$2:$K$60,MATCH(B272,Lists!$J$2:$J$60,0)),""))</f>
        <v/>
      </c>
      <c r="D272" s="7"/>
      <c r="E272" s="7"/>
      <c r="F272" s="7"/>
      <c r="G272" s="7"/>
      <c r="H272" s="8"/>
      <c r="I272" s="7"/>
      <c r="J272" s="9"/>
      <c r="K272" s="7"/>
      <c r="L272" s="7"/>
      <c r="M272" s="7"/>
      <c r="N272" s="7"/>
      <c r="O272" s="7"/>
      <c r="P272" s="7"/>
      <c r="Q272" s="7"/>
      <c r="R272" s="7"/>
      <c r="S272" s="7"/>
      <c r="T272" s="7"/>
      <c r="U272" s="7"/>
      <c r="V272" s="7"/>
      <c r="W272" s="6" t="str">
        <f aca="false">IF(COUNTA(B272:V272)=0,"",IF(OR(B272="",C272="",D272="",F272="",G272="",H272="",I272="",L272="",M272=""),"ناقص",IF(AND(ISNUMBER(F272),ISNUMBER(H272)),"OK","السنة/السعر لازم أرقام")))</f>
        <v>ناقص</v>
      </c>
      <c r="X272" s="6" t="str">
        <f aca="false">IF(B272="","",B272&amp;" "&amp;C272&amp;" "&amp;D272&amp;" "&amp;E272&amp;" "&amp;F272&amp;" "&amp;G272&amp;" "&amp;I272&amp;" "&amp;L272&amp;" "&amp;M272&amp;" سعر "&amp;H272&amp;" جنيه "&amp;U272)</f>
        <v/>
      </c>
    </row>
    <row r="273" customFormat="false" ht="15" hidden="false" customHeight="false" outlineLevel="0" collapsed="false">
      <c r="A273" s="6" t="s">
        <v>468</v>
      </c>
      <c r="B273" s="7"/>
      <c r="C273" s="6" t="str">
        <f aca="false">IF(B273="","",IFERROR(INDEX(Lists!$K$2:$K$60,MATCH(B273,Lists!$J$2:$J$60,0)),""))</f>
        <v/>
      </c>
      <c r="D273" s="7"/>
      <c r="E273" s="7"/>
      <c r="F273" s="7"/>
      <c r="G273" s="7"/>
      <c r="H273" s="8"/>
      <c r="I273" s="7"/>
      <c r="J273" s="9"/>
      <c r="K273" s="7"/>
      <c r="L273" s="7"/>
      <c r="M273" s="7"/>
      <c r="N273" s="7"/>
      <c r="O273" s="7"/>
      <c r="P273" s="7"/>
      <c r="Q273" s="7"/>
      <c r="R273" s="7"/>
      <c r="S273" s="7"/>
      <c r="T273" s="7"/>
      <c r="U273" s="7"/>
      <c r="V273" s="7"/>
      <c r="W273" s="6" t="str">
        <f aca="false">IF(COUNTA(B273:V273)=0,"",IF(OR(B273="",C273="",D273="",F273="",G273="",H273="",I273="",L273="",M273=""),"ناقص",IF(AND(ISNUMBER(F273),ISNUMBER(H273)),"OK","السنة/السعر لازم أرقام")))</f>
        <v>ناقص</v>
      </c>
      <c r="X273" s="6" t="str">
        <f aca="false">IF(B273="","",B273&amp;" "&amp;C273&amp;" "&amp;D273&amp;" "&amp;E273&amp;" "&amp;F273&amp;" "&amp;G273&amp;" "&amp;I273&amp;" "&amp;L273&amp;" "&amp;M273&amp;" سعر "&amp;H273&amp;" جنيه "&amp;U273)</f>
        <v/>
      </c>
    </row>
    <row r="274" customFormat="false" ht="15" hidden="false" customHeight="false" outlineLevel="0" collapsed="false">
      <c r="A274" s="6" t="s">
        <v>469</v>
      </c>
      <c r="B274" s="7"/>
      <c r="C274" s="6" t="str">
        <f aca="false">IF(B274="","",IFERROR(INDEX(Lists!$K$2:$K$60,MATCH(B274,Lists!$J$2:$J$60,0)),""))</f>
        <v/>
      </c>
      <c r="D274" s="7"/>
      <c r="E274" s="7"/>
      <c r="F274" s="7"/>
      <c r="G274" s="7"/>
      <c r="H274" s="8"/>
      <c r="I274" s="7"/>
      <c r="J274" s="9"/>
      <c r="K274" s="7"/>
      <c r="L274" s="7"/>
      <c r="M274" s="7"/>
      <c r="N274" s="7"/>
      <c r="O274" s="7"/>
      <c r="P274" s="7"/>
      <c r="Q274" s="7"/>
      <c r="R274" s="7"/>
      <c r="S274" s="7"/>
      <c r="T274" s="7"/>
      <c r="U274" s="7"/>
      <c r="V274" s="7"/>
      <c r="W274" s="6" t="str">
        <f aca="false">IF(COUNTA(B274:V274)=0,"",IF(OR(B274="",C274="",D274="",F274="",G274="",H274="",I274="",L274="",M274=""),"ناقص",IF(AND(ISNUMBER(F274),ISNUMBER(H274)),"OK","السنة/السعر لازم أرقام")))</f>
        <v>ناقص</v>
      </c>
      <c r="X274" s="6" t="str">
        <f aca="false">IF(B274="","",B274&amp;" "&amp;C274&amp;" "&amp;D274&amp;" "&amp;E274&amp;" "&amp;F274&amp;" "&amp;G274&amp;" "&amp;I274&amp;" "&amp;L274&amp;" "&amp;M274&amp;" سعر "&amp;H274&amp;" جنيه "&amp;U274)</f>
        <v/>
      </c>
    </row>
    <row r="275" customFormat="false" ht="15" hidden="false" customHeight="false" outlineLevel="0" collapsed="false">
      <c r="A275" s="6" t="s">
        <v>470</v>
      </c>
      <c r="B275" s="7"/>
      <c r="C275" s="6" t="str">
        <f aca="false">IF(B275="","",IFERROR(INDEX(Lists!$K$2:$K$60,MATCH(B275,Lists!$J$2:$J$60,0)),""))</f>
        <v/>
      </c>
      <c r="D275" s="7"/>
      <c r="E275" s="7"/>
      <c r="F275" s="7"/>
      <c r="G275" s="7"/>
      <c r="H275" s="8"/>
      <c r="I275" s="7"/>
      <c r="J275" s="9"/>
      <c r="K275" s="7"/>
      <c r="L275" s="7"/>
      <c r="M275" s="7"/>
      <c r="N275" s="7"/>
      <c r="O275" s="7"/>
      <c r="P275" s="7"/>
      <c r="Q275" s="7"/>
      <c r="R275" s="7"/>
      <c r="S275" s="7"/>
      <c r="T275" s="7"/>
      <c r="U275" s="7"/>
      <c r="V275" s="7"/>
      <c r="W275" s="6" t="str">
        <f aca="false">IF(COUNTA(B275:V275)=0,"",IF(OR(B275="",C275="",D275="",F275="",G275="",H275="",I275="",L275="",M275=""),"ناقص",IF(AND(ISNUMBER(F275),ISNUMBER(H275)),"OK","السنة/السعر لازم أرقام")))</f>
        <v>ناقص</v>
      </c>
      <c r="X275" s="6" t="str">
        <f aca="false">IF(B275="","",B275&amp;" "&amp;C275&amp;" "&amp;D275&amp;" "&amp;E275&amp;" "&amp;F275&amp;" "&amp;G275&amp;" "&amp;I275&amp;" "&amp;L275&amp;" "&amp;M275&amp;" سعر "&amp;H275&amp;" جنيه "&amp;U275)</f>
        <v/>
      </c>
    </row>
    <row r="276" customFormat="false" ht="15" hidden="false" customHeight="false" outlineLevel="0" collapsed="false">
      <c r="A276" s="6" t="s">
        <v>471</v>
      </c>
      <c r="B276" s="7"/>
      <c r="C276" s="6" t="str">
        <f aca="false">IF(B276="","",IFERROR(INDEX(Lists!$K$2:$K$60,MATCH(B276,Lists!$J$2:$J$60,0)),""))</f>
        <v/>
      </c>
      <c r="D276" s="7"/>
      <c r="E276" s="7"/>
      <c r="F276" s="7"/>
      <c r="G276" s="7"/>
      <c r="H276" s="8"/>
      <c r="I276" s="7"/>
      <c r="J276" s="9"/>
      <c r="K276" s="7"/>
      <c r="L276" s="7"/>
      <c r="M276" s="7"/>
      <c r="N276" s="7"/>
      <c r="O276" s="7"/>
      <c r="P276" s="7"/>
      <c r="Q276" s="7"/>
      <c r="R276" s="7"/>
      <c r="S276" s="7"/>
      <c r="T276" s="7"/>
      <c r="U276" s="7"/>
      <c r="V276" s="7"/>
      <c r="W276" s="6" t="str">
        <f aca="false">IF(COUNTA(B276:V276)=0,"",IF(OR(B276="",C276="",D276="",F276="",G276="",H276="",I276="",L276="",M276=""),"ناقص",IF(AND(ISNUMBER(F276),ISNUMBER(H276)),"OK","السنة/السعر لازم أرقام")))</f>
        <v>ناقص</v>
      </c>
      <c r="X276" s="6" t="str">
        <f aca="false">IF(B276="","",B276&amp;" "&amp;C276&amp;" "&amp;D276&amp;" "&amp;E276&amp;" "&amp;F276&amp;" "&amp;G276&amp;" "&amp;I276&amp;" "&amp;L276&amp;" "&amp;M276&amp;" سعر "&amp;H276&amp;" جنيه "&amp;U276)</f>
        <v/>
      </c>
    </row>
    <row r="277" customFormat="false" ht="15" hidden="false" customHeight="false" outlineLevel="0" collapsed="false">
      <c r="A277" s="6" t="s">
        <v>472</v>
      </c>
      <c r="B277" s="7"/>
      <c r="C277" s="6" t="str">
        <f aca="false">IF(B277="","",IFERROR(INDEX(Lists!$K$2:$K$60,MATCH(B277,Lists!$J$2:$J$60,0)),""))</f>
        <v/>
      </c>
      <c r="D277" s="7"/>
      <c r="E277" s="7"/>
      <c r="F277" s="7"/>
      <c r="G277" s="7"/>
      <c r="H277" s="8"/>
      <c r="I277" s="7"/>
      <c r="J277" s="9"/>
      <c r="K277" s="7"/>
      <c r="L277" s="7"/>
      <c r="M277" s="7"/>
      <c r="N277" s="7"/>
      <c r="O277" s="7"/>
      <c r="P277" s="7"/>
      <c r="Q277" s="7"/>
      <c r="R277" s="7"/>
      <c r="S277" s="7"/>
      <c r="T277" s="7"/>
      <c r="U277" s="7"/>
      <c r="V277" s="7"/>
      <c r="W277" s="6" t="str">
        <f aca="false">IF(COUNTA(B277:V277)=0,"",IF(OR(B277="",C277="",D277="",F277="",G277="",H277="",I277="",L277="",M277=""),"ناقص",IF(AND(ISNUMBER(F277),ISNUMBER(H277)),"OK","السنة/السعر لازم أرقام")))</f>
        <v>ناقص</v>
      </c>
      <c r="X277" s="6" t="str">
        <f aca="false">IF(B277="","",B277&amp;" "&amp;C277&amp;" "&amp;D277&amp;" "&amp;E277&amp;" "&amp;F277&amp;" "&amp;G277&amp;" "&amp;I277&amp;" "&amp;L277&amp;" "&amp;M277&amp;" سعر "&amp;H277&amp;" جنيه "&amp;U277)</f>
        <v/>
      </c>
    </row>
    <row r="278" customFormat="false" ht="15" hidden="false" customHeight="false" outlineLevel="0" collapsed="false">
      <c r="A278" s="6" t="s">
        <v>473</v>
      </c>
      <c r="B278" s="7"/>
      <c r="C278" s="6" t="str">
        <f aca="false">IF(B278="","",IFERROR(INDEX(Lists!$K$2:$K$60,MATCH(B278,Lists!$J$2:$J$60,0)),""))</f>
        <v/>
      </c>
      <c r="D278" s="7"/>
      <c r="E278" s="7"/>
      <c r="F278" s="7"/>
      <c r="G278" s="7"/>
      <c r="H278" s="8"/>
      <c r="I278" s="7"/>
      <c r="J278" s="9"/>
      <c r="K278" s="7"/>
      <c r="L278" s="7"/>
      <c r="M278" s="7"/>
      <c r="N278" s="7"/>
      <c r="O278" s="7"/>
      <c r="P278" s="7"/>
      <c r="Q278" s="7"/>
      <c r="R278" s="7"/>
      <c r="S278" s="7"/>
      <c r="T278" s="7"/>
      <c r="U278" s="7"/>
      <c r="V278" s="7"/>
      <c r="W278" s="6" t="str">
        <f aca="false">IF(COUNTA(B278:V278)=0,"",IF(OR(B278="",C278="",D278="",F278="",G278="",H278="",I278="",L278="",M278=""),"ناقص",IF(AND(ISNUMBER(F278),ISNUMBER(H278)),"OK","السنة/السعر لازم أرقام")))</f>
        <v>ناقص</v>
      </c>
      <c r="X278" s="6" t="str">
        <f aca="false">IF(B278="","",B278&amp;" "&amp;C278&amp;" "&amp;D278&amp;" "&amp;E278&amp;" "&amp;F278&amp;" "&amp;G278&amp;" "&amp;I278&amp;" "&amp;L278&amp;" "&amp;M278&amp;" سعر "&amp;H278&amp;" جنيه "&amp;U278)</f>
        <v/>
      </c>
    </row>
    <row r="279" customFormat="false" ht="15" hidden="false" customHeight="false" outlineLevel="0" collapsed="false">
      <c r="A279" s="6" t="s">
        <v>474</v>
      </c>
      <c r="B279" s="7"/>
      <c r="C279" s="6" t="str">
        <f aca="false">IF(B279="","",IFERROR(INDEX(Lists!$K$2:$K$60,MATCH(B279,Lists!$J$2:$J$60,0)),""))</f>
        <v/>
      </c>
      <c r="D279" s="7"/>
      <c r="E279" s="7"/>
      <c r="F279" s="7"/>
      <c r="G279" s="7"/>
      <c r="H279" s="8"/>
      <c r="I279" s="7"/>
      <c r="J279" s="9"/>
      <c r="K279" s="7"/>
      <c r="L279" s="7"/>
      <c r="M279" s="7"/>
      <c r="N279" s="7"/>
      <c r="O279" s="7"/>
      <c r="P279" s="7"/>
      <c r="Q279" s="7"/>
      <c r="R279" s="7"/>
      <c r="S279" s="7"/>
      <c r="T279" s="7"/>
      <c r="U279" s="7"/>
      <c r="V279" s="7"/>
      <c r="W279" s="6" t="str">
        <f aca="false">IF(COUNTA(B279:V279)=0,"",IF(OR(B279="",C279="",D279="",F279="",G279="",H279="",I279="",L279="",M279=""),"ناقص",IF(AND(ISNUMBER(F279),ISNUMBER(H279)),"OK","السنة/السعر لازم أرقام")))</f>
        <v>ناقص</v>
      </c>
      <c r="X279" s="6" t="str">
        <f aca="false">IF(B279="","",B279&amp;" "&amp;C279&amp;" "&amp;D279&amp;" "&amp;E279&amp;" "&amp;F279&amp;" "&amp;G279&amp;" "&amp;I279&amp;" "&amp;L279&amp;" "&amp;M279&amp;" سعر "&amp;H279&amp;" جنيه "&amp;U279)</f>
        <v/>
      </c>
    </row>
    <row r="280" customFormat="false" ht="15" hidden="false" customHeight="false" outlineLevel="0" collapsed="false">
      <c r="A280" s="6" t="s">
        <v>475</v>
      </c>
      <c r="B280" s="7"/>
      <c r="C280" s="6" t="str">
        <f aca="false">IF(B280="","",IFERROR(INDEX(Lists!$K$2:$K$60,MATCH(B280,Lists!$J$2:$J$60,0)),""))</f>
        <v/>
      </c>
      <c r="D280" s="7"/>
      <c r="E280" s="7"/>
      <c r="F280" s="7"/>
      <c r="G280" s="7"/>
      <c r="H280" s="8"/>
      <c r="I280" s="7"/>
      <c r="J280" s="9"/>
      <c r="K280" s="7"/>
      <c r="L280" s="7"/>
      <c r="M280" s="7"/>
      <c r="N280" s="7"/>
      <c r="O280" s="7"/>
      <c r="P280" s="7"/>
      <c r="Q280" s="7"/>
      <c r="R280" s="7"/>
      <c r="S280" s="7"/>
      <c r="T280" s="7"/>
      <c r="U280" s="7"/>
      <c r="V280" s="7"/>
      <c r="W280" s="6" t="str">
        <f aca="false">IF(COUNTA(B280:V280)=0,"",IF(OR(B280="",C280="",D280="",F280="",G280="",H280="",I280="",L280="",M280=""),"ناقص",IF(AND(ISNUMBER(F280),ISNUMBER(H280)),"OK","السنة/السعر لازم أرقام")))</f>
        <v>ناقص</v>
      </c>
      <c r="X280" s="6" t="str">
        <f aca="false">IF(B280="","",B280&amp;" "&amp;C280&amp;" "&amp;D280&amp;" "&amp;E280&amp;" "&amp;F280&amp;" "&amp;G280&amp;" "&amp;I280&amp;" "&amp;L280&amp;" "&amp;M280&amp;" سعر "&amp;H280&amp;" جنيه "&amp;U280)</f>
        <v/>
      </c>
    </row>
    <row r="281" customFormat="false" ht="15" hidden="false" customHeight="false" outlineLevel="0" collapsed="false">
      <c r="A281" s="6" t="s">
        <v>476</v>
      </c>
      <c r="B281" s="7"/>
      <c r="C281" s="6" t="str">
        <f aca="false">IF(B281="","",IFERROR(INDEX(Lists!$K$2:$K$60,MATCH(B281,Lists!$J$2:$J$60,0)),""))</f>
        <v/>
      </c>
      <c r="D281" s="7"/>
      <c r="E281" s="7"/>
      <c r="F281" s="7"/>
      <c r="G281" s="7"/>
      <c r="H281" s="8"/>
      <c r="I281" s="7"/>
      <c r="J281" s="9"/>
      <c r="K281" s="7"/>
      <c r="L281" s="7"/>
      <c r="M281" s="7"/>
      <c r="N281" s="7"/>
      <c r="O281" s="7"/>
      <c r="P281" s="7"/>
      <c r="Q281" s="7"/>
      <c r="R281" s="7"/>
      <c r="S281" s="7"/>
      <c r="T281" s="7"/>
      <c r="U281" s="7"/>
      <c r="V281" s="7"/>
      <c r="W281" s="6" t="str">
        <f aca="false">IF(COUNTA(B281:V281)=0,"",IF(OR(B281="",C281="",D281="",F281="",G281="",H281="",I281="",L281="",M281=""),"ناقص",IF(AND(ISNUMBER(F281),ISNUMBER(H281)),"OK","السنة/السعر لازم أرقام")))</f>
        <v>ناقص</v>
      </c>
      <c r="X281" s="6" t="str">
        <f aca="false">IF(B281="","",B281&amp;" "&amp;C281&amp;" "&amp;D281&amp;" "&amp;E281&amp;" "&amp;F281&amp;" "&amp;G281&amp;" "&amp;I281&amp;" "&amp;L281&amp;" "&amp;M281&amp;" سعر "&amp;H281&amp;" جنيه "&amp;U281)</f>
        <v/>
      </c>
    </row>
    <row r="282" customFormat="false" ht="15" hidden="false" customHeight="false" outlineLevel="0" collapsed="false">
      <c r="A282" s="6" t="s">
        <v>477</v>
      </c>
      <c r="B282" s="7"/>
      <c r="C282" s="6" t="str">
        <f aca="false">IF(B282="","",IFERROR(INDEX(Lists!$K$2:$K$60,MATCH(B282,Lists!$J$2:$J$60,0)),""))</f>
        <v/>
      </c>
      <c r="D282" s="7"/>
      <c r="E282" s="7"/>
      <c r="F282" s="7"/>
      <c r="G282" s="7"/>
      <c r="H282" s="8"/>
      <c r="I282" s="7"/>
      <c r="J282" s="9"/>
      <c r="K282" s="7"/>
      <c r="L282" s="7"/>
      <c r="M282" s="7"/>
      <c r="N282" s="7"/>
      <c r="O282" s="7"/>
      <c r="P282" s="7"/>
      <c r="Q282" s="7"/>
      <c r="R282" s="7"/>
      <c r="S282" s="7"/>
      <c r="T282" s="7"/>
      <c r="U282" s="7"/>
      <c r="V282" s="7"/>
      <c r="W282" s="6" t="str">
        <f aca="false">IF(COUNTA(B282:V282)=0,"",IF(OR(B282="",C282="",D282="",F282="",G282="",H282="",I282="",L282="",M282=""),"ناقص",IF(AND(ISNUMBER(F282),ISNUMBER(H282)),"OK","السنة/السعر لازم أرقام")))</f>
        <v>ناقص</v>
      </c>
      <c r="X282" s="6" t="str">
        <f aca="false">IF(B282="","",B282&amp;" "&amp;C282&amp;" "&amp;D282&amp;" "&amp;E282&amp;" "&amp;F282&amp;" "&amp;G282&amp;" "&amp;I282&amp;" "&amp;L282&amp;" "&amp;M282&amp;" سعر "&amp;H282&amp;" جنيه "&amp;U282)</f>
        <v/>
      </c>
    </row>
    <row r="283" customFormat="false" ht="15" hidden="false" customHeight="false" outlineLevel="0" collapsed="false">
      <c r="A283" s="6" t="s">
        <v>478</v>
      </c>
      <c r="B283" s="7"/>
      <c r="C283" s="6" t="str">
        <f aca="false">IF(B283="","",IFERROR(INDEX(Lists!$K$2:$K$60,MATCH(B283,Lists!$J$2:$J$60,0)),""))</f>
        <v/>
      </c>
      <c r="D283" s="7"/>
      <c r="E283" s="7"/>
      <c r="F283" s="7"/>
      <c r="G283" s="7"/>
      <c r="H283" s="8"/>
      <c r="I283" s="7"/>
      <c r="J283" s="9"/>
      <c r="K283" s="7"/>
      <c r="L283" s="7"/>
      <c r="M283" s="7"/>
      <c r="N283" s="7"/>
      <c r="O283" s="7"/>
      <c r="P283" s="7"/>
      <c r="Q283" s="7"/>
      <c r="R283" s="7"/>
      <c r="S283" s="7"/>
      <c r="T283" s="7"/>
      <c r="U283" s="7"/>
      <c r="V283" s="7"/>
      <c r="W283" s="6" t="str">
        <f aca="false">IF(COUNTA(B283:V283)=0,"",IF(OR(B283="",C283="",D283="",F283="",G283="",H283="",I283="",L283="",M283=""),"ناقص",IF(AND(ISNUMBER(F283),ISNUMBER(H283)),"OK","السنة/السعر لازم أرقام")))</f>
        <v>ناقص</v>
      </c>
      <c r="X283" s="6" t="str">
        <f aca="false">IF(B283="","",B283&amp;" "&amp;C283&amp;" "&amp;D283&amp;" "&amp;E283&amp;" "&amp;F283&amp;" "&amp;G283&amp;" "&amp;I283&amp;" "&amp;L283&amp;" "&amp;M283&amp;" سعر "&amp;H283&amp;" جنيه "&amp;U283)</f>
        <v/>
      </c>
    </row>
    <row r="284" customFormat="false" ht="15" hidden="false" customHeight="false" outlineLevel="0" collapsed="false">
      <c r="A284" s="6" t="s">
        <v>479</v>
      </c>
      <c r="B284" s="7"/>
      <c r="C284" s="6" t="str">
        <f aca="false">IF(B284="","",IFERROR(INDEX(Lists!$K$2:$K$60,MATCH(B284,Lists!$J$2:$J$60,0)),""))</f>
        <v/>
      </c>
      <c r="D284" s="7"/>
      <c r="E284" s="7"/>
      <c r="F284" s="7"/>
      <c r="G284" s="7"/>
      <c r="H284" s="8"/>
      <c r="I284" s="7"/>
      <c r="J284" s="9"/>
      <c r="K284" s="7"/>
      <c r="L284" s="7"/>
      <c r="M284" s="7"/>
      <c r="N284" s="7"/>
      <c r="O284" s="7"/>
      <c r="P284" s="7"/>
      <c r="Q284" s="7"/>
      <c r="R284" s="7"/>
      <c r="S284" s="7"/>
      <c r="T284" s="7"/>
      <c r="U284" s="7"/>
      <c r="V284" s="7"/>
      <c r="W284" s="6" t="str">
        <f aca="false">IF(COUNTA(B284:V284)=0,"",IF(OR(B284="",C284="",D284="",F284="",G284="",H284="",I284="",L284="",M284=""),"ناقص",IF(AND(ISNUMBER(F284),ISNUMBER(H284)),"OK","السنة/السعر لازم أرقام")))</f>
        <v>ناقص</v>
      </c>
      <c r="X284" s="6" t="str">
        <f aca="false">IF(B284="","",B284&amp;" "&amp;C284&amp;" "&amp;D284&amp;" "&amp;E284&amp;" "&amp;F284&amp;" "&amp;G284&amp;" "&amp;I284&amp;" "&amp;L284&amp;" "&amp;M284&amp;" سعر "&amp;H284&amp;" جنيه "&amp;U284)</f>
        <v/>
      </c>
    </row>
    <row r="285" customFormat="false" ht="15" hidden="false" customHeight="false" outlineLevel="0" collapsed="false">
      <c r="A285" s="6" t="s">
        <v>480</v>
      </c>
      <c r="B285" s="7"/>
      <c r="C285" s="6" t="str">
        <f aca="false">IF(B285="","",IFERROR(INDEX(Lists!$K$2:$K$60,MATCH(B285,Lists!$J$2:$J$60,0)),""))</f>
        <v/>
      </c>
      <c r="D285" s="7"/>
      <c r="E285" s="7"/>
      <c r="F285" s="7"/>
      <c r="G285" s="7"/>
      <c r="H285" s="8"/>
      <c r="I285" s="7"/>
      <c r="J285" s="9"/>
      <c r="K285" s="7"/>
      <c r="L285" s="7"/>
      <c r="M285" s="7"/>
      <c r="N285" s="7"/>
      <c r="O285" s="7"/>
      <c r="P285" s="7"/>
      <c r="Q285" s="7"/>
      <c r="R285" s="7"/>
      <c r="S285" s="7"/>
      <c r="T285" s="7"/>
      <c r="U285" s="7"/>
      <c r="V285" s="7"/>
      <c r="W285" s="6" t="str">
        <f aca="false">IF(COUNTA(B285:V285)=0,"",IF(OR(B285="",C285="",D285="",F285="",G285="",H285="",I285="",L285="",M285=""),"ناقص",IF(AND(ISNUMBER(F285),ISNUMBER(H285)),"OK","السنة/السعر لازم أرقام")))</f>
        <v>ناقص</v>
      </c>
      <c r="X285" s="6" t="str">
        <f aca="false">IF(B285="","",B285&amp;" "&amp;C285&amp;" "&amp;D285&amp;" "&amp;E285&amp;" "&amp;F285&amp;" "&amp;G285&amp;" "&amp;I285&amp;" "&amp;L285&amp;" "&amp;M285&amp;" سعر "&amp;H285&amp;" جنيه "&amp;U285)</f>
        <v/>
      </c>
    </row>
    <row r="286" customFormat="false" ht="15" hidden="false" customHeight="false" outlineLevel="0" collapsed="false">
      <c r="A286" s="6" t="s">
        <v>481</v>
      </c>
      <c r="B286" s="7"/>
      <c r="C286" s="6" t="str">
        <f aca="false">IF(B286="","",IFERROR(INDEX(Lists!$K$2:$K$60,MATCH(B286,Lists!$J$2:$J$60,0)),""))</f>
        <v/>
      </c>
      <c r="D286" s="7"/>
      <c r="E286" s="7"/>
      <c r="F286" s="7"/>
      <c r="G286" s="7"/>
      <c r="H286" s="8"/>
      <c r="I286" s="7"/>
      <c r="J286" s="9"/>
      <c r="K286" s="7"/>
      <c r="L286" s="7"/>
      <c r="M286" s="7"/>
      <c r="N286" s="7"/>
      <c r="O286" s="7"/>
      <c r="P286" s="7"/>
      <c r="Q286" s="7"/>
      <c r="R286" s="7"/>
      <c r="S286" s="7"/>
      <c r="T286" s="7"/>
      <c r="U286" s="7"/>
      <c r="V286" s="7"/>
      <c r="W286" s="6" t="str">
        <f aca="false">IF(COUNTA(B286:V286)=0,"",IF(OR(B286="",C286="",D286="",F286="",G286="",H286="",I286="",L286="",M286=""),"ناقص",IF(AND(ISNUMBER(F286),ISNUMBER(H286)),"OK","السنة/السعر لازم أرقام")))</f>
        <v>ناقص</v>
      </c>
      <c r="X286" s="6" t="str">
        <f aca="false">IF(B286="","",B286&amp;" "&amp;C286&amp;" "&amp;D286&amp;" "&amp;E286&amp;" "&amp;F286&amp;" "&amp;G286&amp;" "&amp;I286&amp;" "&amp;L286&amp;" "&amp;M286&amp;" سعر "&amp;H286&amp;" جنيه "&amp;U286)</f>
        <v/>
      </c>
    </row>
    <row r="287" customFormat="false" ht="15" hidden="false" customHeight="false" outlineLevel="0" collapsed="false">
      <c r="A287" s="6" t="s">
        <v>482</v>
      </c>
      <c r="B287" s="7"/>
      <c r="C287" s="6" t="str">
        <f aca="false">IF(B287="","",IFERROR(INDEX(Lists!$K$2:$K$60,MATCH(B287,Lists!$J$2:$J$60,0)),""))</f>
        <v/>
      </c>
      <c r="D287" s="7"/>
      <c r="E287" s="7"/>
      <c r="F287" s="7"/>
      <c r="G287" s="7"/>
      <c r="H287" s="8"/>
      <c r="I287" s="7"/>
      <c r="J287" s="9"/>
      <c r="K287" s="7"/>
      <c r="L287" s="7"/>
      <c r="M287" s="7"/>
      <c r="N287" s="7"/>
      <c r="O287" s="7"/>
      <c r="P287" s="7"/>
      <c r="Q287" s="7"/>
      <c r="R287" s="7"/>
      <c r="S287" s="7"/>
      <c r="T287" s="7"/>
      <c r="U287" s="7"/>
      <c r="V287" s="7"/>
      <c r="W287" s="6" t="str">
        <f aca="false">IF(COUNTA(B287:V287)=0,"",IF(OR(B287="",C287="",D287="",F287="",G287="",H287="",I287="",L287="",M287=""),"ناقص",IF(AND(ISNUMBER(F287),ISNUMBER(H287)),"OK","السنة/السعر لازم أرقام")))</f>
        <v>ناقص</v>
      </c>
      <c r="X287" s="6" t="str">
        <f aca="false">IF(B287="","",B287&amp;" "&amp;C287&amp;" "&amp;D287&amp;" "&amp;E287&amp;" "&amp;F287&amp;" "&amp;G287&amp;" "&amp;I287&amp;" "&amp;L287&amp;" "&amp;M287&amp;" سعر "&amp;H287&amp;" جنيه "&amp;U287)</f>
        <v/>
      </c>
    </row>
    <row r="288" customFormat="false" ht="15" hidden="false" customHeight="false" outlineLevel="0" collapsed="false">
      <c r="A288" s="6" t="s">
        <v>483</v>
      </c>
      <c r="B288" s="7"/>
      <c r="C288" s="6" t="str">
        <f aca="false">IF(B288="","",IFERROR(INDEX(Lists!$K$2:$K$60,MATCH(B288,Lists!$J$2:$J$60,0)),""))</f>
        <v/>
      </c>
      <c r="D288" s="7"/>
      <c r="E288" s="7"/>
      <c r="F288" s="7"/>
      <c r="G288" s="7"/>
      <c r="H288" s="8"/>
      <c r="I288" s="7"/>
      <c r="J288" s="9"/>
      <c r="K288" s="7"/>
      <c r="L288" s="7"/>
      <c r="M288" s="7"/>
      <c r="N288" s="7"/>
      <c r="O288" s="7"/>
      <c r="P288" s="7"/>
      <c r="Q288" s="7"/>
      <c r="R288" s="7"/>
      <c r="S288" s="7"/>
      <c r="T288" s="7"/>
      <c r="U288" s="7"/>
      <c r="V288" s="7"/>
      <c r="W288" s="6" t="str">
        <f aca="false">IF(COUNTA(B288:V288)=0,"",IF(OR(B288="",C288="",D288="",F288="",G288="",H288="",I288="",L288="",M288=""),"ناقص",IF(AND(ISNUMBER(F288),ISNUMBER(H288)),"OK","السنة/السعر لازم أرقام")))</f>
        <v>ناقص</v>
      </c>
      <c r="X288" s="6" t="str">
        <f aca="false">IF(B288="","",B288&amp;" "&amp;C288&amp;" "&amp;D288&amp;" "&amp;E288&amp;" "&amp;F288&amp;" "&amp;G288&amp;" "&amp;I288&amp;" "&amp;L288&amp;" "&amp;M288&amp;" سعر "&amp;H288&amp;" جنيه "&amp;U288)</f>
        <v/>
      </c>
    </row>
    <row r="289" customFormat="false" ht="15" hidden="false" customHeight="false" outlineLevel="0" collapsed="false">
      <c r="A289" s="6" t="s">
        <v>484</v>
      </c>
      <c r="B289" s="7"/>
      <c r="C289" s="6" t="str">
        <f aca="false">IF(B289="","",IFERROR(INDEX(Lists!$K$2:$K$60,MATCH(B289,Lists!$J$2:$J$60,0)),""))</f>
        <v/>
      </c>
      <c r="D289" s="7"/>
      <c r="E289" s="7"/>
      <c r="F289" s="7"/>
      <c r="G289" s="7"/>
      <c r="H289" s="8"/>
      <c r="I289" s="7"/>
      <c r="J289" s="9"/>
      <c r="K289" s="7"/>
      <c r="L289" s="7"/>
      <c r="M289" s="7"/>
      <c r="N289" s="7"/>
      <c r="O289" s="7"/>
      <c r="P289" s="7"/>
      <c r="Q289" s="7"/>
      <c r="R289" s="7"/>
      <c r="S289" s="7"/>
      <c r="T289" s="7"/>
      <c r="U289" s="7"/>
      <c r="V289" s="7"/>
      <c r="W289" s="6" t="str">
        <f aca="false">IF(COUNTA(B289:V289)=0,"",IF(OR(B289="",C289="",D289="",F289="",G289="",H289="",I289="",L289="",M289=""),"ناقص",IF(AND(ISNUMBER(F289),ISNUMBER(H289)),"OK","السنة/السعر لازم أرقام")))</f>
        <v>ناقص</v>
      </c>
      <c r="X289" s="6" t="str">
        <f aca="false">IF(B289="","",B289&amp;" "&amp;C289&amp;" "&amp;D289&amp;" "&amp;E289&amp;" "&amp;F289&amp;" "&amp;G289&amp;" "&amp;I289&amp;" "&amp;L289&amp;" "&amp;M289&amp;" سعر "&amp;H289&amp;" جنيه "&amp;U289)</f>
        <v/>
      </c>
    </row>
    <row r="290" customFormat="false" ht="15" hidden="false" customHeight="false" outlineLevel="0" collapsed="false">
      <c r="A290" s="6" t="s">
        <v>485</v>
      </c>
      <c r="B290" s="7"/>
      <c r="C290" s="6" t="str">
        <f aca="false">IF(B290="","",IFERROR(INDEX(Lists!$K$2:$K$60,MATCH(B290,Lists!$J$2:$J$60,0)),""))</f>
        <v/>
      </c>
      <c r="D290" s="7"/>
      <c r="E290" s="7"/>
      <c r="F290" s="7"/>
      <c r="G290" s="7"/>
      <c r="H290" s="8"/>
      <c r="I290" s="7"/>
      <c r="J290" s="9"/>
      <c r="K290" s="7"/>
      <c r="L290" s="7"/>
      <c r="M290" s="7"/>
      <c r="N290" s="7"/>
      <c r="O290" s="7"/>
      <c r="P290" s="7"/>
      <c r="Q290" s="7"/>
      <c r="R290" s="7"/>
      <c r="S290" s="7"/>
      <c r="T290" s="7"/>
      <c r="U290" s="7"/>
      <c r="V290" s="7"/>
      <c r="W290" s="6" t="str">
        <f aca="false">IF(COUNTA(B290:V290)=0,"",IF(OR(B290="",C290="",D290="",F290="",G290="",H290="",I290="",L290="",M290=""),"ناقص",IF(AND(ISNUMBER(F290),ISNUMBER(H290)),"OK","السنة/السعر لازم أرقام")))</f>
        <v>ناقص</v>
      </c>
      <c r="X290" s="6" t="str">
        <f aca="false">IF(B290="","",B290&amp;" "&amp;C290&amp;" "&amp;D290&amp;" "&amp;E290&amp;" "&amp;F290&amp;" "&amp;G290&amp;" "&amp;I290&amp;" "&amp;L290&amp;" "&amp;M290&amp;" سعر "&amp;H290&amp;" جنيه "&amp;U290)</f>
        <v/>
      </c>
    </row>
    <row r="291" customFormat="false" ht="15" hidden="false" customHeight="false" outlineLevel="0" collapsed="false">
      <c r="A291" s="6" t="s">
        <v>486</v>
      </c>
      <c r="B291" s="7"/>
      <c r="C291" s="6" t="str">
        <f aca="false">IF(B291="","",IFERROR(INDEX(Lists!$K$2:$K$60,MATCH(B291,Lists!$J$2:$J$60,0)),""))</f>
        <v/>
      </c>
      <c r="D291" s="7"/>
      <c r="E291" s="7"/>
      <c r="F291" s="7"/>
      <c r="G291" s="7"/>
      <c r="H291" s="8"/>
      <c r="I291" s="7"/>
      <c r="J291" s="9"/>
      <c r="K291" s="7"/>
      <c r="L291" s="7"/>
      <c r="M291" s="7"/>
      <c r="N291" s="7"/>
      <c r="O291" s="7"/>
      <c r="P291" s="7"/>
      <c r="Q291" s="7"/>
      <c r="R291" s="7"/>
      <c r="S291" s="7"/>
      <c r="T291" s="7"/>
      <c r="U291" s="7"/>
      <c r="V291" s="7"/>
      <c r="W291" s="6" t="str">
        <f aca="false">IF(COUNTA(B291:V291)=0,"",IF(OR(B291="",C291="",D291="",F291="",G291="",H291="",I291="",L291="",M291=""),"ناقص",IF(AND(ISNUMBER(F291),ISNUMBER(H291)),"OK","السنة/السعر لازم أرقام")))</f>
        <v>ناقص</v>
      </c>
      <c r="X291" s="6" t="str">
        <f aca="false">IF(B291="","",B291&amp;" "&amp;C291&amp;" "&amp;D291&amp;" "&amp;E291&amp;" "&amp;F291&amp;" "&amp;G291&amp;" "&amp;I291&amp;" "&amp;L291&amp;" "&amp;M291&amp;" سعر "&amp;H291&amp;" جنيه "&amp;U291)</f>
        <v/>
      </c>
    </row>
    <row r="292" customFormat="false" ht="15" hidden="false" customHeight="false" outlineLevel="0" collapsed="false">
      <c r="A292" s="6" t="s">
        <v>487</v>
      </c>
      <c r="B292" s="7"/>
      <c r="C292" s="6" t="str">
        <f aca="false">IF(B292="","",IFERROR(INDEX(Lists!$K$2:$K$60,MATCH(B292,Lists!$J$2:$J$60,0)),""))</f>
        <v/>
      </c>
      <c r="D292" s="7"/>
      <c r="E292" s="7"/>
      <c r="F292" s="7"/>
      <c r="G292" s="7"/>
      <c r="H292" s="8"/>
      <c r="I292" s="7"/>
      <c r="J292" s="9"/>
      <c r="K292" s="7"/>
      <c r="L292" s="7"/>
      <c r="M292" s="7"/>
      <c r="N292" s="7"/>
      <c r="O292" s="7"/>
      <c r="P292" s="7"/>
      <c r="Q292" s="7"/>
      <c r="R292" s="7"/>
      <c r="S292" s="7"/>
      <c r="T292" s="7"/>
      <c r="U292" s="7"/>
      <c r="V292" s="7"/>
      <c r="W292" s="6" t="str">
        <f aca="false">IF(COUNTA(B292:V292)=0,"",IF(OR(B292="",C292="",D292="",F292="",G292="",H292="",I292="",L292="",M292=""),"ناقص",IF(AND(ISNUMBER(F292),ISNUMBER(H292)),"OK","السنة/السعر لازم أرقام")))</f>
        <v>ناقص</v>
      </c>
      <c r="X292" s="6" t="str">
        <f aca="false">IF(B292="","",B292&amp;" "&amp;C292&amp;" "&amp;D292&amp;" "&amp;E292&amp;" "&amp;F292&amp;" "&amp;G292&amp;" "&amp;I292&amp;" "&amp;L292&amp;" "&amp;M292&amp;" سعر "&amp;H292&amp;" جنيه "&amp;U292)</f>
        <v/>
      </c>
    </row>
    <row r="293" customFormat="false" ht="15" hidden="false" customHeight="false" outlineLevel="0" collapsed="false">
      <c r="A293" s="6" t="s">
        <v>488</v>
      </c>
      <c r="B293" s="7"/>
      <c r="C293" s="6" t="str">
        <f aca="false">IF(B293="","",IFERROR(INDEX(Lists!$K$2:$K$60,MATCH(B293,Lists!$J$2:$J$60,0)),""))</f>
        <v/>
      </c>
      <c r="D293" s="7"/>
      <c r="E293" s="7"/>
      <c r="F293" s="7"/>
      <c r="G293" s="7"/>
      <c r="H293" s="8"/>
      <c r="I293" s="7"/>
      <c r="J293" s="9"/>
      <c r="K293" s="7"/>
      <c r="L293" s="7"/>
      <c r="M293" s="7"/>
      <c r="N293" s="7"/>
      <c r="O293" s="7"/>
      <c r="P293" s="7"/>
      <c r="Q293" s="7"/>
      <c r="R293" s="7"/>
      <c r="S293" s="7"/>
      <c r="T293" s="7"/>
      <c r="U293" s="7"/>
      <c r="V293" s="7"/>
      <c r="W293" s="6" t="str">
        <f aca="false">IF(COUNTA(B293:V293)=0,"",IF(OR(B293="",C293="",D293="",F293="",G293="",H293="",I293="",L293="",M293=""),"ناقص",IF(AND(ISNUMBER(F293),ISNUMBER(H293)),"OK","السنة/السعر لازم أرقام")))</f>
        <v>ناقص</v>
      </c>
      <c r="X293" s="6" t="str">
        <f aca="false">IF(B293="","",B293&amp;" "&amp;C293&amp;" "&amp;D293&amp;" "&amp;E293&amp;" "&amp;F293&amp;" "&amp;G293&amp;" "&amp;I293&amp;" "&amp;L293&amp;" "&amp;M293&amp;" سعر "&amp;H293&amp;" جنيه "&amp;U293)</f>
        <v/>
      </c>
    </row>
    <row r="294" customFormat="false" ht="15" hidden="false" customHeight="false" outlineLevel="0" collapsed="false">
      <c r="A294" s="6" t="s">
        <v>489</v>
      </c>
      <c r="B294" s="7"/>
      <c r="C294" s="6" t="str">
        <f aca="false">IF(B294="","",IFERROR(INDEX(Lists!$K$2:$K$60,MATCH(B294,Lists!$J$2:$J$60,0)),""))</f>
        <v/>
      </c>
      <c r="D294" s="7"/>
      <c r="E294" s="7"/>
      <c r="F294" s="7"/>
      <c r="G294" s="7"/>
      <c r="H294" s="8"/>
      <c r="I294" s="7"/>
      <c r="J294" s="9"/>
      <c r="K294" s="7"/>
      <c r="L294" s="7"/>
      <c r="M294" s="7"/>
      <c r="N294" s="7"/>
      <c r="O294" s="7"/>
      <c r="P294" s="7"/>
      <c r="Q294" s="7"/>
      <c r="R294" s="7"/>
      <c r="S294" s="7"/>
      <c r="T294" s="7"/>
      <c r="U294" s="7"/>
      <c r="V294" s="7"/>
      <c r="W294" s="6" t="str">
        <f aca="false">IF(COUNTA(B294:V294)=0,"",IF(OR(B294="",C294="",D294="",F294="",G294="",H294="",I294="",L294="",M294=""),"ناقص",IF(AND(ISNUMBER(F294),ISNUMBER(H294)),"OK","السنة/السعر لازم أرقام")))</f>
        <v>ناقص</v>
      </c>
      <c r="X294" s="6" t="str">
        <f aca="false">IF(B294="","",B294&amp;" "&amp;C294&amp;" "&amp;D294&amp;" "&amp;E294&amp;" "&amp;F294&amp;" "&amp;G294&amp;" "&amp;I294&amp;" "&amp;L294&amp;" "&amp;M294&amp;" سعر "&amp;H294&amp;" جنيه "&amp;U294)</f>
        <v/>
      </c>
    </row>
    <row r="295" customFormat="false" ht="15" hidden="false" customHeight="false" outlineLevel="0" collapsed="false">
      <c r="A295" s="6" t="s">
        <v>490</v>
      </c>
      <c r="B295" s="7"/>
      <c r="C295" s="6" t="str">
        <f aca="false">IF(B295="","",IFERROR(INDEX(Lists!$K$2:$K$60,MATCH(B295,Lists!$J$2:$J$60,0)),""))</f>
        <v/>
      </c>
      <c r="D295" s="7"/>
      <c r="E295" s="7"/>
      <c r="F295" s="7"/>
      <c r="G295" s="7"/>
      <c r="H295" s="8"/>
      <c r="I295" s="7"/>
      <c r="J295" s="9"/>
      <c r="K295" s="7"/>
      <c r="L295" s="7"/>
      <c r="M295" s="7"/>
      <c r="N295" s="7"/>
      <c r="O295" s="7"/>
      <c r="P295" s="7"/>
      <c r="Q295" s="7"/>
      <c r="R295" s="7"/>
      <c r="S295" s="7"/>
      <c r="T295" s="7"/>
      <c r="U295" s="7"/>
      <c r="V295" s="7"/>
      <c r="W295" s="6" t="str">
        <f aca="false">IF(COUNTA(B295:V295)=0,"",IF(OR(B295="",C295="",D295="",F295="",G295="",H295="",I295="",L295="",M295=""),"ناقص",IF(AND(ISNUMBER(F295),ISNUMBER(H295)),"OK","السنة/السعر لازم أرقام")))</f>
        <v>ناقص</v>
      </c>
      <c r="X295" s="6" t="str">
        <f aca="false">IF(B295="","",B295&amp;" "&amp;C295&amp;" "&amp;D295&amp;" "&amp;E295&amp;" "&amp;F295&amp;" "&amp;G295&amp;" "&amp;I295&amp;" "&amp;L295&amp;" "&amp;M295&amp;" سعر "&amp;H295&amp;" جنيه "&amp;U295)</f>
        <v/>
      </c>
    </row>
    <row r="296" customFormat="false" ht="15" hidden="false" customHeight="false" outlineLevel="0" collapsed="false">
      <c r="A296" s="6" t="s">
        <v>491</v>
      </c>
      <c r="B296" s="7"/>
      <c r="C296" s="6" t="str">
        <f aca="false">IF(B296="","",IFERROR(INDEX(Lists!$K$2:$K$60,MATCH(B296,Lists!$J$2:$J$60,0)),""))</f>
        <v/>
      </c>
      <c r="D296" s="7"/>
      <c r="E296" s="7"/>
      <c r="F296" s="7"/>
      <c r="G296" s="7"/>
      <c r="H296" s="8"/>
      <c r="I296" s="7"/>
      <c r="J296" s="9"/>
      <c r="K296" s="7"/>
      <c r="L296" s="7"/>
      <c r="M296" s="7"/>
      <c r="N296" s="7"/>
      <c r="O296" s="7"/>
      <c r="P296" s="7"/>
      <c r="Q296" s="7"/>
      <c r="R296" s="7"/>
      <c r="S296" s="7"/>
      <c r="T296" s="7"/>
      <c r="U296" s="7"/>
      <c r="V296" s="7"/>
      <c r="W296" s="6" t="str">
        <f aca="false">IF(COUNTA(B296:V296)=0,"",IF(OR(B296="",C296="",D296="",F296="",G296="",H296="",I296="",L296="",M296=""),"ناقص",IF(AND(ISNUMBER(F296),ISNUMBER(H296)),"OK","السنة/السعر لازم أرقام")))</f>
        <v>ناقص</v>
      </c>
      <c r="X296" s="6" t="str">
        <f aca="false">IF(B296="","",B296&amp;" "&amp;C296&amp;" "&amp;D296&amp;" "&amp;E296&amp;" "&amp;F296&amp;" "&amp;G296&amp;" "&amp;I296&amp;" "&amp;L296&amp;" "&amp;M296&amp;" سعر "&amp;H296&amp;" جنيه "&amp;U296)</f>
        <v/>
      </c>
    </row>
    <row r="297" customFormat="false" ht="15" hidden="false" customHeight="false" outlineLevel="0" collapsed="false">
      <c r="A297" s="6" t="s">
        <v>492</v>
      </c>
      <c r="B297" s="7"/>
      <c r="C297" s="6" t="str">
        <f aca="false">IF(B297="","",IFERROR(INDEX(Lists!$K$2:$K$60,MATCH(B297,Lists!$J$2:$J$60,0)),""))</f>
        <v/>
      </c>
      <c r="D297" s="7"/>
      <c r="E297" s="7"/>
      <c r="F297" s="7"/>
      <c r="G297" s="7"/>
      <c r="H297" s="8"/>
      <c r="I297" s="7"/>
      <c r="J297" s="9"/>
      <c r="K297" s="7"/>
      <c r="L297" s="7"/>
      <c r="M297" s="7"/>
      <c r="N297" s="7"/>
      <c r="O297" s="7"/>
      <c r="P297" s="7"/>
      <c r="Q297" s="7"/>
      <c r="R297" s="7"/>
      <c r="S297" s="7"/>
      <c r="T297" s="7"/>
      <c r="U297" s="7"/>
      <c r="V297" s="7"/>
      <c r="W297" s="6" t="str">
        <f aca="false">IF(COUNTA(B297:V297)=0,"",IF(OR(B297="",C297="",D297="",F297="",G297="",H297="",I297="",L297="",M297=""),"ناقص",IF(AND(ISNUMBER(F297),ISNUMBER(H297)),"OK","السنة/السعر لازم أرقام")))</f>
        <v>ناقص</v>
      </c>
      <c r="X297" s="6" t="str">
        <f aca="false">IF(B297="","",B297&amp;" "&amp;C297&amp;" "&amp;D297&amp;" "&amp;E297&amp;" "&amp;F297&amp;" "&amp;G297&amp;" "&amp;I297&amp;" "&amp;L297&amp;" "&amp;M297&amp;" سعر "&amp;H297&amp;" جنيه "&amp;U297)</f>
        <v/>
      </c>
    </row>
    <row r="298" customFormat="false" ht="15" hidden="false" customHeight="false" outlineLevel="0" collapsed="false">
      <c r="A298" s="6" t="s">
        <v>493</v>
      </c>
      <c r="B298" s="7"/>
      <c r="C298" s="6" t="str">
        <f aca="false">IF(B298="","",IFERROR(INDEX(Lists!$K$2:$K$60,MATCH(B298,Lists!$J$2:$J$60,0)),""))</f>
        <v/>
      </c>
      <c r="D298" s="7"/>
      <c r="E298" s="7"/>
      <c r="F298" s="7"/>
      <c r="G298" s="7"/>
      <c r="H298" s="8"/>
      <c r="I298" s="7"/>
      <c r="J298" s="9"/>
      <c r="K298" s="7"/>
      <c r="L298" s="7"/>
      <c r="M298" s="7"/>
      <c r="N298" s="7"/>
      <c r="O298" s="7"/>
      <c r="P298" s="7"/>
      <c r="Q298" s="7"/>
      <c r="R298" s="7"/>
      <c r="S298" s="7"/>
      <c r="T298" s="7"/>
      <c r="U298" s="7"/>
      <c r="V298" s="7"/>
      <c r="W298" s="6" t="str">
        <f aca="false">IF(COUNTA(B298:V298)=0,"",IF(OR(B298="",C298="",D298="",F298="",G298="",H298="",I298="",L298="",M298=""),"ناقص",IF(AND(ISNUMBER(F298),ISNUMBER(H298)),"OK","السنة/السعر لازم أرقام")))</f>
        <v>ناقص</v>
      </c>
      <c r="X298" s="6" t="str">
        <f aca="false">IF(B298="","",B298&amp;" "&amp;C298&amp;" "&amp;D298&amp;" "&amp;E298&amp;" "&amp;F298&amp;" "&amp;G298&amp;" "&amp;I298&amp;" "&amp;L298&amp;" "&amp;M298&amp;" سعر "&amp;H298&amp;" جنيه "&amp;U298)</f>
        <v/>
      </c>
    </row>
    <row r="299" customFormat="false" ht="15" hidden="false" customHeight="false" outlineLevel="0" collapsed="false">
      <c r="A299" s="6" t="s">
        <v>494</v>
      </c>
      <c r="B299" s="7"/>
      <c r="C299" s="6" t="str">
        <f aca="false">IF(B299="","",IFERROR(INDEX(Lists!$K$2:$K$60,MATCH(B299,Lists!$J$2:$J$60,0)),""))</f>
        <v/>
      </c>
      <c r="D299" s="7"/>
      <c r="E299" s="7"/>
      <c r="F299" s="7"/>
      <c r="G299" s="7"/>
      <c r="H299" s="8"/>
      <c r="I299" s="7"/>
      <c r="J299" s="9"/>
      <c r="K299" s="7"/>
      <c r="L299" s="7"/>
      <c r="M299" s="7"/>
      <c r="N299" s="7"/>
      <c r="O299" s="7"/>
      <c r="P299" s="7"/>
      <c r="Q299" s="7"/>
      <c r="R299" s="7"/>
      <c r="S299" s="7"/>
      <c r="T299" s="7"/>
      <c r="U299" s="7"/>
      <c r="V299" s="7"/>
      <c r="W299" s="6" t="str">
        <f aca="false">IF(COUNTA(B299:V299)=0,"",IF(OR(B299="",C299="",D299="",F299="",G299="",H299="",I299="",L299="",M299=""),"ناقص",IF(AND(ISNUMBER(F299),ISNUMBER(H299)),"OK","السنة/السعر لازم أرقام")))</f>
        <v>ناقص</v>
      </c>
      <c r="X299" s="6" t="str">
        <f aca="false">IF(B299="","",B299&amp;" "&amp;C299&amp;" "&amp;D299&amp;" "&amp;E299&amp;" "&amp;F299&amp;" "&amp;G299&amp;" "&amp;I299&amp;" "&amp;L299&amp;" "&amp;M299&amp;" سعر "&amp;H299&amp;" جنيه "&amp;U299)</f>
        <v/>
      </c>
    </row>
    <row r="300" customFormat="false" ht="15" hidden="false" customHeight="false" outlineLevel="0" collapsed="false">
      <c r="A300" s="6" t="s">
        <v>495</v>
      </c>
      <c r="B300" s="7"/>
      <c r="C300" s="6" t="str">
        <f aca="false">IF(B300="","",IFERROR(INDEX(Lists!$K$2:$K$60,MATCH(B300,Lists!$J$2:$J$60,0)),""))</f>
        <v/>
      </c>
      <c r="D300" s="7"/>
      <c r="E300" s="7"/>
      <c r="F300" s="7"/>
      <c r="G300" s="7"/>
      <c r="H300" s="8"/>
      <c r="I300" s="7"/>
      <c r="J300" s="9"/>
      <c r="K300" s="7"/>
      <c r="L300" s="7"/>
      <c r="M300" s="7"/>
      <c r="N300" s="7"/>
      <c r="O300" s="7"/>
      <c r="P300" s="7"/>
      <c r="Q300" s="7"/>
      <c r="R300" s="7"/>
      <c r="S300" s="7"/>
      <c r="T300" s="7"/>
      <c r="U300" s="7"/>
      <c r="V300" s="7"/>
      <c r="W300" s="6" t="str">
        <f aca="false">IF(COUNTA(B300:V300)=0,"",IF(OR(B300="",C300="",D300="",F300="",G300="",H300="",I300="",L300="",M300=""),"ناقص",IF(AND(ISNUMBER(F300),ISNUMBER(H300)),"OK","السنة/السعر لازم أرقام")))</f>
        <v>ناقص</v>
      </c>
      <c r="X300" s="6" t="str">
        <f aca="false">IF(B300="","",B300&amp;" "&amp;C300&amp;" "&amp;D300&amp;" "&amp;E300&amp;" "&amp;F300&amp;" "&amp;G300&amp;" "&amp;I300&amp;" "&amp;L300&amp;" "&amp;M300&amp;" سعر "&amp;H300&amp;" جنيه "&amp;U300)</f>
        <v/>
      </c>
    </row>
    <row r="301" customFormat="false" ht="15" hidden="false" customHeight="false" outlineLevel="0" collapsed="false">
      <c r="A301" s="6" t="s">
        <v>496</v>
      </c>
      <c r="B301" s="7"/>
      <c r="C301" s="6" t="str">
        <f aca="false">IF(B301="","",IFERROR(INDEX(Lists!$K$2:$K$60,MATCH(B301,Lists!$J$2:$J$60,0)),""))</f>
        <v/>
      </c>
      <c r="D301" s="7"/>
      <c r="E301" s="7"/>
      <c r="F301" s="7"/>
      <c r="G301" s="7"/>
      <c r="H301" s="8"/>
      <c r="I301" s="7"/>
      <c r="J301" s="9"/>
      <c r="K301" s="7"/>
      <c r="L301" s="7"/>
      <c r="M301" s="7"/>
      <c r="N301" s="7"/>
      <c r="O301" s="7"/>
      <c r="P301" s="7"/>
      <c r="Q301" s="7"/>
      <c r="R301" s="7"/>
      <c r="S301" s="7"/>
      <c r="T301" s="7"/>
      <c r="U301" s="7"/>
      <c r="V301" s="7"/>
      <c r="W301" s="6" t="str">
        <f aca="false">IF(COUNTA(B301:V301)=0,"",IF(OR(B301="",C301="",D301="",F301="",G301="",H301="",I301="",L301="",M301=""),"ناقص",IF(AND(ISNUMBER(F301),ISNUMBER(H301)),"OK","السنة/السعر لازم أرقام")))</f>
        <v>ناقص</v>
      </c>
      <c r="X301" s="6" t="str">
        <f aca="false">IF(B301="","",B301&amp;" "&amp;C301&amp;" "&amp;D301&amp;" "&amp;E301&amp;" "&amp;F301&amp;" "&amp;G301&amp;" "&amp;I301&amp;" "&amp;L301&amp;" "&amp;M301&amp;" سعر "&amp;H301&amp;" جنيه "&amp;U301)</f>
        <v/>
      </c>
    </row>
  </sheetData>
  <autoFilter ref="A1:X301"/>
  <conditionalFormatting sqref="W2:W301">
    <cfRule type="expression" priority="2" aboveAverage="0" equalAverage="0" bottom="0" percent="0" rank="0" text="" dxfId="6">
      <formula>W2="OK"</formula>
    </cfRule>
    <cfRule type="expression" priority="3" aboveAverage="0" equalAverage="0" bottom="0" percent="0" rank="0" text="" dxfId="7">
      <formula>AND(W2&lt;&gt;"",W2&lt;&gt;"OK")</formula>
    </cfRule>
  </conditionalFormatting>
  <dataValidations count="16">
    <dataValidation allowBlank="true" error="اختار من القائمة المنسدلة." errorStyle="stop" errorTitle="قيمة غير مسموحة" operator="between" showDropDown="false" showErrorMessage="true" showInputMessage="false" sqref="B2:B301" type="list">
      <formula1>Lists!$J$2:$J$60</formula1>
      <formula2>0</formula2>
    </dataValidation>
    <dataValidation allowBlank="true" error="اختار من القائمة المنسدلة." errorStyle="stop" errorTitle="قيمة غير مسموحة" operator="between" showDropDown="false" showErrorMessage="true" showInputMessage="false" sqref="G2:G301" type="list">
      <formula1>Lists!$A$2:$A$3</formula1>
      <formula2>0</formula2>
    </dataValidation>
    <dataValidation allowBlank="true" error="اختار من القائمة المنسدلة." errorStyle="stop" errorTitle="قيمة غير مسموحة" operator="between" showDropDown="false" showErrorMessage="true" showInputMessage="false" sqref="I2:I301" type="list">
      <formula1>Lists!$B$2:$B$9</formula1>
      <formula2>0</formula2>
    </dataValidation>
    <dataValidation allowBlank="true" error="اختار من القائمة المنسدلة." errorStyle="stop" errorTitle="قيمة غير مسموحة" operator="between" showDropDown="false" showErrorMessage="true" showInputMessage="false" sqref="L2:L301" type="list">
      <formula1>Lists!$C$2:$C$5</formula1>
      <formula2>0</formula2>
    </dataValidation>
    <dataValidation allowBlank="true" error="اختار من القائمة المنسدلة." errorStyle="stop" errorTitle="قيمة غير مسموحة" operator="between" showDropDown="false" showErrorMessage="true" showInputMessage="false" sqref="M2:M301" type="list">
      <formula1>Lists!$D$2:$D$6</formula1>
      <formula2>0</formula2>
    </dataValidation>
    <dataValidation allowBlank="true" error="اختار من القائمة المنسدلة." errorStyle="stop" errorTitle="قيمة غير مسموحة" operator="between" showDropDown="false" showErrorMessage="true" showInputMessage="false" sqref="P2:P301" type="list">
      <formula1>Lists!$E$2:$E$3</formula1>
      <formula2>0</formula2>
    </dataValidation>
    <dataValidation allowBlank="true" error="اختار من القائمة المنسدلة." errorStyle="stop" errorTitle="قيمة غير مسموحة" operator="between" showDropDown="false" showErrorMessage="true" showInputMessage="false" sqref="Q2:Q301" type="list">
      <formula1>Lists!$E$2:$E$3</formula1>
      <formula2>0</formula2>
    </dataValidation>
    <dataValidation allowBlank="true" error="اختار من القائمة المنسدلة." errorStyle="stop" errorTitle="قيمة غير مسموحة" operator="between" showDropDown="false" showErrorMessage="true" showInputMessage="false" sqref="R2:R301" type="list">
      <formula1>Lists!$E$2:$E$3</formula1>
      <formula2>0</formula2>
    </dataValidation>
    <dataValidation allowBlank="true" error="اختار من القائمة المنسدلة." errorStyle="stop" errorTitle="قيمة غير مسموحة" operator="between" showDropDown="false" showErrorMessage="true" showInputMessage="false" sqref="S2:S301" type="list">
      <formula1>Lists!$E$2:$E$3</formula1>
      <formula2>0</formula2>
    </dataValidation>
    <dataValidation allowBlank="true" error="اختار من القائمة المنسدلة." errorStyle="stop" errorTitle="قيمة غير مسموحة" operator="between" showDropDown="false" showErrorMessage="true" showInputMessage="false" sqref="T2:T301" type="list">
      <formula1>Lists!$E$2:$E$3</formula1>
      <formula2>0</formula2>
    </dataValidation>
    <dataValidation allowBlank="true" error="السنة رقم بين 1990 و 2035" errorStyle="stop" operator="between" showDropDown="false" showErrorMessage="true" showInputMessage="false" sqref="F2:F301" type="whole">
      <formula1>1990</formula1>
      <formula2>2035</formula2>
    </dataValidation>
    <dataValidation allowBlank="true" error="سعة المحرك بالسي سي: رقم فقط (مثال 1600). للكهرباء اكتب 0" errorStyle="stop" operator="between" showDropDown="false" showErrorMessage="true" showInputMessage="false" sqref="J2:J301" type="whole">
      <formula1>0</formula1>
      <formula2>8000</formula2>
    </dataValidation>
    <dataValidation allowBlank="true" error="القوة بالحصان: رقم فقط" errorStyle="stop" operator="between" showDropDown="false" showErrorMessage="true" showInputMessage="false" sqref="K2:K301" type="whole">
      <formula1>30</formula1>
      <formula2>1500</formula2>
    </dataValidation>
    <dataValidation allowBlank="true" error="عدد المقاعد رقم 2-9" errorStyle="stop" operator="between" showDropDown="false" showErrorMessage="true" showInputMessage="false" sqref="O2:O301" type="whole">
      <formula1>2</formula1>
      <formula2>9</formula2>
    </dataValidation>
    <dataValidation allowBlank="true" error="السعر رقم فقط بالجنيه بدون فواصل أو كلمة جنيه" errorStyle="stop" operator="greaterThanOrEqual" showDropDown="false" showErrorMessage="true" showInputMessage="false" sqref="H2:H301" type="decimal">
      <formula1>0</formula1>
      <formula2>0</formula2>
    </dataValidation>
    <dataValidation allowBlank="true" error="الاستهلاك رقم (لتر/100كم). للكهرباء اكتب 0" errorStyle="stop" operator="greaterThanOrEqual" showDropDown="false" showErrorMessage="true" showInputMessage="false" sqref="N2:N301"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6"/>
    <col collapsed="false" customWidth="true" hidden="false" outlineLevel="0" max="3" min="3" style="0" width="18"/>
    <col collapsed="false" customWidth="true" hidden="false" outlineLevel="0" max="5" min="4" style="0" width="36"/>
    <col collapsed="false" customWidth="true" hidden="false" outlineLevel="0" max="6" min="6" style="0" width="18"/>
    <col collapsed="false" customWidth="true" hidden="false" outlineLevel="0" max="7" min="7" style="0" width="36"/>
    <col collapsed="false" customWidth="true" hidden="false" outlineLevel="0" max="8" min="8" style="0" width="40"/>
    <col collapsed="false" customWidth="true" hidden="false" outlineLevel="0" max="9" min="9" style="0" width="10"/>
    <col collapsed="false" customWidth="true" hidden="false" outlineLevel="0" max="10" min="10" style="0" width="12"/>
    <col collapsed="false" customWidth="true" hidden="false" outlineLevel="0" max="12" min="11" style="0" width="13"/>
    <col collapsed="false" customWidth="true" hidden="false" outlineLevel="0" max="13" min="13" style="0" width="14"/>
    <col collapsed="false" customWidth="true" hidden="false" outlineLevel="0" max="14" min="14" style="0" width="24"/>
    <col collapsed="false" customWidth="true" hidden="false" outlineLevel="0" max="15" min="15" style="0" width="16"/>
    <col collapsed="false" customWidth="true" hidden="false" outlineLevel="0" max="16" min="16" style="0" width="50"/>
  </cols>
  <sheetData>
    <row r="1" customFormat="false" ht="31.5" hidden="false" customHeight="true" outlineLevel="0" collapsed="false">
      <c r="A1" s="5" t="s">
        <v>497</v>
      </c>
      <c r="B1" s="5" t="s">
        <v>498</v>
      </c>
      <c r="C1" s="5" t="s">
        <v>499</v>
      </c>
      <c r="D1" s="5" t="s">
        <v>36</v>
      </c>
      <c r="E1" s="5" t="s">
        <v>38</v>
      </c>
      <c r="F1" s="5" t="s">
        <v>40</v>
      </c>
      <c r="G1" s="5" t="s">
        <v>500</v>
      </c>
      <c r="H1" s="5" t="s">
        <v>501</v>
      </c>
      <c r="I1" s="5" t="s">
        <v>502</v>
      </c>
      <c r="J1" s="5" t="s">
        <v>503</v>
      </c>
      <c r="K1" s="5" t="s">
        <v>504</v>
      </c>
      <c r="L1" s="5" t="s">
        <v>505</v>
      </c>
      <c r="M1" s="5" t="s">
        <v>48</v>
      </c>
      <c r="N1" s="5" t="s">
        <v>67</v>
      </c>
      <c r="O1" s="5" t="s">
        <v>68</v>
      </c>
      <c r="P1" s="5" t="s">
        <v>69</v>
      </c>
    </row>
    <row r="2" customFormat="false" ht="35.05" hidden="false" customHeight="false" outlineLevel="0" collapsed="false">
      <c r="A2" s="10" t="s">
        <v>506</v>
      </c>
      <c r="B2" s="11" t="s">
        <v>181</v>
      </c>
      <c r="C2" s="11" t="s">
        <v>507</v>
      </c>
      <c r="D2" s="11" t="s">
        <v>508</v>
      </c>
      <c r="E2" s="11" t="s">
        <v>509</v>
      </c>
      <c r="F2" s="11" t="s">
        <v>510</v>
      </c>
      <c r="G2" s="11" t="s">
        <v>511</v>
      </c>
      <c r="H2" s="11" t="s">
        <v>512</v>
      </c>
      <c r="I2" s="11" t="s">
        <v>513</v>
      </c>
      <c r="J2" s="11" t="s">
        <v>514</v>
      </c>
      <c r="K2" s="12" t="n">
        <v>1500</v>
      </c>
      <c r="L2" s="12" t="n">
        <v>6000</v>
      </c>
      <c r="M2" s="11" t="s">
        <v>515</v>
      </c>
      <c r="N2" s="11"/>
      <c r="O2" s="10" t="str">
        <f aca="false">IF(COUNTA(B2:N2)=0,"",IF(OR(B2="",C2="",D2="",E2="",G2="",H2="",I2="",J2=""),"ناقص","OK"))</f>
        <v>OK</v>
      </c>
      <c r="P2" s="10" t="str">
        <f aca="false">IF(D2="","",B2&amp;" "&amp;C2&amp;" "&amp;D2&amp;" "&amp;E2&amp;" "&amp;F2&amp;" "&amp;G2)</f>
        <v>كهرباء البطارية / السلف العربية مش بتدور وبسمع طقطقة مش بتدور، طقطقة، سلف، بطارية، مفيش كهرباء، الكونتاكت لمبة البطارية بطارية ضعيفة أو أقطاب مؤكسدة أو عطل في السلف</v>
      </c>
    </row>
    <row r="3" customFormat="false" ht="35.05" hidden="false" customHeight="false" outlineLevel="0" collapsed="false">
      <c r="A3" s="10" t="s">
        <v>516</v>
      </c>
      <c r="B3" s="11" t="s">
        <v>517</v>
      </c>
      <c r="C3" s="11" t="s">
        <v>518</v>
      </c>
      <c r="D3" s="11" t="s">
        <v>519</v>
      </c>
      <c r="E3" s="11" t="s">
        <v>520</v>
      </c>
      <c r="F3" s="11"/>
      <c r="G3" s="11" t="s">
        <v>521</v>
      </c>
      <c r="H3" s="11" t="s">
        <v>522</v>
      </c>
      <c r="I3" s="11" t="s">
        <v>513</v>
      </c>
      <c r="J3" s="11" t="s">
        <v>514</v>
      </c>
      <c r="K3" s="12" t="n">
        <v>800</v>
      </c>
      <c r="L3" s="12" t="n">
        <v>6000</v>
      </c>
      <c r="M3" s="11" t="s">
        <v>515</v>
      </c>
      <c r="N3" s="11"/>
      <c r="O3" s="10" t="str">
        <f aca="false">IF(COUNTA(B3:N3)=0,"",IF(OR(B3="",C3="",D3="",E3="",G3="",H3="",I3="",J3=""),"ناقص","OK"))</f>
        <v>OK</v>
      </c>
      <c r="P3" s="10" t="str">
        <f aca="false">IF(D3="","",B3&amp;" "&amp;C3&amp;" "&amp;D3&amp;" "&amp;E3&amp;" "&amp;F3&amp;" "&amp;G3)</f>
        <v>وقود طلمبة البنزين / الفلتر المحرك بيدور بس مش بيولع بيدور ومبيولعش، مش بتولع، طلمبة بنزين، فلتر بنزين، مفيش بنزين  عطل طلمبة البنزين أو فلتر مسدود أو حساس الكرنك أو الكويلات</v>
      </c>
    </row>
    <row r="4" customFormat="false" ht="35.05" hidden="false" customHeight="false" outlineLevel="0" collapsed="false">
      <c r="A4" s="10" t="s">
        <v>523</v>
      </c>
      <c r="B4" s="11" t="s">
        <v>524</v>
      </c>
      <c r="C4" s="11" t="s">
        <v>525</v>
      </c>
      <c r="D4" s="11" t="s">
        <v>526</v>
      </c>
      <c r="E4" s="11" t="s">
        <v>527</v>
      </c>
      <c r="F4" s="11" t="s">
        <v>528</v>
      </c>
      <c r="G4" s="11" t="s">
        <v>529</v>
      </c>
      <c r="H4" s="11" t="s">
        <v>530</v>
      </c>
      <c r="I4" s="11" t="s">
        <v>513</v>
      </c>
      <c r="J4" s="11" t="s">
        <v>531</v>
      </c>
      <c r="K4" s="12" t="n">
        <v>600</v>
      </c>
      <c r="L4" s="12" t="n">
        <v>3500</v>
      </c>
      <c r="M4" s="11" t="s">
        <v>515</v>
      </c>
      <c r="N4" s="11"/>
      <c r="O4" s="10" t="str">
        <f aca="false">IF(COUNTA(B4:N4)=0,"",IF(OR(B4="",C4="",D4="",E4="",G4="",H4="",I4="",J4=""),"ناقص","OK"))</f>
        <v>OK</v>
      </c>
      <c r="P4" s="10" t="str">
        <f aca="false">IF(D4="","",B4&amp;" "&amp;C4&amp;" "&amp;D4&amp;" "&amp;E4&amp;" "&amp;F4&amp;" "&amp;G4)</f>
        <v>محرك البوجيهات / الكويلات المحرك بيرتعش وهو واقف رعشة، هزة، المحرك بيهز، بيرتعش، عدم انتظام، ملل لمبة المحرك بوجيهات أو كويلات تالفة أو تسريب هواء أو حساس</v>
      </c>
    </row>
    <row r="5" customFormat="false" ht="50.7" hidden="false" customHeight="false" outlineLevel="0" collapsed="false">
      <c r="A5" s="10" t="s">
        <v>532</v>
      </c>
      <c r="B5" s="11" t="s">
        <v>533</v>
      </c>
      <c r="C5" s="11" t="s">
        <v>534</v>
      </c>
      <c r="D5" s="11" t="s">
        <v>535</v>
      </c>
      <c r="E5" s="11" t="s">
        <v>536</v>
      </c>
      <c r="F5" s="11" t="s">
        <v>537</v>
      </c>
      <c r="G5" s="11" t="s">
        <v>538</v>
      </c>
      <c r="H5" s="11" t="s">
        <v>539</v>
      </c>
      <c r="I5" s="11" t="s">
        <v>513</v>
      </c>
      <c r="J5" s="11" t="s">
        <v>531</v>
      </c>
      <c r="K5" s="12" t="n">
        <v>300</v>
      </c>
      <c r="L5" s="12" t="n">
        <v>5000</v>
      </c>
      <c r="M5" s="11" t="s">
        <v>515</v>
      </c>
      <c r="N5" s="11"/>
      <c r="O5" s="10" t="str">
        <f aca="false">IF(COUNTA(B5:N5)=0,"",IF(OR(B5="",C5="",D5="",E5="",G5="",H5="",I5="",J5=""),"ناقص","OK"))</f>
        <v>OK</v>
      </c>
      <c r="P5" s="10" t="str">
        <f aca="false">IF(D5="","",B5&amp;" "&amp;C5&amp;" "&amp;D5&amp;" "&amp;E5&amp;" "&amp;F5&amp;" "&amp;G5)</f>
        <v>تحذيرات التابلوه كمبيوتر المحرك لمبة المحرك (Check Engine) منورة ثابتة لمبة المحرك، تشيك أنجن، لمبة صفرا، لمبة البرتقاني، Check Engine لمبة المحرك صفراء عطل في حساس أو احتراق غير سليم أو غطاء خزان البنزين مش محكم</v>
      </c>
    </row>
    <row r="6" customFormat="false" ht="35.05" hidden="false" customHeight="false" outlineLevel="0" collapsed="false">
      <c r="A6" s="10" t="s">
        <v>540</v>
      </c>
      <c r="B6" s="11" t="s">
        <v>533</v>
      </c>
      <c r="C6" s="11" t="s">
        <v>541</v>
      </c>
      <c r="D6" s="11" t="s">
        <v>542</v>
      </c>
      <c r="E6" s="11" t="s">
        <v>543</v>
      </c>
      <c r="F6" s="11" t="s">
        <v>544</v>
      </c>
      <c r="G6" s="11" t="s">
        <v>545</v>
      </c>
      <c r="H6" s="11" t="s">
        <v>546</v>
      </c>
      <c r="I6" s="11" t="s">
        <v>547</v>
      </c>
      <c r="J6" s="11" t="s">
        <v>514</v>
      </c>
      <c r="K6" s="12" t="n">
        <v>1000</v>
      </c>
      <c r="L6" s="12" t="n">
        <v>8000</v>
      </c>
      <c r="M6" s="11" t="s">
        <v>515</v>
      </c>
      <c r="N6" s="11"/>
      <c r="O6" s="10" t="str">
        <f aca="false">IF(COUNTA(B6:N6)=0,"",IF(OR(B6="",C6="",D6="",E6="",G6="",H6="",I6="",J6=""),"ناقص","OK"))</f>
        <v>OK</v>
      </c>
      <c r="P6" s="10" t="str">
        <f aca="false">IF(D6="","",B6&amp;" "&amp;C6&amp;" "&amp;D6&amp;" "&amp;E6&amp;" "&amp;F6&amp;" "&amp;G6)</f>
        <v>تحذيرات التابلوه الاحتراق / الكتالايزر لمبة المحرك بتفلش (بتومض) لمبة بتفلش، لمبة بتنط، لمبة المحرك بتومض، ميس فاير لمبة المحرك وامضة احتراق غير مكتمل شديد وممكن يتلف الكتالايزر</v>
      </c>
    </row>
    <row r="7" customFormat="false" ht="35.05" hidden="false" customHeight="false" outlineLevel="0" collapsed="false">
      <c r="A7" s="10" t="s">
        <v>548</v>
      </c>
      <c r="B7" s="11" t="s">
        <v>533</v>
      </c>
      <c r="C7" s="11" t="s">
        <v>549</v>
      </c>
      <c r="D7" s="11" t="s">
        <v>550</v>
      </c>
      <c r="E7" s="11" t="s">
        <v>551</v>
      </c>
      <c r="F7" s="11" t="s">
        <v>552</v>
      </c>
      <c r="G7" s="11" t="s">
        <v>553</v>
      </c>
      <c r="H7" s="11" t="s">
        <v>554</v>
      </c>
      <c r="I7" s="11" t="s">
        <v>547</v>
      </c>
      <c r="J7" s="11" t="s">
        <v>514</v>
      </c>
      <c r="K7" s="12" t="n">
        <v>300</v>
      </c>
      <c r="L7" s="12" t="n">
        <v>12000</v>
      </c>
      <c r="M7" s="11" t="s">
        <v>515</v>
      </c>
      <c r="N7" s="11"/>
      <c r="O7" s="10" t="str">
        <f aca="false">IF(COUNTA(B7:N7)=0,"",IF(OR(B7="",C7="",D7="",E7="",G7="",H7="",I7="",J7=""),"ناقص","OK"))</f>
        <v>OK</v>
      </c>
      <c r="P7" s="10" t="str">
        <f aca="false">IF(D7="","",B7&amp;" "&amp;C7&amp;" "&amp;D7&amp;" "&amp;E7&amp;" "&amp;F7&amp;" "&amp;G7)</f>
        <v>تحذيرات التابلوه طلمبة الزيت لمبة الزيت الحمرا منورة لمبة الزيت، لمبة حمرا، علبة الزيت، ضغط الزيت، زيت ناقص لمبة ضغط الزيت نقص الزيت أو ضعف طلمبة الزيت أو عطل الحساس</v>
      </c>
    </row>
    <row r="8" customFormat="false" ht="35.05" hidden="false" customHeight="false" outlineLevel="0" collapsed="false">
      <c r="A8" s="10" t="s">
        <v>555</v>
      </c>
      <c r="B8" s="11" t="s">
        <v>524</v>
      </c>
      <c r="C8" s="11" t="s">
        <v>556</v>
      </c>
      <c r="D8" s="11" t="s">
        <v>557</v>
      </c>
      <c r="E8" s="11" t="s">
        <v>558</v>
      </c>
      <c r="F8" s="11"/>
      <c r="G8" s="11" t="s">
        <v>559</v>
      </c>
      <c r="H8" s="11" t="s">
        <v>560</v>
      </c>
      <c r="I8" s="11" t="s">
        <v>513</v>
      </c>
      <c r="J8" s="11" t="s">
        <v>531</v>
      </c>
      <c r="K8" s="12" t="n">
        <v>2000</v>
      </c>
      <c r="L8" s="12" t="n">
        <v>30000</v>
      </c>
      <c r="M8" s="11" t="s">
        <v>515</v>
      </c>
      <c r="N8" s="11"/>
      <c r="O8" s="10" t="str">
        <f aca="false">IF(COUNTA(B8:N8)=0,"",IF(OR(B8="",C8="",D8="",E8="",G8="",H8="",I8="",J8=""),"ناقص","OK"))</f>
        <v>OK</v>
      </c>
      <c r="P8" s="10" t="str">
        <f aca="false">IF(D8="","",B8&amp;" "&amp;C8&amp;" "&amp;D8&amp;" "&amp;E8&amp;" "&amp;F8&amp;" "&amp;G8)</f>
        <v>محرك الشنابر / جوانات الصمامات العربية بتاكل زيت ودخان أزرق من الشكمان دخان أزرق، بتاكل زيت، زيت بيقل، شنابر، استهلاك زيت  تآكل شنابر أو جوانات صمامات أو تسريب</v>
      </c>
    </row>
    <row r="9" customFormat="false" ht="35.05" hidden="false" customHeight="false" outlineLevel="0" collapsed="false">
      <c r="A9" s="10" t="s">
        <v>561</v>
      </c>
      <c r="B9" s="11" t="s">
        <v>562</v>
      </c>
      <c r="C9" s="11" t="s">
        <v>563</v>
      </c>
      <c r="D9" s="11" t="s">
        <v>564</v>
      </c>
      <c r="E9" s="11" t="s">
        <v>565</v>
      </c>
      <c r="F9" s="11"/>
      <c r="G9" s="11" t="s">
        <v>566</v>
      </c>
      <c r="H9" s="11" t="s">
        <v>567</v>
      </c>
      <c r="I9" s="11" t="s">
        <v>568</v>
      </c>
      <c r="J9" s="11" t="s">
        <v>83</v>
      </c>
      <c r="K9" s="12" t="n">
        <v>200</v>
      </c>
      <c r="L9" s="12" t="n">
        <v>3000</v>
      </c>
      <c r="M9" s="11" t="s">
        <v>515</v>
      </c>
      <c r="N9" s="11"/>
      <c r="O9" s="10" t="str">
        <f aca="false">IF(COUNTA(B9:N9)=0,"",IF(OR(B9="",C9="",D9="",E9="",G9="",H9="",I9="",J9=""),"ناقص","OK"))</f>
        <v>OK</v>
      </c>
      <c r="P9" s="10" t="str">
        <f aca="false">IF(D9="","",B9&amp;" "&amp;C9&amp;" "&amp;D9&amp;" "&amp;E9&amp;" "&amp;F9&amp;" "&amp;G9)</f>
        <v>عادم حساس الأكسجين / البخاخات دخان أسود من الشكمان دخان أسود، عادم أسود، بتحرق بنزين، شكمان أسود  خليط غني بسبب فلتر هواء مسدود أو حساس أكسجين أو بخاخات</v>
      </c>
    </row>
    <row r="10" customFormat="false" ht="46.25" hidden="false" customHeight="false" outlineLevel="0" collapsed="false">
      <c r="A10" s="10" t="s">
        <v>569</v>
      </c>
      <c r="B10" s="11" t="s">
        <v>570</v>
      </c>
      <c r="C10" s="11" t="s">
        <v>571</v>
      </c>
      <c r="D10" s="11" t="s">
        <v>572</v>
      </c>
      <c r="E10" s="11" t="s">
        <v>573</v>
      </c>
      <c r="F10" s="11" t="s">
        <v>574</v>
      </c>
      <c r="G10" s="11" t="s">
        <v>575</v>
      </c>
      <c r="H10" s="11" t="s">
        <v>576</v>
      </c>
      <c r="I10" s="11" t="s">
        <v>547</v>
      </c>
      <c r="J10" s="11" t="s">
        <v>514</v>
      </c>
      <c r="K10" s="12" t="n">
        <v>5000</v>
      </c>
      <c r="L10" s="12" t="n">
        <v>25000</v>
      </c>
      <c r="M10" s="11" t="s">
        <v>515</v>
      </c>
      <c r="N10" s="11"/>
      <c r="O10" s="10" t="str">
        <f aca="false">IF(COUNTA(B10:N10)=0,"",IF(OR(B10="",C10="",D10="",E10="",G10="",H10="",I10="",J10=""),"ناقص","OK"))</f>
        <v>OK</v>
      </c>
      <c r="P10" s="10" t="str">
        <f aca="false">IF(D10="","",B10&amp;" "&amp;C10&amp;" "&amp;D10&amp;" "&amp;E10&amp;" "&amp;F10&amp;" "&amp;G10)</f>
        <v>تبريد جوان راس السلندر دخان أبيض كثيف من الشكمان ومياه الردياتير بتقل دخان أبيض، بخار كتير، مياه الردياتير بتقل، جوان راس لمبة حرارة المحرك تسريب مياه التبريد للسلندرات بسبب جوان راس السلندر</v>
      </c>
    </row>
    <row r="11" customFormat="false" ht="35.05" hidden="false" customHeight="false" outlineLevel="0" collapsed="false">
      <c r="A11" s="10" t="s">
        <v>577</v>
      </c>
      <c r="B11" s="11" t="s">
        <v>524</v>
      </c>
      <c r="C11" s="11" t="s">
        <v>578</v>
      </c>
      <c r="D11" s="11" t="s">
        <v>579</v>
      </c>
      <c r="E11" s="11" t="s">
        <v>580</v>
      </c>
      <c r="F11" s="11"/>
      <c r="G11" s="11" t="s">
        <v>581</v>
      </c>
      <c r="H11" s="11" t="s">
        <v>582</v>
      </c>
      <c r="I11" s="11" t="s">
        <v>513</v>
      </c>
      <c r="J11" s="11" t="s">
        <v>531</v>
      </c>
      <c r="K11" s="12" t="n">
        <v>300</v>
      </c>
      <c r="L11" s="12" t="n">
        <v>6000</v>
      </c>
      <c r="M11" s="11" t="s">
        <v>515</v>
      </c>
      <c r="N11" s="11"/>
      <c r="O11" s="10" t="str">
        <f aca="false">IF(COUNTA(B11:N11)=0,"",IF(OR(B11="",C11="",D11="",E11="",G11="",H11="",I11="",J11=""),"ناقص","OK"))</f>
        <v>OK</v>
      </c>
      <c r="P11" s="10" t="str">
        <f aca="false">IF(D11="","",B11&amp;" "&amp;C11&amp;" "&amp;D11&amp;" "&amp;E11&amp;" "&amp;F11&amp;" "&amp;G11)</f>
        <v>محرك الرافعات / الزيت صوت طقطقة (تكتكة) من المحرك تكتكة، طقطقة، تاكتك، رافعات، صوت المحرك  زيت قليل أو لزج أو رافعات صمامات متآكلة</v>
      </c>
    </row>
    <row r="12" customFormat="false" ht="35.05" hidden="false" customHeight="false" outlineLevel="0" collapsed="false">
      <c r="A12" s="10" t="s">
        <v>583</v>
      </c>
      <c r="B12" s="11" t="s">
        <v>524</v>
      </c>
      <c r="C12" s="11" t="s">
        <v>584</v>
      </c>
      <c r="D12" s="11" t="s">
        <v>585</v>
      </c>
      <c r="E12" s="11" t="s">
        <v>586</v>
      </c>
      <c r="F12" s="11"/>
      <c r="G12" s="11" t="s">
        <v>587</v>
      </c>
      <c r="H12" s="11" t="s">
        <v>588</v>
      </c>
      <c r="I12" s="11" t="s">
        <v>513</v>
      </c>
      <c r="J12" s="11" t="s">
        <v>531</v>
      </c>
      <c r="K12" s="12" t="n">
        <v>300</v>
      </c>
      <c r="L12" s="12" t="n">
        <v>6000</v>
      </c>
      <c r="M12" s="11" t="s">
        <v>515</v>
      </c>
      <c r="N12" s="11"/>
      <c r="O12" s="10" t="str">
        <f aca="false">IF(COUNTA(B12:N12)=0,"",IF(OR(B12="",C12="",D12="",E12="",G12="",H12="",I12="",J12=""),"ناقص","OK"))</f>
        <v>OK</v>
      </c>
      <c r="P12" s="10" t="str">
        <f aca="false">IF(D12="","",B12&amp;" "&amp;C12&amp;" "&amp;D12&amp;" "&amp;E12&amp;" "&amp;F12&amp;" "&amp;G12)</f>
        <v>محرك فلتر الهواء / الحساسات العربية تقيلة ومفيهاش سحب تقيلة، ضعف سحب، مفيش سحب، مبتجيبش سرعة، بطيئة  فلتر بنزين أو هواء مسدود أو كتالايزر مسدود أو حساس تالف</v>
      </c>
    </row>
    <row r="13" customFormat="false" ht="35.05" hidden="false" customHeight="false" outlineLevel="0" collapsed="false">
      <c r="A13" s="10" t="s">
        <v>589</v>
      </c>
      <c r="B13" s="11" t="s">
        <v>517</v>
      </c>
      <c r="C13" s="11" t="s">
        <v>590</v>
      </c>
      <c r="D13" s="11" t="s">
        <v>591</v>
      </c>
      <c r="E13" s="11" t="s">
        <v>592</v>
      </c>
      <c r="F13" s="11"/>
      <c r="G13" s="11" t="s">
        <v>593</v>
      </c>
      <c r="H13" s="11" t="s">
        <v>594</v>
      </c>
      <c r="I13" s="11" t="s">
        <v>547</v>
      </c>
      <c r="J13" s="11" t="s">
        <v>514</v>
      </c>
      <c r="K13" s="12" t="n">
        <v>500</v>
      </c>
      <c r="L13" s="12" t="n">
        <v>6000</v>
      </c>
      <c r="M13" s="11" t="s">
        <v>515</v>
      </c>
      <c r="N13" s="11"/>
      <c r="O13" s="10" t="str">
        <f aca="false">IF(COUNTA(B13:N13)=0,"",IF(OR(B13="",C13="",D13="",E13="",G13="",H13="",I13="",J13=""),"ناقص","OK"))</f>
        <v>OK</v>
      </c>
      <c r="P13" s="10" t="str">
        <f aca="false">IF(D13="","",B13&amp;" "&amp;C13&amp;" "&amp;D13&amp;" "&amp;E13&amp;" "&amp;F13&amp;" "&amp;G13)</f>
        <v>وقود حساس الكرنك / الطلمبة العربية بتموت فجأة وأنا ماشي بتموت، بتفصل، بتطفي فجأة، بتقف لوحدها  عطل حساس الكرنك أو طلمبة البنزين أو دينامو أو بطارية</v>
      </c>
    </row>
    <row r="14" customFormat="false" ht="35.05" hidden="false" customHeight="false" outlineLevel="0" collapsed="false">
      <c r="A14" s="10" t="s">
        <v>595</v>
      </c>
      <c r="B14" s="11" t="s">
        <v>524</v>
      </c>
      <c r="C14" s="11" t="s">
        <v>596</v>
      </c>
      <c r="D14" s="11" t="s">
        <v>597</v>
      </c>
      <c r="E14" s="11" t="s">
        <v>598</v>
      </c>
      <c r="F14" s="11"/>
      <c r="G14" s="11" t="s">
        <v>599</v>
      </c>
      <c r="H14" s="11" t="s">
        <v>600</v>
      </c>
      <c r="I14" s="11" t="s">
        <v>568</v>
      </c>
      <c r="J14" s="11" t="s">
        <v>83</v>
      </c>
      <c r="K14" s="12" t="n">
        <v>300</v>
      </c>
      <c r="L14" s="12" t="n">
        <v>3500</v>
      </c>
      <c r="M14" s="11" t="s">
        <v>515</v>
      </c>
      <c r="N14" s="11"/>
      <c r="O14" s="10" t="str">
        <f aca="false">IF(COUNTA(B14:N14)=0,"",IF(OR(B14="",C14="",D14="",E14="",G14="",H14="",I14="",J14=""),"ناقص","OK"))</f>
        <v>OK</v>
      </c>
      <c r="P14" s="10" t="str">
        <f aca="false">IF(D14="","",B14&amp;" "&amp;C14&amp;" "&amp;D14&amp;" "&amp;E14&amp;" "&amp;F14&amp;" "&amp;G14)</f>
        <v>محرك البوجيهات / البطارية صعوبة في التشغيل الصبح صعب تدور الصبح، لازم أحاول كذا مرة، تشغيل على البارد  بوجيهات ضعيفة أو بطارية ضعيفة أو حساس حرارة</v>
      </c>
    </row>
    <row r="15" customFormat="false" ht="46.25" hidden="false" customHeight="false" outlineLevel="0" collapsed="false">
      <c r="A15" s="10" t="s">
        <v>601</v>
      </c>
      <c r="B15" s="11" t="s">
        <v>570</v>
      </c>
      <c r="C15" s="11" t="s">
        <v>602</v>
      </c>
      <c r="D15" s="11" t="s">
        <v>603</v>
      </c>
      <c r="E15" s="11" t="s">
        <v>604</v>
      </c>
      <c r="F15" s="11" t="s">
        <v>605</v>
      </c>
      <c r="G15" s="11" t="s">
        <v>606</v>
      </c>
      <c r="H15" s="11" t="s">
        <v>607</v>
      </c>
      <c r="I15" s="11" t="s">
        <v>547</v>
      </c>
      <c r="J15" s="11" t="s">
        <v>514</v>
      </c>
      <c r="K15" s="12" t="n">
        <v>500</v>
      </c>
      <c r="L15" s="12" t="n">
        <v>3000</v>
      </c>
      <c r="M15" s="11" t="s">
        <v>515</v>
      </c>
      <c r="N15" s="11"/>
      <c r="O15" s="10" t="str">
        <f aca="false">IF(COUNTA(B15:N15)=0,"",IF(OR(B15="",C15="",D15="",E15="",G15="",H15="",I15="",J15=""),"ناقص","OK"))</f>
        <v>OK</v>
      </c>
      <c r="P15" s="10" t="str">
        <f aca="false">IF(D15="","",B15&amp;" "&amp;C15&amp;" "&amp;D15&amp;" "&amp;E15&amp;" "&amp;F15&amp;" "&amp;G15)</f>
        <v>تبريد الردياتير / الثرموستات / المروحة العربية بتسخن وإبرة الحرارة بتعلى سخونة، حرارة عالية، بخار من الكبوت، مروحة، مياه الردياتير، العربية بتسخن لمبة حرارة المحرك حمرا نقص مياه الردياتير أو عطل الثرموستات أو مروحة التبريد مش شغالة</v>
      </c>
    </row>
    <row r="16" customFormat="false" ht="35.05" hidden="false" customHeight="false" outlineLevel="0" collapsed="false">
      <c r="A16" s="10" t="s">
        <v>608</v>
      </c>
      <c r="B16" s="11" t="s">
        <v>570</v>
      </c>
      <c r="C16" s="11" t="s">
        <v>609</v>
      </c>
      <c r="D16" s="11" t="s">
        <v>610</v>
      </c>
      <c r="E16" s="11" t="s">
        <v>611</v>
      </c>
      <c r="F16" s="11" t="s">
        <v>612</v>
      </c>
      <c r="G16" s="11" t="s">
        <v>613</v>
      </c>
      <c r="H16" s="11" t="s">
        <v>614</v>
      </c>
      <c r="I16" s="11" t="s">
        <v>513</v>
      </c>
      <c r="J16" s="11" t="s">
        <v>531</v>
      </c>
      <c r="K16" s="12" t="n">
        <v>300</v>
      </c>
      <c r="L16" s="12" t="n">
        <v>5000</v>
      </c>
      <c r="M16" s="11" t="s">
        <v>515</v>
      </c>
      <c r="N16" s="11"/>
      <c r="O16" s="10" t="str">
        <f aca="false">IF(COUNTA(B16:N16)=0,"",IF(OR(B16="",C16="",D16="",E16="",G16="",H16="",I16="",J16=""),"ناقص","OK"))</f>
        <v>OK</v>
      </c>
      <c r="P16" s="10" t="str">
        <f aca="false">IF(D16="","",B16&amp;" "&amp;C16&amp;" "&amp;D16&amp;" "&amp;E16&amp;" "&amp;F16&amp;" "&amp;G16)</f>
        <v>تبريد الردياتير / الخراطيم تسريب مياه (أخضر أو وردي) تحت العربية بتنقط مياه، تسريب ردياتير، سائل أخضر، مياه تبريد، بقعة تحت العربية لمبة مستوى المياه تسريب من خرطوم أو الردياتير أو طلمبة المياه</v>
      </c>
    </row>
    <row r="17" customFormat="false" ht="35.05" hidden="false" customHeight="false" outlineLevel="0" collapsed="false">
      <c r="A17" s="10" t="s">
        <v>615</v>
      </c>
      <c r="B17" s="11" t="s">
        <v>570</v>
      </c>
      <c r="C17" s="11" t="s">
        <v>616</v>
      </c>
      <c r="D17" s="11" t="s">
        <v>617</v>
      </c>
      <c r="E17" s="11" t="s">
        <v>618</v>
      </c>
      <c r="F17" s="11" t="s">
        <v>574</v>
      </c>
      <c r="G17" s="11" t="s">
        <v>619</v>
      </c>
      <c r="H17" s="11" t="s">
        <v>620</v>
      </c>
      <c r="I17" s="11" t="s">
        <v>513</v>
      </c>
      <c r="J17" s="11" t="s">
        <v>531</v>
      </c>
      <c r="K17" s="12" t="n">
        <v>400</v>
      </c>
      <c r="L17" s="12" t="n">
        <v>3000</v>
      </c>
      <c r="M17" s="11" t="s">
        <v>515</v>
      </c>
      <c r="N17" s="11"/>
      <c r="O17" s="10" t="str">
        <f aca="false">IF(COUNTA(B17:N17)=0,"",IF(OR(B17="",C17="",D17="",E17="",G17="",H17="",I17="",J17=""),"ناقص","OK"))</f>
        <v>OK</v>
      </c>
      <c r="P17" s="10" t="str">
        <f aca="false">IF(D17="","",B17&amp;" "&amp;C17&amp;" "&amp;D17&amp;" "&amp;E17&amp;" "&amp;F17&amp;" "&amp;G17)</f>
        <v>تبريد مروحة الردياتير المروحة مش شغالة والعربية بتسخن في الزحمة مروحة، الفان، سخونة في الزحمة، فان الردياتير لمبة حرارة المحرك عطل ريليه المروحة أو موتورها أو حساس الحرارة</v>
      </c>
    </row>
    <row r="18" customFormat="false" ht="23.85" hidden="false" customHeight="false" outlineLevel="0" collapsed="false">
      <c r="A18" s="10" t="s">
        <v>621</v>
      </c>
      <c r="B18" s="11" t="s">
        <v>622</v>
      </c>
      <c r="C18" s="11" t="s">
        <v>623</v>
      </c>
      <c r="D18" s="11" t="s">
        <v>624</v>
      </c>
      <c r="E18" s="11" t="s">
        <v>625</v>
      </c>
      <c r="F18" s="11"/>
      <c r="G18" s="11" t="s">
        <v>626</v>
      </c>
      <c r="H18" s="11" t="s">
        <v>627</v>
      </c>
      <c r="I18" s="11" t="s">
        <v>513</v>
      </c>
      <c r="J18" s="11" t="s">
        <v>531</v>
      </c>
      <c r="K18" s="12" t="n">
        <v>600</v>
      </c>
      <c r="L18" s="12" t="n">
        <v>1500</v>
      </c>
      <c r="M18" s="11" t="s">
        <v>515</v>
      </c>
      <c r="N18" s="11"/>
      <c r="O18" s="10" t="str">
        <f aca="false">IF(COUNTA(B18:N18)=0,"",IF(OR(B18="",C18="",D18="",E18="",G18="",H18="",I18="",J18=""),"ناقص","OK"))</f>
        <v>OK</v>
      </c>
      <c r="P18" s="10" t="str">
        <f aca="false">IF(D18="","",B18&amp;" "&amp;C18&amp;" "&amp;D18&amp;" "&amp;E18&amp;" "&amp;F18&amp;" "&amp;G18)</f>
        <v>فرامل تيل الفرامل صوت صرير عند الفرملة صرير، زيزة، صفير فرامل، تيل فرامل، دواسة الفرامل  تآكل تيل الفرامل</v>
      </c>
    </row>
    <row r="19" customFormat="false" ht="35.05" hidden="false" customHeight="false" outlineLevel="0" collapsed="false">
      <c r="A19" s="10" t="s">
        <v>628</v>
      </c>
      <c r="B19" s="11" t="s">
        <v>622</v>
      </c>
      <c r="C19" s="11" t="s">
        <v>629</v>
      </c>
      <c r="D19" s="11" t="s">
        <v>630</v>
      </c>
      <c r="E19" s="11" t="s">
        <v>631</v>
      </c>
      <c r="F19" s="11" t="s">
        <v>632</v>
      </c>
      <c r="G19" s="11" t="s">
        <v>633</v>
      </c>
      <c r="H19" s="11" t="s">
        <v>634</v>
      </c>
      <c r="I19" s="11" t="s">
        <v>547</v>
      </c>
      <c r="J19" s="11" t="s">
        <v>514</v>
      </c>
      <c r="K19" s="12" t="n">
        <v>300</v>
      </c>
      <c r="L19" s="12" t="n">
        <v>4000</v>
      </c>
      <c r="M19" s="11" t="s">
        <v>515</v>
      </c>
      <c r="N19" s="11"/>
      <c r="O19" s="10" t="str">
        <f aca="false">IF(COUNTA(B19:N19)=0,"",IF(OR(B19="",C19="",D19="",E19="",G19="",H19="",I19="",J19=""),"ناقص","OK"))</f>
        <v>OK</v>
      </c>
      <c r="P19" s="10" t="str">
        <f aca="false">IF(D19="","",B19&amp;" "&amp;C19&amp;" "&amp;D19&amp;" "&amp;E19&amp;" "&amp;F19&amp;" "&amp;G19)</f>
        <v>فرامل طلمبة / زيت الفرامل دواسة الفرامل غاطسة أو طرية الفرامل بتغطس، دواسة طرية، مفيش فرامل، الفرامل ضعيفة لمبة الفرامل هواء في النظام أو تسريب زيت فرامل أو عطل طلمبة الفرامل</v>
      </c>
    </row>
    <row r="20" customFormat="false" ht="35.05" hidden="false" customHeight="false" outlineLevel="0" collapsed="false">
      <c r="A20" s="10" t="s">
        <v>635</v>
      </c>
      <c r="B20" s="11" t="s">
        <v>622</v>
      </c>
      <c r="C20" s="11" t="s">
        <v>636</v>
      </c>
      <c r="D20" s="11" t="s">
        <v>637</v>
      </c>
      <c r="E20" s="11" t="s">
        <v>638</v>
      </c>
      <c r="F20" s="11"/>
      <c r="G20" s="11" t="s">
        <v>639</v>
      </c>
      <c r="H20" s="11" t="s">
        <v>640</v>
      </c>
      <c r="I20" s="11" t="s">
        <v>513</v>
      </c>
      <c r="J20" s="11" t="s">
        <v>531</v>
      </c>
      <c r="K20" s="12" t="n">
        <v>800</v>
      </c>
      <c r="L20" s="12" t="n">
        <v>3500</v>
      </c>
      <c r="M20" s="11" t="s">
        <v>515</v>
      </c>
      <c r="N20" s="11"/>
      <c r="O20" s="10" t="str">
        <f aca="false">IF(COUNTA(B20:N20)=0,"",IF(OR(B20="",C20="",D20="",E20="",G20="",H20="",I20="",J20=""),"ناقص","OK"))</f>
        <v>OK</v>
      </c>
      <c r="P20" s="10" t="str">
        <f aca="false">IF(D20="","",B20&amp;" "&amp;C20&amp;" "&amp;D20&amp;" "&amp;E20&amp;" "&amp;F20&amp;" "&amp;G20)</f>
        <v>فرامل الأقراص (الديسكات) اهتزاز في الدركسيون عند الفرملة رعشة فرامل، الدركسيون بيهز، ديسكات، الفرامل بتهز  أقراص الفرامل معوجة بسبب الحرارة</v>
      </c>
    </row>
    <row r="21" customFormat="false" ht="28.35" hidden="false" customHeight="false" outlineLevel="0" collapsed="false">
      <c r="A21" s="10" t="s">
        <v>641</v>
      </c>
      <c r="B21" s="11" t="s">
        <v>533</v>
      </c>
      <c r="C21" s="11" t="s">
        <v>642</v>
      </c>
      <c r="D21" s="11" t="s">
        <v>643</v>
      </c>
      <c r="E21" s="11" t="s">
        <v>644</v>
      </c>
      <c r="F21" s="11" t="s">
        <v>645</v>
      </c>
      <c r="G21" s="11" t="s">
        <v>646</v>
      </c>
      <c r="H21" s="11" t="s">
        <v>647</v>
      </c>
      <c r="I21" s="11" t="s">
        <v>513</v>
      </c>
      <c r="J21" s="11" t="s">
        <v>531</v>
      </c>
      <c r="K21" s="12" t="n">
        <v>500</v>
      </c>
      <c r="L21" s="12" t="n">
        <v>6000</v>
      </c>
      <c r="M21" s="11" t="s">
        <v>515</v>
      </c>
      <c r="N21" s="11"/>
      <c r="O21" s="10" t="str">
        <f aca="false">IF(COUNTA(B21:N21)=0,"",IF(OR(B21="",C21="",D21="",E21="",G21="",H21="",I21="",J21=""),"ناقص","OK"))</f>
        <v>OK</v>
      </c>
      <c r="P21" s="10" t="str">
        <f aca="false">IF(D21="","",B21&amp;" "&amp;C21&amp;" "&amp;D21&amp;" "&amp;E21&amp;" "&amp;F21&amp;" "&amp;G21)</f>
        <v>تحذيرات التابلوه ABS لمبة ABS منورة لمبة ABS، لمبة الفرامل، ايه بي اس لمبة ABS عطل حساس سرعة العجلة أو وحدة ABS</v>
      </c>
    </row>
    <row r="22" customFormat="false" ht="35.05" hidden="false" customHeight="false" outlineLevel="0" collapsed="false">
      <c r="A22" s="10" t="s">
        <v>648</v>
      </c>
      <c r="B22" s="11" t="s">
        <v>622</v>
      </c>
      <c r="C22" s="11" t="s">
        <v>649</v>
      </c>
      <c r="D22" s="11" t="s">
        <v>650</v>
      </c>
      <c r="E22" s="11" t="s">
        <v>651</v>
      </c>
      <c r="F22" s="11"/>
      <c r="G22" s="11" t="s">
        <v>652</v>
      </c>
      <c r="H22" s="11" t="s">
        <v>653</v>
      </c>
      <c r="I22" s="11" t="s">
        <v>513</v>
      </c>
      <c r="J22" s="11" t="s">
        <v>531</v>
      </c>
      <c r="K22" s="12" t="n">
        <v>600</v>
      </c>
      <c r="L22" s="12" t="n">
        <v>3000</v>
      </c>
      <c r="M22" s="11" t="s">
        <v>515</v>
      </c>
      <c r="N22" s="11"/>
      <c r="O22" s="10" t="str">
        <f aca="false">IF(COUNTA(B22:N22)=0,"",IF(OR(B22="",C22="",D22="",E22="",G22="",H22="",I22="",J22=""),"ناقص","OK"))</f>
        <v>OK</v>
      </c>
      <c r="P22" s="10" t="str">
        <f aca="false">IF(D22="","",B22&amp;" "&amp;C22&amp;" "&amp;D22&amp;" "&amp;E22&amp;" "&amp;F22&amp;" "&amp;G22)</f>
        <v>فرامل الكاليبر / التيل العربية بتشد لجنب لما أفرمل بتشد يمين، بتشد شمال، بتسحب لجنب، الفرامل  كاليبر مشتبك أو تيل غير متساوي في التآكل</v>
      </c>
    </row>
    <row r="23" customFormat="false" ht="35.05" hidden="false" customHeight="false" outlineLevel="0" collapsed="false">
      <c r="A23" s="10" t="s">
        <v>654</v>
      </c>
      <c r="B23" s="11" t="s">
        <v>622</v>
      </c>
      <c r="C23" s="11" t="s">
        <v>649</v>
      </c>
      <c r="D23" s="11" t="s">
        <v>655</v>
      </c>
      <c r="E23" s="11" t="s">
        <v>656</v>
      </c>
      <c r="F23" s="11"/>
      <c r="G23" s="11" t="s">
        <v>657</v>
      </c>
      <c r="H23" s="11" t="s">
        <v>658</v>
      </c>
      <c r="I23" s="11" t="s">
        <v>513</v>
      </c>
      <c r="J23" s="11" t="s">
        <v>531</v>
      </c>
      <c r="K23" s="12" t="n">
        <v>300</v>
      </c>
      <c r="L23" s="12" t="n">
        <v>3000</v>
      </c>
      <c r="M23" s="11" t="s">
        <v>515</v>
      </c>
      <c r="N23" s="11"/>
      <c r="O23" s="10" t="str">
        <f aca="false">IF(COUNTA(B23:N23)=0,"",IF(OR(B23="",C23="",D23="",E23="",G23="",H23="",I23="",J23=""),"ناقص","OK"))</f>
        <v>OK</v>
      </c>
      <c r="P23" s="10" t="str">
        <f aca="false">IF(D23="","",B23&amp;" "&amp;C23&amp;" "&amp;D23&amp;" "&amp;E23&amp;" "&amp;F23&amp;" "&amp;G23)</f>
        <v>فرامل الكاليبر / التيل ريحة حريق من الفرامل ريحة حريق، فرامل سخنت، دخان من العجلة، ريحة شياط  تيل أو كاليبر مشتبك أو استخدام الفرامل بشكل حاد</v>
      </c>
    </row>
    <row r="24" customFormat="false" ht="35.05" hidden="false" customHeight="false" outlineLevel="0" collapsed="false">
      <c r="A24" s="10" t="s">
        <v>659</v>
      </c>
      <c r="B24" s="11" t="s">
        <v>181</v>
      </c>
      <c r="C24" s="11" t="s">
        <v>660</v>
      </c>
      <c r="D24" s="11" t="s">
        <v>661</v>
      </c>
      <c r="E24" s="11" t="s">
        <v>662</v>
      </c>
      <c r="F24" s="11" t="s">
        <v>510</v>
      </c>
      <c r="G24" s="11" t="s">
        <v>663</v>
      </c>
      <c r="H24" s="11" t="s">
        <v>664</v>
      </c>
      <c r="I24" s="11" t="s">
        <v>513</v>
      </c>
      <c r="J24" s="11" t="s">
        <v>531</v>
      </c>
      <c r="K24" s="12" t="n">
        <v>1000</v>
      </c>
      <c r="L24" s="12" t="n">
        <v>5000</v>
      </c>
      <c r="M24" s="11" t="s">
        <v>515</v>
      </c>
      <c r="N24" s="11"/>
      <c r="O24" s="10" t="str">
        <f aca="false">IF(COUNTA(B24:N24)=0,"",IF(OR(B24="",C24="",D24="",E24="",G24="",H24="",I24="",J24=""),"ناقص","OK"))</f>
        <v>OK</v>
      </c>
      <c r="P24" s="10" t="str">
        <f aca="false">IF(D24="","",B24&amp;" "&amp;C24&amp;" "&amp;D24&amp;" "&amp;E24&amp;" "&amp;F24&amp;" "&amp;G24)</f>
        <v>كهرباء الدينامو / البطارية البطارية بتفضى بسرعة ولمبة البطارية منورة البطارية بتخلص، مفيش شحن، لمبة البطارية، الدينامو لمبة البطارية دينامو ضعيف أو سير الدينامو مفكوك أو سحب كهربائي مستمر</v>
      </c>
    </row>
    <row r="25" customFormat="false" ht="35.05" hidden="false" customHeight="false" outlineLevel="0" collapsed="false">
      <c r="A25" s="10" t="s">
        <v>665</v>
      </c>
      <c r="B25" s="11" t="s">
        <v>181</v>
      </c>
      <c r="C25" s="11" t="s">
        <v>666</v>
      </c>
      <c r="D25" s="11" t="s">
        <v>667</v>
      </c>
      <c r="E25" s="11" t="s">
        <v>668</v>
      </c>
      <c r="F25" s="11"/>
      <c r="G25" s="11" t="s">
        <v>669</v>
      </c>
      <c r="H25" s="11" t="s">
        <v>670</v>
      </c>
      <c r="I25" s="11" t="s">
        <v>568</v>
      </c>
      <c r="J25" s="11" t="s">
        <v>531</v>
      </c>
      <c r="K25" s="12" t="n">
        <v>50</v>
      </c>
      <c r="L25" s="12" t="n">
        <v>800</v>
      </c>
      <c r="M25" s="11" t="s">
        <v>515</v>
      </c>
      <c r="N25" s="11"/>
      <c r="O25" s="10" t="str">
        <f aca="false">IF(COUNTA(B25:N25)=0,"",IF(OR(B25="",C25="",D25="",E25="",G25="",H25="",I25="",J25=""),"ناقص","OK"))</f>
        <v>OK</v>
      </c>
      <c r="P25" s="10" t="str">
        <f aca="false">IF(D25="","",B25&amp;" "&amp;C25&amp;" "&amp;D25&amp;" "&amp;E25&amp;" "&amp;F25&amp;" "&amp;G25)</f>
        <v>كهرباء اللمبات / الفيوز الأضوية ضعيفة أو لمبة بتطفي كشاف، نور ضعيف، لمبة محروقة، فيوز، الأنوار  لمبة محروقة أو فيوز أو وصلة مفكوكة</v>
      </c>
    </row>
    <row r="26" customFormat="false" ht="35.05" hidden="false" customHeight="false" outlineLevel="0" collapsed="false">
      <c r="A26" s="10" t="s">
        <v>671</v>
      </c>
      <c r="B26" s="11" t="s">
        <v>181</v>
      </c>
      <c r="C26" s="11" t="s">
        <v>672</v>
      </c>
      <c r="D26" s="11" t="s">
        <v>673</v>
      </c>
      <c r="E26" s="11" t="s">
        <v>674</v>
      </c>
      <c r="F26" s="11"/>
      <c r="G26" s="11" t="s">
        <v>675</v>
      </c>
      <c r="H26" s="11" t="s">
        <v>676</v>
      </c>
      <c r="I26" s="11" t="s">
        <v>568</v>
      </c>
      <c r="J26" s="11" t="s">
        <v>83</v>
      </c>
      <c r="K26" s="12" t="n">
        <v>200</v>
      </c>
      <c r="L26" s="12" t="n">
        <v>1500</v>
      </c>
      <c r="M26" s="11" t="s">
        <v>515</v>
      </c>
      <c r="N26" s="11"/>
      <c r="O26" s="10" t="str">
        <f aca="false">IF(COUNTA(B26:N26)=0,"",IF(OR(B26="",C26="",D26="",E26="",G26="",H26="",I26="",J26=""),"ناقص","OK"))</f>
        <v>OK</v>
      </c>
      <c r="P26" s="10" t="str">
        <f aca="false">IF(D26="","",B26&amp;" "&amp;C26&amp;" "&amp;D26&amp;" "&amp;E26&amp;" "&amp;F26&amp;" "&amp;G26)</f>
        <v>كهرباء الزجاج الكهربائي الزجاج الكهربائي (الشباك) واقف الازاز، الشباك، الشباك الكهربا، رافع الزجاج  عطل سويتش أو ريليه أو موتور الزجاج</v>
      </c>
    </row>
    <row r="27" customFormat="false" ht="35.05" hidden="false" customHeight="false" outlineLevel="0" collapsed="false">
      <c r="A27" s="10" t="s">
        <v>677</v>
      </c>
      <c r="B27" s="11" t="s">
        <v>181</v>
      </c>
      <c r="C27" s="11" t="s">
        <v>678</v>
      </c>
      <c r="D27" s="11" t="s">
        <v>679</v>
      </c>
      <c r="E27" s="11" t="s">
        <v>680</v>
      </c>
      <c r="F27" s="11"/>
      <c r="G27" s="11" t="s">
        <v>681</v>
      </c>
      <c r="H27" s="11" t="s">
        <v>682</v>
      </c>
      <c r="I27" s="11" t="s">
        <v>568</v>
      </c>
      <c r="J27" s="11" t="s">
        <v>83</v>
      </c>
      <c r="K27" s="12" t="n">
        <v>50</v>
      </c>
      <c r="L27" s="12" t="n">
        <v>1500</v>
      </c>
      <c r="M27" s="11" t="s">
        <v>515</v>
      </c>
      <c r="N27" s="11"/>
      <c r="O27" s="10" t="str">
        <f aca="false">IF(COUNTA(B27:N27)=0,"",IF(OR(B27="",C27="",D27="",E27="",G27="",H27="",I27="",J27=""),"ناقص","OK"))</f>
        <v>OK</v>
      </c>
      <c r="P27" s="10" t="str">
        <f aca="false">IF(D27="","",B27&amp;" "&amp;C27&amp;" "&amp;D27&amp;" "&amp;E27&amp;" "&amp;F27&amp;" "&amp;G27)</f>
        <v>كهرباء الريموت / القفل المركزي الريموت أو القفل المركزي مش شغال ريموت، مفتاح، القفل المركزي، بطارية الريموت  بطارية الريموت خلصانة أو موتور القفل تالف</v>
      </c>
    </row>
    <row r="28" customFormat="false" ht="23.85" hidden="false" customHeight="false" outlineLevel="0" collapsed="false">
      <c r="A28" s="10" t="s">
        <v>683</v>
      </c>
      <c r="B28" s="11" t="s">
        <v>181</v>
      </c>
      <c r="C28" s="11" t="s">
        <v>684</v>
      </c>
      <c r="D28" s="11" t="s">
        <v>685</v>
      </c>
      <c r="E28" s="11" t="s">
        <v>686</v>
      </c>
      <c r="F28" s="11"/>
      <c r="G28" s="11" t="s">
        <v>687</v>
      </c>
      <c r="H28" s="11" t="s">
        <v>688</v>
      </c>
      <c r="I28" s="11" t="s">
        <v>513</v>
      </c>
      <c r="J28" s="11" t="s">
        <v>531</v>
      </c>
      <c r="K28" s="12" t="n">
        <v>300</v>
      </c>
      <c r="L28" s="12" t="n">
        <v>3000</v>
      </c>
      <c r="M28" s="11" t="s">
        <v>515</v>
      </c>
      <c r="N28" s="11"/>
      <c r="O28" s="10" t="str">
        <f aca="false">IF(COUNTA(B28:N28)=0,"",IF(OR(B28="",C28="",D28="",E28="",G28="",H28="",I28="",J28=""),"ناقص","OK"))</f>
        <v>OK</v>
      </c>
      <c r="P28" s="10" t="str">
        <f aca="false">IF(D28="","",B28&amp;" "&amp;C28&amp;" "&amp;D28&amp;" "&amp;E28&amp;" "&amp;F28&amp;" "&amp;G28)</f>
        <v>كهرباء الفيوزات / الأسلاك فيوز بيحرق باستمرار فيوز، ماس كهربائي، بيحرق فيوز، ريحة سلك  ماس كهربائي في الأسلاك</v>
      </c>
    </row>
    <row r="29" customFormat="false" ht="35.05" hidden="false" customHeight="false" outlineLevel="0" collapsed="false">
      <c r="A29" s="10" t="s">
        <v>689</v>
      </c>
      <c r="B29" s="11" t="s">
        <v>690</v>
      </c>
      <c r="C29" s="11" t="s">
        <v>691</v>
      </c>
      <c r="D29" s="11" t="s">
        <v>692</v>
      </c>
      <c r="E29" s="11" t="s">
        <v>693</v>
      </c>
      <c r="F29" s="11"/>
      <c r="G29" s="11" t="s">
        <v>694</v>
      </c>
      <c r="H29" s="11" t="s">
        <v>695</v>
      </c>
      <c r="I29" s="11" t="s">
        <v>568</v>
      </c>
      <c r="J29" s="11" t="s">
        <v>83</v>
      </c>
      <c r="K29" s="12" t="n">
        <v>400</v>
      </c>
      <c r="L29" s="12" t="n">
        <v>5000</v>
      </c>
      <c r="M29" s="11" t="s">
        <v>515</v>
      </c>
      <c r="N29" s="11"/>
      <c r="O29" s="10" t="str">
        <f aca="false">IF(COUNTA(B29:N29)=0,"",IF(OR(B29="",C29="",D29="",E29="",G29="",H29="",I29="",J29=""),"ناقص","OK"))</f>
        <v>OK</v>
      </c>
      <c r="P29" s="10" t="str">
        <f aca="false">IF(D29="","",B29&amp;" "&amp;C29&amp;" "&amp;D29&amp;" "&amp;E29&amp;" "&amp;F29&amp;" "&amp;G29)</f>
        <v>تكييف الفريون / الكمبروسر التكييف مش بيبرد تكييف، مبيبردش، سخن، فريون، مكيف  نقص فريون أو عطل كمبروسر أو كوندنسر مسدود أو فلتر</v>
      </c>
    </row>
    <row r="30" customFormat="false" ht="23.85" hidden="false" customHeight="false" outlineLevel="0" collapsed="false">
      <c r="A30" s="10" t="s">
        <v>696</v>
      </c>
      <c r="B30" s="11" t="s">
        <v>690</v>
      </c>
      <c r="C30" s="11" t="s">
        <v>697</v>
      </c>
      <c r="D30" s="11" t="s">
        <v>698</v>
      </c>
      <c r="E30" s="11" t="s">
        <v>699</v>
      </c>
      <c r="F30" s="11"/>
      <c r="G30" s="11" t="s">
        <v>700</v>
      </c>
      <c r="H30" s="11" t="s">
        <v>701</v>
      </c>
      <c r="I30" s="11" t="s">
        <v>568</v>
      </c>
      <c r="J30" s="11" t="s">
        <v>83</v>
      </c>
      <c r="K30" s="12" t="n">
        <v>400</v>
      </c>
      <c r="L30" s="12" t="n">
        <v>4000</v>
      </c>
      <c r="M30" s="11" t="s">
        <v>515</v>
      </c>
      <c r="N30" s="11"/>
      <c r="O30" s="10" t="str">
        <f aca="false">IF(COUNTA(B30:N30)=0,"",IF(OR(B30="",C30="",D30="",E30="",G30="",H30="",I30="",J30=""),"ناقص","OK"))</f>
        <v>OK</v>
      </c>
      <c r="P30" s="10" t="str">
        <f aca="false">IF(D30="","",B30&amp;" "&amp;C30&amp;" "&amp;D30&amp;" "&amp;E30&amp;" "&amp;F30&amp;" "&amp;G30)</f>
        <v>تكييف المبخر / الكلتش التكييف بيبرد وبعدين يسخن يبرد ويسخن، التكييف بيقطع، تجمد  تجمد المبخر أو عطل كلتش الكمبروسر أو ريليه</v>
      </c>
    </row>
    <row r="31" customFormat="false" ht="23.85" hidden="false" customHeight="false" outlineLevel="0" collapsed="false">
      <c r="A31" s="10" t="s">
        <v>702</v>
      </c>
      <c r="B31" s="11" t="s">
        <v>690</v>
      </c>
      <c r="C31" s="11" t="s">
        <v>703</v>
      </c>
      <c r="D31" s="11" t="s">
        <v>704</v>
      </c>
      <c r="E31" s="11" t="s">
        <v>705</v>
      </c>
      <c r="F31" s="11"/>
      <c r="G31" s="11" t="s">
        <v>706</v>
      </c>
      <c r="H31" s="11" t="s">
        <v>707</v>
      </c>
      <c r="I31" s="11" t="s">
        <v>568</v>
      </c>
      <c r="J31" s="11" t="s">
        <v>83</v>
      </c>
      <c r="K31" s="12" t="n">
        <v>150</v>
      </c>
      <c r="L31" s="12" t="n">
        <v>800</v>
      </c>
      <c r="M31" s="11" t="s">
        <v>515</v>
      </c>
      <c r="N31" s="11"/>
      <c r="O31" s="10" t="str">
        <f aca="false">IF(COUNTA(B31:N31)=0,"",IF(OR(B31="",C31="",D31="",E31="",G31="",H31="",I31="",J31=""),"ناقص","OK"))</f>
        <v>OK</v>
      </c>
      <c r="P31" s="10" t="str">
        <f aca="false">IF(D31="","",B31&amp;" "&amp;C31&amp;" "&amp;D31&amp;" "&amp;E31&amp;" "&amp;F31&amp;" "&amp;G31)</f>
        <v>تكييف فلتر الكابينة / المبخر ريحة وحشة من التكييف ريحة، عفن، رطوبة، ريحة التكييف، بو  فلتر الكابينة قديم أو عفن في المبخر</v>
      </c>
    </row>
    <row r="32" customFormat="false" ht="35.05" hidden="false" customHeight="false" outlineLevel="0" collapsed="false">
      <c r="A32" s="10" t="s">
        <v>708</v>
      </c>
      <c r="B32" s="11" t="s">
        <v>690</v>
      </c>
      <c r="C32" s="11" t="s">
        <v>709</v>
      </c>
      <c r="D32" s="11" t="s">
        <v>710</v>
      </c>
      <c r="E32" s="11" t="s">
        <v>711</v>
      </c>
      <c r="F32" s="11"/>
      <c r="G32" s="11" t="s">
        <v>712</v>
      </c>
      <c r="H32" s="11" t="s">
        <v>713</v>
      </c>
      <c r="I32" s="11" t="s">
        <v>568</v>
      </c>
      <c r="J32" s="11" t="s">
        <v>83</v>
      </c>
      <c r="K32" s="12" t="n">
        <v>100</v>
      </c>
      <c r="L32" s="12" t="n">
        <v>500</v>
      </c>
      <c r="M32" s="11" t="s">
        <v>515</v>
      </c>
      <c r="N32" s="11"/>
      <c r="O32" s="10" t="str">
        <f aca="false">IF(COUNTA(B32:N32)=0,"",IF(OR(B32="",C32="",D32="",E32="",G32="",H32="",I32="",J32=""),"ناقص","OK"))</f>
        <v>OK</v>
      </c>
      <c r="P32" s="10" t="str">
        <f aca="false">IF(D32="","",B32&amp;" "&amp;C32&amp;" "&amp;D32&amp;" "&amp;E32&amp;" "&amp;F32&amp;" "&amp;G32)</f>
        <v>تكييف مجرى تصريف المياه مياه بتنزل جوه العربية من تحت التابلوه مياه جوه العربية، رطوبة، بلل تحت الكراسي  انسداد مجرى تصريف مياه التكييف</v>
      </c>
    </row>
    <row r="33" customFormat="false" ht="23.85" hidden="false" customHeight="false" outlineLevel="0" collapsed="false">
      <c r="A33" s="10" t="s">
        <v>714</v>
      </c>
      <c r="B33" s="11" t="s">
        <v>690</v>
      </c>
      <c r="C33" s="11" t="s">
        <v>715</v>
      </c>
      <c r="D33" s="11" t="s">
        <v>716</v>
      </c>
      <c r="E33" s="11" t="s">
        <v>717</v>
      </c>
      <c r="F33" s="11"/>
      <c r="G33" s="11" t="s">
        <v>718</v>
      </c>
      <c r="H33" s="11" t="s">
        <v>719</v>
      </c>
      <c r="I33" s="11" t="s">
        <v>513</v>
      </c>
      <c r="J33" s="11" t="s">
        <v>83</v>
      </c>
      <c r="K33" s="12" t="n">
        <v>800</v>
      </c>
      <c r="L33" s="12" t="n">
        <v>8000</v>
      </c>
      <c r="M33" s="11" t="s">
        <v>515</v>
      </c>
      <c r="N33" s="11"/>
      <c r="O33" s="10" t="str">
        <f aca="false">IF(COUNTA(B33:N33)=0,"",IF(OR(B33="",C33="",D33="",E33="",G33="",H33="",I33="",J33=""),"ناقص","OK"))</f>
        <v>OK</v>
      </c>
      <c r="P33" s="10" t="str">
        <f aca="false">IF(D33="","",B33&amp;" "&amp;C33&amp;" "&amp;D33&amp;" "&amp;E33&amp;" "&amp;F33&amp;" "&amp;G33)</f>
        <v>تكييف الكمبروسر صوت عالي من التكييف لما أشغله صوت التكييف، زن، كمبروسر، بلية الكلتش  بلية كمبروسر أو كلتش متآكل</v>
      </c>
    </row>
    <row r="34" customFormat="false" ht="35.05" hidden="false" customHeight="false" outlineLevel="0" collapsed="false">
      <c r="A34" s="10" t="s">
        <v>720</v>
      </c>
      <c r="B34" s="11" t="s">
        <v>721</v>
      </c>
      <c r="C34" s="11" t="s">
        <v>722</v>
      </c>
      <c r="D34" s="11" t="s">
        <v>723</v>
      </c>
      <c r="E34" s="11" t="s">
        <v>724</v>
      </c>
      <c r="F34" s="11"/>
      <c r="G34" s="11" t="s">
        <v>725</v>
      </c>
      <c r="H34" s="11" t="s">
        <v>726</v>
      </c>
      <c r="I34" s="11" t="s">
        <v>513</v>
      </c>
      <c r="J34" s="11" t="s">
        <v>531</v>
      </c>
      <c r="K34" s="12" t="n">
        <v>600</v>
      </c>
      <c r="L34" s="12" t="n">
        <v>5000</v>
      </c>
      <c r="M34" s="11" t="s">
        <v>515</v>
      </c>
      <c r="N34" s="11"/>
      <c r="O34" s="10" t="str">
        <f aca="false">IF(COUNTA(B34:N34)=0,"",IF(OR(B34="",C34="",D34="",E34="",G34="",H34="",I34="",J34=""),"ناقص","OK"))</f>
        <v>OK</v>
      </c>
      <c r="P34" s="10" t="str">
        <f aca="false">IF(D34="","",B34&amp;" "&amp;C34&amp;" "&amp;D34&amp;" "&amp;E34&amp;" "&amp;F34&amp;" "&amp;G34)</f>
        <v>عفشة وتعليق المساعدين / القصبات صوت خبط من العفشة على المطبات خبط، قصبات، مساعدين، كاوتش مساعد، عفشة، المطبات  مساعدين أو قواعد أو قصبات متآكلة</v>
      </c>
    </row>
    <row r="35" customFormat="false" ht="35.05" hidden="false" customHeight="false" outlineLevel="0" collapsed="false">
      <c r="A35" s="10" t="s">
        <v>727</v>
      </c>
      <c r="B35" s="11" t="s">
        <v>728</v>
      </c>
      <c r="C35" s="11" t="s">
        <v>729</v>
      </c>
      <c r="D35" s="11" t="s">
        <v>730</v>
      </c>
      <c r="E35" s="11" t="s">
        <v>731</v>
      </c>
      <c r="F35" s="11"/>
      <c r="G35" s="11" t="s">
        <v>732</v>
      </c>
      <c r="H35" s="11" t="s">
        <v>733</v>
      </c>
      <c r="I35" s="11" t="s">
        <v>568</v>
      </c>
      <c r="J35" s="11" t="s">
        <v>83</v>
      </c>
      <c r="K35" s="12" t="n">
        <v>150</v>
      </c>
      <c r="L35" s="12" t="n">
        <v>600</v>
      </c>
      <c r="M35" s="11" t="s">
        <v>515</v>
      </c>
      <c r="N35" s="11"/>
      <c r="O35" s="10" t="str">
        <f aca="false">IF(COUNTA(B35:N35)=0,"",IF(OR(B35="",C35="",D35="",E35="",G35="",H35="",I35="",J35=""),"ناقص","OK"))</f>
        <v>OK</v>
      </c>
      <c r="P35" s="10" t="str">
        <f aca="false">IF(D35="","",B35&amp;" "&amp;C35&amp;" "&amp;D35&amp;" "&amp;E35&amp;" "&amp;F35&amp;" "&amp;G35)</f>
        <v>إطارات زوايا العجل العربية بتشد يمين أو شمال بتشد، فرمتة، ظبط زوايا، ظبط الدركسيون، بتسحب  زوايا العجل غير مضبوطة أو فرق ضغط الكاوتش</v>
      </c>
    </row>
    <row r="36" customFormat="false" ht="35.05" hidden="false" customHeight="false" outlineLevel="0" collapsed="false">
      <c r="A36" s="10" t="s">
        <v>734</v>
      </c>
      <c r="B36" s="11" t="s">
        <v>728</v>
      </c>
      <c r="C36" s="11" t="s">
        <v>735</v>
      </c>
      <c r="D36" s="11" t="s">
        <v>736</v>
      </c>
      <c r="E36" s="11" t="s">
        <v>737</v>
      </c>
      <c r="F36" s="11"/>
      <c r="G36" s="11" t="s">
        <v>738</v>
      </c>
      <c r="H36" s="11" t="s">
        <v>739</v>
      </c>
      <c r="I36" s="11" t="s">
        <v>568</v>
      </c>
      <c r="J36" s="11" t="s">
        <v>83</v>
      </c>
      <c r="K36" s="12" t="n">
        <v>100</v>
      </c>
      <c r="L36" s="12" t="n">
        <v>400</v>
      </c>
      <c r="M36" s="11" t="s">
        <v>515</v>
      </c>
      <c r="N36" s="11"/>
      <c r="O36" s="10" t="str">
        <f aca="false">IF(COUNTA(B36:N36)=0,"",IF(OR(B36="",C36="",D36="",E36="",G36="",H36="",I36="",J36=""),"ناقص","OK"))</f>
        <v>OK</v>
      </c>
      <c r="P36" s="10" t="str">
        <f aca="false">IF(D36="","",B36&amp;" "&amp;C36&amp;" "&amp;D36&amp;" "&amp;E36&amp;" "&amp;F36&amp;" "&amp;G36)</f>
        <v>إطارات ميزان الكاوتش اهتزاز الدركسيون على سرعة 80 إلى 100 رعشة، زنقة، بالانس، ميزان كاوتش، الدركسيون بيهز  ميزان الكاوتش (البالانس) غير مضبوط أو كاوتش مشوه</v>
      </c>
    </row>
    <row r="37" customFormat="false" ht="39.55" hidden="false" customHeight="false" outlineLevel="0" collapsed="false">
      <c r="A37" s="10" t="s">
        <v>740</v>
      </c>
      <c r="B37" s="11" t="s">
        <v>721</v>
      </c>
      <c r="C37" s="11" t="s">
        <v>741</v>
      </c>
      <c r="D37" s="11" t="s">
        <v>742</v>
      </c>
      <c r="E37" s="11" t="s">
        <v>743</v>
      </c>
      <c r="F37" s="11"/>
      <c r="G37" s="11" t="s">
        <v>744</v>
      </c>
      <c r="H37" s="11" t="s">
        <v>745</v>
      </c>
      <c r="I37" s="11" t="s">
        <v>513</v>
      </c>
      <c r="J37" s="11" t="s">
        <v>531</v>
      </c>
      <c r="K37" s="12" t="n">
        <v>800</v>
      </c>
      <c r="L37" s="12" t="n">
        <v>4000</v>
      </c>
      <c r="M37" s="11" t="s">
        <v>515</v>
      </c>
      <c r="N37" s="11"/>
      <c r="O37" s="10" t="str">
        <f aca="false">IF(COUNTA(B37:N37)=0,"",IF(OR(B37="",C37="",D37="",E37="",G37="",H37="",I37="",J37=""),"ناقص","OK"))</f>
        <v>OK</v>
      </c>
      <c r="P37" s="10" t="str">
        <f aca="false">IF(D37="","",B37&amp;" "&amp;C37&amp;" "&amp;D37&amp;" "&amp;E37&amp;" "&amp;F37&amp;" "&amp;G37)</f>
        <v>عفشة وتعليق مفصل السرعة (CV joint) صوت طقطقة لما ألف الدركسيون صرير، طقطقة عند اللف، مفصل، سوستة، كاوتش المفصل  مفصل السرعة (CV joint) تالف أو شنطة المفصل مقطوعة</v>
      </c>
    </row>
    <row r="38" customFormat="false" ht="35.05" hidden="false" customHeight="false" outlineLevel="0" collapsed="false">
      <c r="A38" s="10" t="s">
        <v>746</v>
      </c>
      <c r="B38" s="11" t="s">
        <v>721</v>
      </c>
      <c r="C38" s="11" t="s">
        <v>747</v>
      </c>
      <c r="D38" s="11" t="s">
        <v>748</v>
      </c>
      <c r="E38" s="11" t="s">
        <v>749</v>
      </c>
      <c r="F38" s="11"/>
      <c r="G38" s="11" t="s">
        <v>750</v>
      </c>
      <c r="H38" s="11" t="s">
        <v>751</v>
      </c>
      <c r="I38" s="11" t="s">
        <v>513</v>
      </c>
      <c r="J38" s="11" t="s">
        <v>531</v>
      </c>
      <c r="K38" s="12" t="n">
        <v>300</v>
      </c>
      <c r="L38" s="12" t="n">
        <v>6000</v>
      </c>
      <c r="M38" s="11" t="s">
        <v>515</v>
      </c>
      <c r="N38" s="11"/>
      <c r="O38" s="10" t="str">
        <f aca="false">IF(COUNTA(B38:N38)=0,"",IF(OR(B38="",C38="",D38="",E38="",G38="",H38="",I38="",J38=""),"ناقص","OK"))</f>
        <v>OK</v>
      </c>
      <c r="P38" s="10" t="str">
        <f aca="false">IF(D38="","",B38&amp;" "&amp;C38&amp;" "&amp;D38&amp;" "&amp;E38&amp;" "&amp;F38&amp;" "&amp;G38)</f>
        <v>عفشة وتعليق طلمبة باور / زيت الباور الدركسيون تقيل أو في صوت عند اللف دركسيون تقيل، باور، زيت باور، صرير  نقص زيت الباور أو ضعف الطلمبة</v>
      </c>
    </row>
    <row r="39" customFormat="false" ht="35.05" hidden="false" customHeight="false" outlineLevel="0" collapsed="false">
      <c r="A39" s="10" t="s">
        <v>752</v>
      </c>
      <c r="B39" s="11" t="s">
        <v>753</v>
      </c>
      <c r="C39" s="11" t="s">
        <v>754</v>
      </c>
      <c r="D39" s="11" t="s">
        <v>755</v>
      </c>
      <c r="E39" s="11" t="s">
        <v>756</v>
      </c>
      <c r="F39" s="11"/>
      <c r="G39" s="11" t="s">
        <v>757</v>
      </c>
      <c r="H39" s="11" t="s">
        <v>758</v>
      </c>
      <c r="I39" s="11" t="s">
        <v>513</v>
      </c>
      <c r="J39" s="11" t="s">
        <v>531</v>
      </c>
      <c r="K39" s="12" t="n">
        <v>1500</v>
      </c>
      <c r="L39" s="12" t="n">
        <v>20000</v>
      </c>
      <c r="M39" s="11" t="s">
        <v>76</v>
      </c>
      <c r="N39" s="11"/>
      <c r="O39" s="10" t="str">
        <f aca="false">IF(COUNTA(B39:N39)=0,"",IF(OR(B39="",C39="",D39="",E39="",G39="",H39="",I39="",J39=""),"ناقص","OK"))</f>
        <v>OK</v>
      </c>
      <c r="P39" s="10" t="str">
        <f aca="false">IF(D39="","",B39&amp;" "&amp;C39&amp;" "&amp;D39&amp;" "&amp;E39&amp;" "&amp;F39&amp;" "&amp;G39)</f>
        <v>ناقل حركة الجير الأوتوماتيك الجير الأوتوماتيك بيخبط أو بيتأخر في التعشيق جير، مش بيعشق، خبطة، تأخير، الأوتوماتيك  زيت جير قديم أو عطل صمامات أو حساسات</v>
      </c>
    </row>
    <row r="40" customFormat="false" ht="39.55" hidden="false" customHeight="false" outlineLevel="0" collapsed="false">
      <c r="A40" s="10" t="s">
        <v>759</v>
      </c>
      <c r="B40" s="11" t="s">
        <v>753</v>
      </c>
      <c r="C40" s="11" t="s">
        <v>760</v>
      </c>
      <c r="D40" s="11" t="s">
        <v>761</v>
      </c>
      <c r="E40" s="11" t="s">
        <v>762</v>
      </c>
      <c r="F40" s="11"/>
      <c r="G40" s="11" t="s">
        <v>763</v>
      </c>
      <c r="H40" s="11" t="s">
        <v>764</v>
      </c>
      <c r="I40" s="11" t="s">
        <v>513</v>
      </c>
      <c r="J40" s="11" t="s">
        <v>531</v>
      </c>
      <c r="K40" s="12" t="n">
        <v>3000</v>
      </c>
      <c r="L40" s="12" t="n">
        <v>25000</v>
      </c>
      <c r="M40" s="11" t="s">
        <v>132</v>
      </c>
      <c r="N40" s="11"/>
      <c r="O40" s="10" t="str">
        <f aca="false">IF(COUNTA(B40:N40)=0,"",IF(OR(B40="",C40="",D40="",E40="",G40="",H40="",I40="",J40=""),"ناقص","OK"))</f>
        <v>OK</v>
      </c>
      <c r="P40" s="10" t="str">
        <f aca="false">IF(D40="","",B40&amp;" "&amp;C40&amp;" "&amp;D40&amp;" "&amp;E40&amp;" "&amp;F40&amp;" "&amp;G40)</f>
        <v>ناقل حركة كلتش DCT / DSG رعشة عند الانطلاق في الجير DCT رعشة عند الانطلاق، DSG، دبل كلتش، الجير بيهز  تآكل الكلتش أو وحدة التحكم</v>
      </c>
    </row>
    <row r="41" customFormat="false" ht="23.85" hidden="false" customHeight="false" outlineLevel="0" collapsed="false">
      <c r="A41" s="10" t="s">
        <v>765</v>
      </c>
      <c r="B41" s="11" t="s">
        <v>753</v>
      </c>
      <c r="C41" s="11" t="s">
        <v>766</v>
      </c>
      <c r="D41" s="11" t="s">
        <v>767</v>
      </c>
      <c r="E41" s="11" t="s">
        <v>768</v>
      </c>
      <c r="F41" s="11"/>
      <c r="G41" s="11" t="s">
        <v>769</v>
      </c>
      <c r="H41" s="11" t="s">
        <v>770</v>
      </c>
      <c r="I41" s="11" t="s">
        <v>513</v>
      </c>
      <c r="J41" s="11" t="s">
        <v>531</v>
      </c>
      <c r="K41" s="12" t="n">
        <v>2500</v>
      </c>
      <c r="L41" s="12" t="n">
        <v>9000</v>
      </c>
      <c r="M41" s="11" t="s">
        <v>771</v>
      </c>
      <c r="N41" s="11"/>
      <c r="O41" s="10" t="str">
        <f aca="false">IF(COUNTA(B41:N41)=0,"",IF(OR(B41="",C41="",D41="",E41="",G41="",H41="",I41="",J41=""),"ناقص","OK"))</f>
        <v>OK</v>
      </c>
      <c r="P41" s="10" t="str">
        <f aca="false">IF(D41="","",B41&amp;" "&amp;C41&amp;" "&amp;D41&amp;" "&amp;E41&amp;" "&amp;F41&amp;" "&amp;G41)</f>
        <v>ناقل حركة الدبرياج (الكلتش) الدبرياج بينزلق والدوران بيعلى والسرعة لأ دبرياج، الكلتش بيحرق، بينزلق، الدوران بيعلى  تآكل الدبرياج</v>
      </c>
    </row>
    <row r="42" customFormat="false" ht="23.85" hidden="false" customHeight="false" outlineLevel="0" collapsed="false">
      <c r="A42" s="10" t="s">
        <v>772</v>
      </c>
      <c r="B42" s="11" t="s">
        <v>753</v>
      </c>
      <c r="C42" s="11" t="s">
        <v>773</v>
      </c>
      <c r="D42" s="11" t="s">
        <v>774</v>
      </c>
      <c r="E42" s="11" t="s">
        <v>775</v>
      </c>
      <c r="F42" s="11"/>
      <c r="G42" s="11" t="s">
        <v>776</v>
      </c>
      <c r="H42" s="11" t="s">
        <v>777</v>
      </c>
      <c r="I42" s="11" t="s">
        <v>513</v>
      </c>
      <c r="J42" s="11" t="s">
        <v>531</v>
      </c>
      <c r="K42" s="12" t="n">
        <v>500</v>
      </c>
      <c r="L42" s="12" t="n">
        <v>5000</v>
      </c>
      <c r="M42" s="11" t="s">
        <v>771</v>
      </c>
      <c r="N42" s="11"/>
      <c r="O42" s="10" t="str">
        <f aca="false">IF(COUNTA(B42:N42)=0,"",IF(OR(B42="",C42="",D42="",E42="",G42="",H42="",I42="",J42=""),"ناقص","OK"))</f>
        <v>OK</v>
      </c>
      <c r="P42" s="10" t="str">
        <f aca="false">IF(D42="","",B42&amp;" "&amp;C42&amp;" "&amp;D42&amp;" "&amp;E42&amp;" "&amp;F42&amp;" "&amp;G42)</f>
        <v>ناقل حركة الجير المانيوال صعوبة تعشيق الجير المانيوال الجير مش بيدخل، بيزيق، عشق صعب  زيت جير أو كابل أو دبرياج</v>
      </c>
    </row>
    <row r="43" customFormat="false" ht="23.85" hidden="false" customHeight="false" outlineLevel="0" collapsed="false">
      <c r="A43" s="10" t="s">
        <v>778</v>
      </c>
      <c r="B43" s="11" t="s">
        <v>753</v>
      </c>
      <c r="C43" s="11" t="s">
        <v>779</v>
      </c>
      <c r="D43" s="11" t="s">
        <v>780</v>
      </c>
      <c r="E43" s="11" t="s">
        <v>781</v>
      </c>
      <c r="F43" s="11"/>
      <c r="G43" s="11" t="s">
        <v>782</v>
      </c>
      <c r="H43" s="11" t="s">
        <v>783</v>
      </c>
      <c r="I43" s="11" t="s">
        <v>513</v>
      </c>
      <c r="J43" s="11" t="s">
        <v>531</v>
      </c>
      <c r="K43" s="12" t="n">
        <v>500</v>
      </c>
      <c r="L43" s="12" t="n">
        <v>4000</v>
      </c>
      <c r="M43" s="11" t="s">
        <v>515</v>
      </c>
      <c r="N43" s="11"/>
      <c r="O43" s="10" t="str">
        <f aca="false">IF(COUNTA(B43:N43)=0,"",IF(OR(B43="",C43="",D43="",E43="",G43="",H43="",I43="",J43=""),"ناقص","OK"))</f>
        <v>OK</v>
      </c>
      <c r="P43" s="10" t="str">
        <f aca="false">IF(D43="","",B43&amp;" "&amp;C43&amp;" "&amp;D43&amp;" "&amp;E43&amp;" "&amp;F43&amp;" "&amp;G43)</f>
        <v>ناقل حركة جوانات الجير تسريب زيت تحت الجير زيت أحمر، بقعة، تسريب جير  تلف جوانات أو سيل الجير</v>
      </c>
    </row>
    <row r="44" customFormat="false" ht="23.85" hidden="false" customHeight="false" outlineLevel="0" collapsed="false">
      <c r="A44" s="10" t="s">
        <v>784</v>
      </c>
      <c r="B44" s="11" t="s">
        <v>562</v>
      </c>
      <c r="C44" s="11" t="s">
        <v>785</v>
      </c>
      <c r="D44" s="11" t="s">
        <v>786</v>
      </c>
      <c r="E44" s="11" t="s">
        <v>787</v>
      </c>
      <c r="F44" s="11"/>
      <c r="G44" s="11" t="s">
        <v>788</v>
      </c>
      <c r="H44" s="11" t="s">
        <v>789</v>
      </c>
      <c r="I44" s="11" t="s">
        <v>568</v>
      </c>
      <c r="J44" s="11" t="s">
        <v>83</v>
      </c>
      <c r="K44" s="12" t="n">
        <v>300</v>
      </c>
      <c r="L44" s="12" t="n">
        <v>3000</v>
      </c>
      <c r="M44" s="11" t="s">
        <v>515</v>
      </c>
      <c r="N44" s="11"/>
      <c r="O44" s="10" t="str">
        <f aca="false">IF(COUNTA(B44:N44)=0,"",IF(OR(B44="",C44="",D44="",E44="",G44="",H44="",I44="",J44=""),"ناقص","OK"))</f>
        <v>OK</v>
      </c>
      <c r="P44" s="10" t="str">
        <f aca="false">IF(D44="","",B44&amp;" "&amp;C44&amp;" "&amp;D44&amp;" "&amp;E44&amp;" "&amp;F44&amp;" "&amp;G44)</f>
        <v>عادم الشكمان / الكاتم صوت عالي من الشكمان صوت عادم، شكمان بيزن، كاتم  خرق في الشكمان أو الكاتم</v>
      </c>
    </row>
    <row r="45" customFormat="false" ht="23.85" hidden="false" customHeight="false" outlineLevel="0" collapsed="false">
      <c r="A45" s="10" t="s">
        <v>790</v>
      </c>
      <c r="B45" s="11" t="s">
        <v>562</v>
      </c>
      <c r="C45" s="11" t="s">
        <v>791</v>
      </c>
      <c r="D45" s="11" t="s">
        <v>792</v>
      </c>
      <c r="E45" s="11" t="s">
        <v>793</v>
      </c>
      <c r="F45" s="11" t="s">
        <v>528</v>
      </c>
      <c r="G45" s="11" t="s">
        <v>794</v>
      </c>
      <c r="H45" s="11" t="s">
        <v>795</v>
      </c>
      <c r="I45" s="11" t="s">
        <v>513</v>
      </c>
      <c r="J45" s="11" t="s">
        <v>531</v>
      </c>
      <c r="K45" s="12" t="n">
        <v>3000</v>
      </c>
      <c r="L45" s="12" t="n">
        <v>25000</v>
      </c>
      <c r="M45" s="11" t="s">
        <v>515</v>
      </c>
      <c r="N45" s="11"/>
      <c r="O45" s="10" t="str">
        <f aca="false">IF(COUNTA(B45:N45)=0,"",IF(OR(B45="",C45="",D45="",E45="",G45="",H45="",I45="",J45=""),"ناقص","OK"))</f>
        <v>OK</v>
      </c>
      <c r="P45" s="10" t="str">
        <f aca="false">IF(D45="","",B45&amp;" "&amp;C45&amp;" "&amp;D45&amp;" "&amp;E45&amp;" "&amp;F45&amp;" "&amp;G45)</f>
        <v>عادم الكتالايزر ريحة بيض فاسد من الشكمان ريحة كبريت، ريحة بيض، كتالايزر لمبة المحرك تلف الكتالايزر أو خليط غني</v>
      </c>
    </row>
    <row r="46" customFormat="false" ht="23.85" hidden="false" customHeight="false" outlineLevel="0" collapsed="false">
      <c r="A46" s="10" t="s">
        <v>796</v>
      </c>
      <c r="B46" s="11" t="s">
        <v>728</v>
      </c>
      <c r="C46" s="11" t="s">
        <v>797</v>
      </c>
      <c r="D46" s="11" t="s">
        <v>798</v>
      </c>
      <c r="E46" s="11" t="s">
        <v>799</v>
      </c>
      <c r="F46" s="11"/>
      <c r="G46" s="11" t="s">
        <v>800</v>
      </c>
      <c r="H46" s="11" t="s">
        <v>801</v>
      </c>
      <c r="I46" s="11" t="s">
        <v>568</v>
      </c>
      <c r="J46" s="11" t="s">
        <v>83</v>
      </c>
      <c r="K46" s="12" t="n">
        <v>150</v>
      </c>
      <c r="L46" s="12" t="n">
        <v>800</v>
      </c>
      <c r="M46" s="11" t="s">
        <v>515</v>
      </c>
      <c r="N46" s="11"/>
      <c r="O46" s="10" t="str">
        <f aca="false">IF(COUNTA(B46:N46)=0,"",IF(OR(B46="",C46="",D46="",E46="",G46="",H46="",I46="",J46=""),"ناقص","OK"))</f>
        <v>OK</v>
      </c>
      <c r="P46" s="10" t="str">
        <f aca="false">IF(D46="","",B46&amp;" "&amp;C46&amp;" "&amp;D46&amp;" "&amp;E46&amp;" "&amp;F46&amp;" "&amp;G46)</f>
        <v>إطارات الكاوتش كاوتش بيتآكل من ناحية واحدة تآكل، كاوتش بيخلص، فرمتة، ناحية واحدة  زوايا غير مضبوطة أو مشكلة في العفشة</v>
      </c>
    </row>
    <row r="47" customFormat="false" ht="23.85" hidden="false" customHeight="false" outlineLevel="0" collapsed="false">
      <c r="A47" s="10" t="s">
        <v>802</v>
      </c>
      <c r="B47" s="11" t="s">
        <v>728</v>
      </c>
      <c r="C47" s="11" t="s">
        <v>797</v>
      </c>
      <c r="D47" s="11" t="s">
        <v>803</v>
      </c>
      <c r="E47" s="11" t="s">
        <v>804</v>
      </c>
      <c r="F47" s="11" t="s">
        <v>805</v>
      </c>
      <c r="G47" s="11" t="s">
        <v>806</v>
      </c>
      <c r="H47" s="11" t="s">
        <v>807</v>
      </c>
      <c r="I47" s="11" t="s">
        <v>513</v>
      </c>
      <c r="J47" s="11" t="s">
        <v>514</v>
      </c>
      <c r="K47" s="12" t="n">
        <v>50</v>
      </c>
      <c r="L47" s="12" t="n">
        <v>300</v>
      </c>
      <c r="M47" s="11" t="s">
        <v>515</v>
      </c>
      <c r="N47" s="11"/>
      <c r="O47" s="10" t="str">
        <f aca="false">IF(COUNTA(B47:N47)=0,"",IF(OR(B47="",C47="",D47="",E47="",G47="",H47="",I47="",J47=""),"ناقص","OK"))</f>
        <v>OK</v>
      </c>
      <c r="P47" s="10" t="str">
        <f aca="false">IF(D47="","",B47&amp;" "&amp;C47&amp;" "&amp;D47&amp;" "&amp;E47&amp;" "&amp;F47&amp;" "&amp;G47)</f>
        <v>إطارات الكاوتش كاوتش نايم أو بيفقد هواء كاوتش نايم، مسمار، بنشر، هواء بيخرج لمبة ضغط الكاوتش مسمار أو تسريب من الصمام أو الجنط</v>
      </c>
    </row>
    <row r="48" customFormat="false" ht="39.55" hidden="false" customHeight="false" outlineLevel="0" collapsed="false">
      <c r="A48" s="10" t="s">
        <v>808</v>
      </c>
      <c r="B48" s="11" t="s">
        <v>533</v>
      </c>
      <c r="C48" s="11" t="s">
        <v>809</v>
      </c>
      <c r="D48" s="11" t="s">
        <v>810</v>
      </c>
      <c r="E48" s="11" t="s">
        <v>811</v>
      </c>
      <c r="F48" s="11" t="s">
        <v>812</v>
      </c>
      <c r="G48" s="11" t="s">
        <v>813</v>
      </c>
      <c r="H48" s="11" t="s">
        <v>814</v>
      </c>
      <c r="I48" s="11" t="s">
        <v>568</v>
      </c>
      <c r="J48" s="11" t="s">
        <v>531</v>
      </c>
      <c r="K48" s="12" t="n">
        <v>50</v>
      </c>
      <c r="L48" s="12" t="n">
        <v>800</v>
      </c>
      <c r="M48" s="11" t="s">
        <v>515</v>
      </c>
      <c r="N48" s="11"/>
      <c r="O48" s="10" t="str">
        <f aca="false">IF(COUNTA(B48:N48)=0,"",IF(OR(B48="",C48="",D48="",E48="",G48="",H48="",I48="",J48=""),"ناقص","OK"))</f>
        <v>OK</v>
      </c>
      <c r="P48" s="10" t="str">
        <f aca="false">IF(D48="","",B48&amp;" "&amp;C48&amp;" "&amp;D48&amp;" "&amp;E48&amp;" "&amp;F48&amp;" "&amp;G48)</f>
        <v>تحذيرات التابلوه حساسات الكاوتش TPMS لمبة ضغط الكاوتش منورة لمبة الكاوتش، TPMS، ضغط الكاوتش لمبة TPMS ضغط منخفض أو حساس تالف</v>
      </c>
    </row>
    <row r="49" customFormat="false" ht="35.05" hidden="false" customHeight="false" outlineLevel="0" collapsed="false">
      <c r="A49" s="10" t="s">
        <v>815</v>
      </c>
      <c r="B49" s="11" t="s">
        <v>517</v>
      </c>
      <c r="C49" s="11" t="s">
        <v>816</v>
      </c>
      <c r="D49" s="11" t="s">
        <v>817</v>
      </c>
      <c r="E49" s="11" t="s">
        <v>818</v>
      </c>
      <c r="F49" s="11"/>
      <c r="G49" s="11" t="s">
        <v>819</v>
      </c>
      <c r="H49" s="11" t="s">
        <v>820</v>
      </c>
      <c r="I49" s="11" t="s">
        <v>568</v>
      </c>
      <c r="J49" s="11" t="s">
        <v>83</v>
      </c>
      <c r="K49" s="12" t="n">
        <v>300</v>
      </c>
      <c r="L49" s="12" t="n">
        <v>3000</v>
      </c>
      <c r="M49" s="11" t="s">
        <v>515</v>
      </c>
      <c r="N49" s="11"/>
      <c r="O49" s="10" t="str">
        <f aca="false">IF(COUNTA(B49:N49)=0,"",IF(OR(B49="",C49="",D49="",E49="",G49="",H49="",I49="",J49=""),"ناقص","OK"))</f>
        <v>OK</v>
      </c>
      <c r="P49" s="10" t="str">
        <f aca="false">IF(D49="","",B49&amp;" "&amp;C49&amp;" "&amp;D49&amp;" "&amp;E49&amp;" "&amp;F49&amp;" "&amp;G49)</f>
        <v>وقود فلتر الهواء / البوجيهات استهلاك بنزين عالي بتشرب بنزين، استهلاك عالي، بنزين كتير  فلتر هواء أو بوجيهات أو ضغط كاوتش أو حساس أكسجين</v>
      </c>
    </row>
    <row r="50" customFormat="false" ht="35.05" hidden="false" customHeight="false" outlineLevel="0" collapsed="false">
      <c r="A50" s="10" t="s">
        <v>821</v>
      </c>
      <c r="B50" s="11" t="s">
        <v>517</v>
      </c>
      <c r="C50" s="11" t="s">
        <v>822</v>
      </c>
      <c r="D50" s="11" t="s">
        <v>823</v>
      </c>
      <c r="E50" s="11" t="s">
        <v>824</v>
      </c>
      <c r="F50" s="11"/>
      <c r="G50" s="11" t="s">
        <v>825</v>
      </c>
      <c r="H50" s="11" t="s">
        <v>826</v>
      </c>
      <c r="I50" s="11" t="s">
        <v>547</v>
      </c>
      <c r="J50" s="11" t="s">
        <v>514</v>
      </c>
      <c r="K50" s="12" t="n">
        <v>300</v>
      </c>
      <c r="L50" s="12" t="n">
        <v>5000</v>
      </c>
      <c r="M50" s="11" t="s">
        <v>515</v>
      </c>
      <c r="N50" s="11"/>
      <c r="O50" s="10" t="str">
        <f aca="false">IF(COUNTA(B50:N50)=0,"",IF(OR(B50="",C50="",D50="",E50="",G50="",H50="",I50="",J50=""),"ناقص","OK"))</f>
        <v>OK</v>
      </c>
      <c r="P50" s="10" t="str">
        <f aca="false">IF(D50="","",B50&amp;" "&amp;C50&amp;" "&amp;D50&amp;" "&amp;E50&amp;" "&amp;F50&amp;" "&amp;G50)</f>
        <v>وقود الخراطيم / البخاخات ريحة بنزين داخل أو حوالين العربية ريحة بنزين، تسريب بنزين، بنزين بينقط  تسريب وقود من خرطوم أو بخاخ أو الخزان</v>
      </c>
    </row>
    <row r="51" customFormat="false" ht="41.75" hidden="false" customHeight="false" outlineLevel="0" collapsed="false">
      <c r="A51" s="10" t="s">
        <v>827</v>
      </c>
      <c r="B51" s="11" t="s">
        <v>533</v>
      </c>
      <c r="C51" s="11" t="s">
        <v>828</v>
      </c>
      <c r="D51" s="11" t="s">
        <v>829</v>
      </c>
      <c r="E51" s="11" t="s">
        <v>830</v>
      </c>
      <c r="F51" s="11" t="s">
        <v>831</v>
      </c>
      <c r="G51" s="11" t="s">
        <v>832</v>
      </c>
      <c r="H51" s="11" t="s">
        <v>833</v>
      </c>
      <c r="I51" s="11" t="s">
        <v>513</v>
      </c>
      <c r="J51" s="11" t="s">
        <v>531</v>
      </c>
      <c r="K51" s="12" t="n">
        <v>500</v>
      </c>
      <c r="L51" s="12" t="n">
        <v>6000</v>
      </c>
      <c r="M51" s="11" t="s">
        <v>515</v>
      </c>
      <c r="N51" s="11"/>
      <c r="O51" s="10" t="str">
        <f aca="false">IF(COUNTA(B51:N51)=0,"",IF(OR(B51="",C51="",D51="",E51="",G51="",H51="",I51="",J51=""),"ناقص","OK"))</f>
        <v>OK</v>
      </c>
      <c r="P51" s="10" t="str">
        <f aca="false">IF(D51="","",B51&amp;" "&amp;C51&amp;" "&amp;D51&amp;" "&amp;E51&amp;" "&amp;F51&amp;" "&amp;G51)</f>
        <v>تحذيرات التابلوه الوسائد الهوائية لمبة الوسائد الهوائية (Airbag) منورة لمبة الايرباج، لمبة الوسادة، لمبة الشخص، airbag لمبة Airbag عطل حساس أو كابل أو وحدة التحكم</v>
      </c>
    </row>
    <row r="52" customFormat="false" ht="41.75" hidden="false" customHeight="false" outlineLevel="0" collapsed="false">
      <c r="A52" s="10" t="s">
        <v>834</v>
      </c>
      <c r="B52" s="11" t="s">
        <v>533</v>
      </c>
      <c r="C52" s="11" t="s">
        <v>835</v>
      </c>
      <c r="D52" s="11" t="s">
        <v>836</v>
      </c>
      <c r="E52" s="11" t="s">
        <v>837</v>
      </c>
      <c r="F52" s="11" t="s">
        <v>838</v>
      </c>
      <c r="G52" s="11" t="s">
        <v>839</v>
      </c>
      <c r="H52" s="11" t="s">
        <v>840</v>
      </c>
      <c r="I52" s="11" t="s">
        <v>513</v>
      </c>
      <c r="J52" s="11" t="s">
        <v>531</v>
      </c>
      <c r="K52" s="12" t="n">
        <v>500</v>
      </c>
      <c r="L52" s="12" t="n">
        <v>5000</v>
      </c>
      <c r="M52" s="11" t="s">
        <v>515</v>
      </c>
      <c r="N52" s="11"/>
      <c r="O52" s="10" t="str">
        <f aca="false">IF(COUNTA(B52:N52)=0,"",IF(OR(B52="",C52="",D52="",E52="",G52="",H52="",I52="",J52=""),"ناقص","OK"))</f>
        <v>OK</v>
      </c>
      <c r="P52" s="10" t="str">
        <f aca="false">IF(D52="","",B52&amp;" "&amp;C52&amp;" "&amp;D52&amp;" "&amp;E52&amp;" "&amp;F52&amp;" "&amp;G52)</f>
        <v>تحذيرات التابلوه نظام الثبات ESP لمبة ESP أو التحكم في الثبات منورة لمبة ESP، لمبة التحكم، ثبات، سيارة بتنزلق لمبة ESP عطل حساس زاوية الدركسيون أو حساس ABS</v>
      </c>
    </row>
    <row r="53" customFormat="false" ht="35.05" hidden="false" customHeight="false" outlineLevel="0" collapsed="false">
      <c r="A53" s="10" t="s">
        <v>841</v>
      </c>
      <c r="B53" s="11" t="s">
        <v>533</v>
      </c>
      <c r="C53" s="11" t="s">
        <v>842</v>
      </c>
      <c r="D53" s="11" t="s">
        <v>843</v>
      </c>
      <c r="E53" s="11" t="s">
        <v>844</v>
      </c>
      <c r="F53" s="11" t="s">
        <v>632</v>
      </c>
      <c r="G53" s="11" t="s">
        <v>845</v>
      </c>
      <c r="H53" s="11" t="s">
        <v>846</v>
      </c>
      <c r="I53" s="11" t="s">
        <v>513</v>
      </c>
      <c r="J53" s="11" t="s">
        <v>531</v>
      </c>
      <c r="K53" s="12" t="n">
        <v>100</v>
      </c>
      <c r="L53" s="12" t="n">
        <v>3000</v>
      </c>
      <c r="M53" s="11" t="s">
        <v>515</v>
      </c>
      <c r="N53" s="11"/>
      <c r="O53" s="10" t="str">
        <f aca="false">IF(COUNTA(B53:N53)=0,"",IF(OR(B53="",C53="",D53="",E53="",G53="",H53="",I53="",J53=""),"ناقص","OK"))</f>
        <v>OK</v>
      </c>
      <c r="P53" s="10" t="str">
        <f aca="false">IF(D53="","",B53&amp;" "&amp;C53&amp;" "&amp;D53&amp;" "&amp;E53&amp;" "&amp;F53&amp;" "&amp;G53)</f>
        <v>تحذيرات التابلوه الفرامل اليد / زيت الفرامل لمبة الفرامل حمرا منورة لمبة الفرامل، لمبة الفرامل اليد، لمبة حمرا لمبة الفرامل الفرامل اليد مرفوعة أو مستوى زيت الفرامل ناقص</v>
      </c>
    </row>
    <row r="54" customFormat="false" ht="35.05" hidden="false" customHeight="false" outlineLevel="0" collapsed="false">
      <c r="A54" s="10" t="s">
        <v>847</v>
      </c>
      <c r="B54" s="11" t="s">
        <v>533</v>
      </c>
      <c r="C54" s="11" t="s">
        <v>848</v>
      </c>
      <c r="D54" s="11" t="s">
        <v>849</v>
      </c>
      <c r="E54" s="11" t="s">
        <v>850</v>
      </c>
      <c r="F54" s="11" t="s">
        <v>851</v>
      </c>
      <c r="G54" s="11" t="s">
        <v>852</v>
      </c>
      <c r="H54" s="11" t="s">
        <v>853</v>
      </c>
      <c r="I54" s="11" t="s">
        <v>568</v>
      </c>
      <c r="J54" s="11" t="s">
        <v>83</v>
      </c>
      <c r="K54" s="12" t="n">
        <v>300</v>
      </c>
      <c r="L54" s="12" t="n">
        <v>2500</v>
      </c>
      <c r="M54" s="11" t="s">
        <v>515</v>
      </c>
      <c r="N54" s="11"/>
      <c r="O54" s="10" t="str">
        <f aca="false">IF(COUNTA(B54:N54)=0,"",IF(OR(B54="",C54="",D54="",E54="",G54="",H54="",I54="",J54=""),"ناقص","OK"))</f>
        <v>OK</v>
      </c>
      <c r="P54" s="10" t="str">
        <f aca="false">IF(D54="","",B54&amp;" "&amp;C54&amp;" "&amp;D54&amp;" "&amp;E54&amp;" "&amp;F54&amp;" "&amp;G54)</f>
        <v>تحذيرات التابلوه نظام الصيانة لمبة الصيانة (سيرفيس) منورة لمبة السيرفيس، لمبة المفتاح، ميعاد الصيانة لمبة صيانة ميعاد الصيانة الدورية وصل</v>
      </c>
    </row>
    <row r="55" customFormat="false" ht="35.05" hidden="false" customHeight="false" outlineLevel="0" collapsed="false">
      <c r="A55" s="10" t="s">
        <v>854</v>
      </c>
      <c r="B55" s="11" t="s">
        <v>181</v>
      </c>
      <c r="C55" s="11" t="s">
        <v>855</v>
      </c>
      <c r="D55" s="11" t="s">
        <v>856</v>
      </c>
      <c r="E55" s="11" t="s">
        <v>857</v>
      </c>
      <c r="F55" s="11"/>
      <c r="G55" s="11" t="s">
        <v>858</v>
      </c>
      <c r="H55" s="11" t="s">
        <v>859</v>
      </c>
      <c r="I55" s="11" t="s">
        <v>547</v>
      </c>
      <c r="J55" s="11" t="s">
        <v>514</v>
      </c>
      <c r="K55" s="12" t="n">
        <v>300</v>
      </c>
      <c r="L55" s="12" t="n">
        <v>4000</v>
      </c>
      <c r="M55" s="11" t="s">
        <v>515</v>
      </c>
      <c r="N55" s="11"/>
      <c r="O55" s="10" t="str">
        <f aca="false">IF(COUNTA(B55:N55)=0,"",IF(OR(B55="",C55="",D55="",E55="",G55="",H55="",I55="",J55=""),"ناقص","OK"))</f>
        <v>OK</v>
      </c>
      <c r="P55" s="10" t="str">
        <f aca="false">IF(D55="","",B55&amp;" "&amp;C55&amp;" "&amp;D55&amp;" "&amp;E55&amp;" "&amp;F55&amp;" "&amp;G55)</f>
        <v>كهرباء الأسلاك / الكهرباء ريحة حريق أو بلاستيك محروق جوه العربية ريحة حريق، شياط، بلاستيك محروق، دخان  ماس كهربائي أو سخونة وصلة</v>
      </c>
    </row>
    <row r="56" customFormat="false" ht="23.85" hidden="false" customHeight="false" outlineLevel="0" collapsed="false">
      <c r="A56" s="10" t="s">
        <v>860</v>
      </c>
      <c r="B56" s="11" t="s">
        <v>861</v>
      </c>
      <c r="C56" s="11" t="s">
        <v>862</v>
      </c>
      <c r="D56" s="11" t="s">
        <v>863</v>
      </c>
      <c r="E56" s="11" t="s">
        <v>864</v>
      </c>
      <c r="F56" s="11"/>
      <c r="G56" s="11" t="s">
        <v>865</v>
      </c>
      <c r="H56" s="11" t="s">
        <v>866</v>
      </c>
      <c r="I56" s="11" t="s">
        <v>568</v>
      </c>
      <c r="J56" s="11" t="s">
        <v>531</v>
      </c>
      <c r="K56" s="12" t="n">
        <v>200</v>
      </c>
      <c r="L56" s="12" t="n">
        <v>1200</v>
      </c>
      <c r="M56" s="11" t="s">
        <v>515</v>
      </c>
      <c r="N56" s="11"/>
      <c r="O56" s="10" t="str">
        <f aca="false">IF(COUNTA(B56:N56)=0,"",IF(OR(B56="",C56="",D56="",E56="",G56="",H56="",I56="",J56=""),"ناقص","OK"))</f>
        <v>OK</v>
      </c>
      <c r="P56" s="10" t="str">
        <f aca="false">IF(D56="","",B56&amp;" "&amp;C56&amp;" "&amp;D56&amp;" "&amp;E56&amp;" "&amp;F56&amp;" "&amp;G56)</f>
        <v>أخرى السيور صوت صرير أو صفير من السيور وقت التشغيل سير، زيق، صفير، سير الدينامو، سير المروحة  سير مفكوك أو متآكل</v>
      </c>
    </row>
    <row r="57" customFormat="false" ht="35.05" hidden="false" customHeight="false" outlineLevel="0" collapsed="false">
      <c r="A57" s="10" t="s">
        <v>867</v>
      </c>
      <c r="B57" s="11" t="s">
        <v>524</v>
      </c>
      <c r="C57" s="11" t="s">
        <v>868</v>
      </c>
      <c r="D57" s="11" t="s">
        <v>869</v>
      </c>
      <c r="E57" s="11" t="s">
        <v>870</v>
      </c>
      <c r="F57" s="11" t="s">
        <v>871</v>
      </c>
      <c r="G57" s="11" t="s">
        <v>872</v>
      </c>
      <c r="H57" s="11" t="s">
        <v>873</v>
      </c>
      <c r="I57" s="11" t="s">
        <v>513</v>
      </c>
      <c r="J57" s="11" t="s">
        <v>531</v>
      </c>
      <c r="K57" s="12" t="n">
        <v>300</v>
      </c>
      <c r="L57" s="12" t="n">
        <v>4000</v>
      </c>
      <c r="M57" s="11" t="s">
        <v>515</v>
      </c>
      <c r="N57" s="11"/>
      <c r="O57" s="10" t="str">
        <f aca="false">IF(COUNTA(B57:N57)=0,"",IF(OR(B57="",C57="",D57="",E57="",G57="",H57="",I57="",J57=""),"ناقص","OK"))</f>
        <v>OK</v>
      </c>
      <c r="P57" s="10" t="str">
        <f aca="false">IF(D57="","",B57&amp;" "&amp;C57&amp;" "&amp;D57&amp;" "&amp;E57&amp;" "&amp;F57&amp;" "&amp;G57)</f>
        <v>محرك جوان غطاء الصمامات / الكارتير بقع زيت تحت العربية بقع زيت، بتنقط زيت، تسريب زيت لمبة الزيت تلف جوان غطاء الصمامات أو الكارتير</v>
      </c>
    </row>
    <row r="58" customFormat="false" ht="15" hidden="false" customHeight="false" outlineLevel="0" collapsed="false">
      <c r="A58" s="10" t="s">
        <v>874</v>
      </c>
      <c r="B58" s="11"/>
      <c r="C58" s="11"/>
      <c r="D58" s="11"/>
      <c r="E58" s="11"/>
      <c r="F58" s="11"/>
      <c r="G58" s="11"/>
      <c r="H58" s="11"/>
      <c r="I58" s="11"/>
      <c r="J58" s="11"/>
      <c r="K58" s="12"/>
      <c r="L58" s="12"/>
      <c r="M58" s="11"/>
      <c r="N58" s="11"/>
      <c r="O58" s="10" t="str">
        <f aca="false">IF(COUNTA(B58:N58)=0,"",IF(OR(B58="",C58="",D58="",E58="",G58="",H58="",I58="",J58=""),"ناقص","OK"))</f>
        <v/>
      </c>
      <c r="P58" s="10" t="str">
        <f aca="false">IF(D58="","",B58&amp;" "&amp;C58&amp;" "&amp;D58&amp;" "&amp;E58&amp;" "&amp;F58&amp;" "&amp;G58)</f>
        <v/>
      </c>
    </row>
    <row r="59" customFormat="false" ht="15" hidden="false" customHeight="false" outlineLevel="0" collapsed="false">
      <c r="A59" s="10" t="s">
        <v>875</v>
      </c>
      <c r="B59" s="11"/>
      <c r="C59" s="11"/>
      <c r="D59" s="11"/>
      <c r="E59" s="11"/>
      <c r="F59" s="11"/>
      <c r="G59" s="11"/>
      <c r="H59" s="11"/>
      <c r="I59" s="11"/>
      <c r="J59" s="11"/>
      <c r="K59" s="12"/>
      <c r="L59" s="12"/>
      <c r="M59" s="11"/>
      <c r="N59" s="11"/>
      <c r="O59" s="10" t="str">
        <f aca="false">IF(COUNTA(B59:N59)=0,"",IF(OR(B59="",C59="",D59="",E59="",G59="",H59="",I59="",J59=""),"ناقص","OK"))</f>
        <v/>
      </c>
      <c r="P59" s="10" t="str">
        <f aca="false">IF(D59="","",B59&amp;" "&amp;C59&amp;" "&amp;D59&amp;" "&amp;E59&amp;" "&amp;F59&amp;" "&amp;G59)</f>
        <v/>
      </c>
    </row>
    <row r="60" customFormat="false" ht="15" hidden="false" customHeight="false" outlineLevel="0" collapsed="false">
      <c r="A60" s="10" t="s">
        <v>876</v>
      </c>
      <c r="B60" s="11"/>
      <c r="C60" s="11"/>
      <c r="D60" s="11"/>
      <c r="E60" s="11"/>
      <c r="F60" s="11"/>
      <c r="G60" s="11"/>
      <c r="H60" s="11"/>
      <c r="I60" s="11"/>
      <c r="J60" s="11"/>
      <c r="K60" s="12"/>
      <c r="L60" s="12"/>
      <c r="M60" s="11"/>
      <c r="N60" s="11"/>
      <c r="O60" s="10" t="str">
        <f aca="false">IF(COUNTA(B60:N60)=0,"",IF(OR(B60="",C60="",D60="",E60="",G60="",H60="",I60="",J60=""),"ناقص","OK"))</f>
        <v/>
      </c>
      <c r="P60" s="10" t="str">
        <f aca="false">IF(D60="","",B60&amp;" "&amp;C60&amp;" "&amp;D60&amp;" "&amp;E60&amp;" "&amp;F60&amp;" "&amp;G60)</f>
        <v/>
      </c>
    </row>
    <row r="61" customFormat="false" ht="15" hidden="false" customHeight="false" outlineLevel="0" collapsed="false">
      <c r="A61" s="10" t="s">
        <v>877</v>
      </c>
      <c r="B61" s="11"/>
      <c r="C61" s="11"/>
      <c r="D61" s="11"/>
      <c r="E61" s="11"/>
      <c r="F61" s="11"/>
      <c r="G61" s="11"/>
      <c r="H61" s="11"/>
      <c r="I61" s="11"/>
      <c r="J61" s="11"/>
      <c r="K61" s="12"/>
      <c r="L61" s="12"/>
      <c r="M61" s="11"/>
      <c r="N61" s="11"/>
      <c r="O61" s="10" t="str">
        <f aca="false">IF(COUNTA(B61:N61)=0,"",IF(OR(B61="",C61="",D61="",E61="",G61="",H61="",I61="",J61=""),"ناقص","OK"))</f>
        <v/>
      </c>
      <c r="P61" s="10" t="str">
        <f aca="false">IF(D61="","",B61&amp;" "&amp;C61&amp;" "&amp;D61&amp;" "&amp;E61&amp;" "&amp;F61&amp;" "&amp;G61)</f>
        <v/>
      </c>
    </row>
    <row r="62" customFormat="false" ht="15" hidden="false" customHeight="false" outlineLevel="0" collapsed="false">
      <c r="A62" s="10" t="s">
        <v>878</v>
      </c>
      <c r="B62" s="11"/>
      <c r="C62" s="11"/>
      <c r="D62" s="11"/>
      <c r="E62" s="11"/>
      <c r="F62" s="11"/>
      <c r="G62" s="11"/>
      <c r="H62" s="11"/>
      <c r="I62" s="11"/>
      <c r="J62" s="11"/>
      <c r="K62" s="12"/>
      <c r="L62" s="12"/>
      <c r="M62" s="11"/>
      <c r="N62" s="11"/>
      <c r="O62" s="10" t="str">
        <f aca="false">IF(COUNTA(B62:N62)=0,"",IF(OR(B62="",C62="",D62="",E62="",G62="",H62="",I62="",J62=""),"ناقص","OK"))</f>
        <v/>
      </c>
      <c r="P62" s="10" t="str">
        <f aca="false">IF(D62="","",B62&amp;" "&amp;C62&amp;" "&amp;D62&amp;" "&amp;E62&amp;" "&amp;F62&amp;" "&amp;G62)</f>
        <v/>
      </c>
    </row>
    <row r="63" customFormat="false" ht="15" hidden="false" customHeight="false" outlineLevel="0" collapsed="false">
      <c r="A63" s="10" t="s">
        <v>879</v>
      </c>
      <c r="B63" s="11"/>
      <c r="C63" s="11"/>
      <c r="D63" s="11"/>
      <c r="E63" s="11"/>
      <c r="F63" s="11"/>
      <c r="G63" s="11"/>
      <c r="H63" s="11"/>
      <c r="I63" s="11"/>
      <c r="J63" s="11"/>
      <c r="K63" s="12"/>
      <c r="L63" s="12"/>
      <c r="M63" s="11"/>
      <c r="N63" s="11"/>
      <c r="O63" s="10" t="str">
        <f aca="false">IF(COUNTA(B63:N63)=0,"",IF(OR(B63="",C63="",D63="",E63="",G63="",H63="",I63="",J63=""),"ناقص","OK"))</f>
        <v/>
      </c>
      <c r="P63" s="10" t="str">
        <f aca="false">IF(D63="","",B63&amp;" "&amp;C63&amp;" "&amp;D63&amp;" "&amp;E63&amp;" "&amp;F63&amp;" "&amp;G63)</f>
        <v/>
      </c>
    </row>
    <row r="64" customFormat="false" ht="15" hidden="false" customHeight="false" outlineLevel="0" collapsed="false">
      <c r="A64" s="10" t="s">
        <v>880</v>
      </c>
      <c r="B64" s="11"/>
      <c r="C64" s="11"/>
      <c r="D64" s="11"/>
      <c r="E64" s="11"/>
      <c r="F64" s="11"/>
      <c r="G64" s="11"/>
      <c r="H64" s="11"/>
      <c r="I64" s="11"/>
      <c r="J64" s="11"/>
      <c r="K64" s="12"/>
      <c r="L64" s="12"/>
      <c r="M64" s="11"/>
      <c r="N64" s="11"/>
      <c r="O64" s="10" t="str">
        <f aca="false">IF(COUNTA(B64:N64)=0,"",IF(OR(B64="",C64="",D64="",E64="",G64="",H64="",I64="",J64=""),"ناقص","OK"))</f>
        <v/>
      </c>
      <c r="P64" s="10" t="str">
        <f aca="false">IF(D64="","",B64&amp;" "&amp;C64&amp;" "&amp;D64&amp;" "&amp;E64&amp;" "&amp;F64&amp;" "&amp;G64)</f>
        <v/>
      </c>
    </row>
    <row r="65" customFormat="false" ht="15" hidden="false" customHeight="false" outlineLevel="0" collapsed="false">
      <c r="A65" s="10" t="s">
        <v>881</v>
      </c>
      <c r="B65" s="11"/>
      <c r="C65" s="11"/>
      <c r="D65" s="11"/>
      <c r="E65" s="11"/>
      <c r="F65" s="11"/>
      <c r="G65" s="11"/>
      <c r="H65" s="11"/>
      <c r="I65" s="11"/>
      <c r="J65" s="11"/>
      <c r="K65" s="12"/>
      <c r="L65" s="12"/>
      <c r="M65" s="11"/>
      <c r="N65" s="11"/>
      <c r="O65" s="10" t="str">
        <f aca="false">IF(COUNTA(B65:N65)=0,"",IF(OR(B65="",C65="",D65="",E65="",G65="",H65="",I65="",J65=""),"ناقص","OK"))</f>
        <v/>
      </c>
      <c r="P65" s="10" t="str">
        <f aca="false">IF(D65="","",B65&amp;" "&amp;C65&amp;" "&amp;D65&amp;" "&amp;E65&amp;" "&amp;F65&amp;" "&amp;G65)</f>
        <v/>
      </c>
    </row>
    <row r="66" customFormat="false" ht="15" hidden="false" customHeight="false" outlineLevel="0" collapsed="false">
      <c r="A66" s="10" t="s">
        <v>882</v>
      </c>
      <c r="B66" s="11"/>
      <c r="C66" s="11"/>
      <c r="D66" s="11"/>
      <c r="E66" s="11"/>
      <c r="F66" s="11"/>
      <c r="G66" s="11"/>
      <c r="H66" s="11"/>
      <c r="I66" s="11"/>
      <c r="J66" s="11"/>
      <c r="K66" s="12"/>
      <c r="L66" s="12"/>
      <c r="M66" s="11"/>
      <c r="N66" s="11"/>
      <c r="O66" s="10" t="str">
        <f aca="false">IF(COUNTA(B66:N66)=0,"",IF(OR(B66="",C66="",D66="",E66="",G66="",H66="",I66="",J66=""),"ناقص","OK"))</f>
        <v/>
      </c>
      <c r="P66" s="10" t="str">
        <f aca="false">IF(D66="","",B66&amp;" "&amp;C66&amp;" "&amp;D66&amp;" "&amp;E66&amp;" "&amp;F66&amp;" "&amp;G66)</f>
        <v/>
      </c>
    </row>
    <row r="67" customFormat="false" ht="15" hidden="false" customHeight="false" outlineLevel="0" collapsed="false">
      <c r="A67" s="10" t="s">
        <v>883</v>
      </c>
      <c r="B67" s="11"/>
      <c r="C67" s="11"/>
      <c r="D67" s="11"/>
      <c r="E67" s="11"/>
      <c r="F67" s="11"/>
      <c r="G67" s="11"/>
      <c r="H67" s="11"/>
      <c r="I67" s="11"/>
      <c r="J67" s="11"/>
      <c r="K67" s="12"/>
      <c r="L67" s="12"/>
      <c r="M67" s="11"/>
      <c r="N67" s="11"/>
      <c r="O67" s="10" t="str">
        <f aca="false">IF(COUNTA(B67:N67)=0,"",IF(OR(B67="",C67="",D67="",E67="",G67="",H67="",I67="",J67=""),"ناقص","OK"))</f>
        <v/>
      </c>
      <c r="P67" s="10" t="str">
        <f aca="false">IF(D67="","",B67&amp;" "&amp;C67&amp;" "&amp;D67&amp;" "&amp;E67&amp;" "&amp;F67&amp;" "&amp;G67)</f>
        <v/>
      </c>
    </row>
    <row r="68" customFormat="false" ht="15" hidden="false" customHeight="false" outlineLevel="0" collapsed="false">
      <c r="A68" s="10" t="s">
        <v>884</v>
      </c>
      <c r="B68" s="11"/>
      <c r="C68" s="11"/>
      <c r="D68" s="11"/>
      <c r="E68" s="11"/>
      <c r="F68" s="11"/>
      <c r="G68" s="11"/>
      <c r="H68" s="11"/>
      <c r="I68" s="11"/>
      <c r="J68" s="11"/>
      <c r="K68" s="12"/>
      <c r="L68" s="12"/>
      <c r="M68" s="11"/>
      <c r="N68" s="11"/>
      <c r="O68" s="10" t="str">
        <f aca="false">IF(COUNTA(B68:N68)=0,"",IF(OR(B68="",C68="",D68="",E68="",G68="",H68="",I68="",J68=""),"ناقص","OK"))</f>
        <v/>
      </c>
      <c r="P68" s="10" t="str">
        <f aca="false">IF(D68="","",B68&amp;" "&amp;C68&amp;" "&amp;D68&amp;" "&amp;E68&amp;" "&amp;F68&amp;" "&amp;G68)</f>
        <v/>
      </c>
    </row>
    <row r="69" customFormat="false" ht="15" hidden="false" customHeight="false" outlineLevel="0" collapsed="false">
      <c r="A69" s="10" t="s">
        <v>885</v>
      </c>
      <c r="B69" s="11"/>
      <c r="C69" s="11"/>
      <c r="D69" s="11"/>
      <c r="E69" s="11"/>
      <c r="F69" s="11"/>
      <c r="G69" s="11"/>
      <c r="H69" s="11"/>
      <c r="I69" s="11"/>
      <c r="J69" s="11"/>
      <c r="K69" s="12"/>
      <c r="L69" s="12"/>
      <c r="M69" s="11"/>
      <c r="N69" s="11"/>
      <c r="O69" s="10" t="str">
        <f aca="false">IF(COUNTA(B69:N69)=0,"",IF(OR(B69="",C69="",D69="",E69="",G69="",H69="",I69="",J69=""),"ناقص","OK"))</f>
        <v/>
      </c>
      <c r="P69" s="10" t="str">
        <f aca="false">IF(D69="","",B69&amp;" "&amp;C69&amp;" "&amp;D69&amp;" "&amp;E69&amp;" "&amp;F69&amp;" "&amp;G69)</f>
        <v/>
      </c>
    </row>
    <row r="70" customFormat="false" ht="15" hidden="false" customHeight="false" outlineLevel="0" collapsed="false">
      <c r="A70" s="10" t="s">
        <v>886</v>
      </c>
      <c r="B70" s="11"/>
      <c r="C70" s="11"/>
      <c r="D70" s="11"/>
      <c r="E70" s="11"/>
      <c r="F70" s="11"/>
      <c r="G70" s="11"/>
      <c r="H70" s="11"/>
      <c r="I70" s="11"/>
      <c r="J70" s="11"/>
      <c r="K70" s="12"/>
      <c r="L70" s="12"/>
      <c r="M70" s="11"/>
      <c r="N70" s="11"/>
      <c r="O70" s="10" t="str">
        <f aca="false">IF(COUNTA(B70:N70)=0,"",IF(OR(B70="",C70="",D70="",E70="",G70="",H70="",I70="",J70=""),"ناقص","OK"))</f>
        <v/>
      </c>
      <c r="P70" s="10" t="str">
        <f aca="false">IF(D70="","",B70&amp;" "&amp;C70&amp;" "&amp;D70&amp;" "&amp;E70&amp;" "&amp;F70&amp;" "&amp;G70)</f>
        <v/>
      </c>
    </row>
    <row r="71" customFormat="false" ht="15" hidden="false" customHeight="false" outlineLevel="0" collapsed="false">
      <c r="A71" s="10" t="s">
        <v>887</v>
      </c>
      <c r="B71" s="11"/>
      <c r="C71" s="11"/>
      <c r="D71" s="11"/>
      <c r="E71" s="11"/>
      <c r="F71" s="11"/>
      <c r="G71" s="11"/>
      <c r="H71" s="11"/>
      <c r="I71" s="11"/>
      <c r="J71" s="11"/>
      <c r="K71" s="12"/>
      <c r="L71" s="12"/>
      <c r="M71" s="11"/>
      <c r="N71" s="11"/>
      <c r="O71" s="10" t="str">
        <f aca="false">IF(COUNTA(B71:N71)=0,"",IF(OR(B71="",C71="",D71="",E71="",G71="",H71="",I71="",J71=""),"ناقص","OK"))</f>
        <v/>
      </c>
      <c r="P71" s="10" t="str">
        <f aca="false">IF(D71="","",B71&amp;" "&amp;C71&amp;" "&amp;D71&amp;" "&amp;E71&amp;" "&amp;F71&amp;" "&amp;G71)</f>
        <v/>
      </c>
    </row>
    <row r="72" customFormat="false" ht="15" hidden="false" customHeight="false" outlineLevel="0" collapsed="false">
      <c r="A72" s="10" t="s">
        <v>888</v>
      </c>
      <c r="B72" s="11"/>
      <c r="C72" s="11"/>
      <c r="D72" s="11"/>
      <c r="E72" s="11"/>
      <c r="F72" s="11"/>
      <c r="G72" s="11"/>
      <c r="H72" s="11"/>
      <c r="I72" s="11"/>
      <c r="J72" s="11"/>
      <c r="K72" s="12"/>
      <c r="L72" s="12"/>
      <c r="M72" s="11"/>
      <c r="N72" s="11"/>
      <c r="O72" s="10" t="str">
        <f aca="false">IF(COUNTA(B72:N72)=0,"",IF(OR(B72="",C72="",D72="",E72="",G72="",H72="",I72="",J72=""),"ناقص","OK"))</f>
        <v/>
      </c>
      <c r="P72" s="10" t="str">
        <f aca="false">IF(D72="","",B72&amp;" "&amp;C72&amp;" "&amp;D72&amp;" "&amp;E72&amp;" "&amp;F72&amp;" "&amp;G72)</f>
        <v/>
      </c>
    </row>
    <row r="73" customFormat="false" ht="15" hidden="false" customHeight="false" outlineLevel="0" collapsed="false">
      <c r="A73" s="10" t="s">
        <v>889</v>
      </c>
      <c r="B73" s="11"/>
      <c r="C73" s="11"/>
      <c r="D73" s="11"/>
      <c r="E73" s="11"/>
      <c r="F73" s="11"/>
      <c r="G73" s="11"/>
      <c r="H73" s="11"/>
      <c r="I73" s="11"/>
      <c r="J73" s="11"/>
      <c r="K73" s="12"/>
      <c r="L73" s="12"/>
      <c r="M73" s="11"/>
      <c r="N73" s="11"/>
      <c r="O73" s="10" t="str">
        <f aca="false">IF(COUNTA(B73:N73)=0,"",IF(OR(B73="",C73="",D73="",E73="",G73="",H73="",I73="",J73=""),"ناقص","OK"))</f>
        <v/>
      </c>
      <c r="P73" s="10" t="str">
        <f aca="false">IF(D73="","",B73&amp;" "&amp;C73&amp;" "&amp;D73&amp;" "&amp;E73&amp;" "&amp;F73&amp;" "&amp;G73)</f>
        <v/>
      </c>
    </row>
    <row r="74" customFormat="false" ht="15" hidden="false" customHeight="false" outlineLevel="0" collapsed="false">
      <c r="A74" s="10" t="s">
        <v>890</v>
      </c>
      <c r="B74" s="11"/>
      <c r="C74" s="11"/>
      <c r="D74" s="11"/>
      <c r="E74" s="11"/>
      <c r="F74" s="11"/>
      <c r="G74" s="11"/>
      <c r="H74" s="11"/>
      <c r="I74" s="11"/>
      <c r="J74" s="11"/>
      <c r="K74" s="12"/>
      <c r="L74" s="12"/>
      <c r="M74" s="11"/>
      <c r="N74" s="11"/>
      <c r="O74" s="10" t="str">
        <f aca="false">IF(COUNTA(B74:N74)=0,"",IF(OR(B74="",C74="",D74="",E74="",G74="",H74="",I74="",J74=""),"ناقص","OK"))</f>
        <v/>
      </c>
      <c r="P74" s="10" t="str">
        <f aca="false">IF(D74="","",B74&amp;" "&amp;C74&amp;" "&amp;D74&amp;" "&amp;E74&amp;" "&amp;F74&amp;" "&amp;G74)</f>
        <v/>
      </c>
    </row>
    <row r="75" customFormat="false" ht="15" hidden="false" customHeight="false" outlineLevel="0" collapsed="false">
      <c r="A75" s="10" t="s">
        <v>891</v>
      </c>
      <c r="B75" s="11"/>
      <c r="C75" s="11"/>
      <c r="D75" s="11"/>
      <c r="E75" s="11"/>
      <c r="F75" s="11"/>
      <c r="G75" s="11"/>
      <c r="H75" s="11"/>
      <c r="I75" s="11"/>
      <c r="J75" s="11"/>
      <c r="K75" s="12"/>
      <c r="L75" s="12"/>
      <c r="M75" s="11"/>
      <c r="N75" s="11"/>
      <c r="O75" s="10" t="str">
        <f aca="false">IF(COUNTA(B75:N75)=0,"",IF(OR(B75="",C75="",D75="",E75="",G75="",H75="",I75="",J75=""),"ناقص","OK"))</f>
        <v/>
      </c>
      <c r="P75" s="10" t="str">
        <f aca="false">IF(D75="","",B75&amp;" "&amp;C75&amp;" "&amp;D75&amp;" "&amp;E75&amp;" "&amp;F75&amp;" "&amp;G75)</f>
        <v/>
      </c>
    </row>
    <row r="76" customFormat="false" ht="15" hidden="false" customHeight="false" outlineLevel="0" collapsed="false">
      <c r="A76" s="10" t="s">
        <v>892</v>
      </c>
      <c r="B76" s="11"/>
      <c r="C76" s="11"/>
      <c r="D76" s="11"/>
      <c r="E76" s="11"/>
      <c r="F76" s="11"/>
      <c r="G76" s="11"/>
      <c r="H76" s="11"/>
      <c r="I76" s="11"/>
      <c r="J76" s="11"/>
      <c r="K76" s="12"/>
      <c r="L76" s="12"/>
      <c r="M76" s="11"/>
      <c r="N76" s="11"/>
      <c r="O76" s="10" t="str">
        <f aca="false">IF(COUNTA(B76:N76)=0,"",IF(OR(B76="",C76="",D76="",E76="",G76="",H76="",I76="",J76=""),"ناقص","OK"))</f>
        <v/>
      </c>
      <c r="P76" s="10" t="str">
        <f aca="false">IF(D76="","",B76&amp;" "&amp;C76&amp;" "&amp;D76&amp;" "&amp;E76&amp;" "&amp;F76&amp;" "&amp;G76)</f>
        <v/>
      </c>
    </row>
    <row r="77" customFormat="false" ht="15" hidden="false" customHeight="false" outlineLevel="0" collapsed="false">
      <c r="A77" s="10" t="s">
        <v>893</v>
      </c>
      <c r="B77" s="11"/>
      <c r="C77" s="11"/>
      <c r="D77" s="11"/>
      <c r="E77" s="11"/>
      <c r="F77" s="11"/>
      <c r="G77" s="11"/>
      <c r="H77" s="11"/>
      <c r="I77" s="11"/>
      <c r="J77" s="11"/>
      <c r="K77" s="12"/>
      <c r="L77" s="12"/>
      <c r="M77" s="11"/>
      <c r="N77" s="11"/>
      <c r="O77" s="10" t="str">
        <f aca="false">IF(COUNTA(B77:N77)=0,"",IF(OR(B77="",C77="",D77="",E77="",G77="",H77="",I77="",J77=""),"ناقص","OK"))</f>
        <v/>
      </c>
      <c r="P77" s="10" t="str">
        <f aca="false">IF(D77="","",B77&amp;" "&amp;C77&amp;" "&amp;D77&amp;" "&amp;E77&amp;" "&amp;F77&amp;" "&amp;G77)</f>
        <v/>
      </c>
    </row>
    <row r="78" customFormat="false" ht="15" hidden="false" customHeight="false" outlineLevel="0" collapsed="false">
      <c r="A78" s="10" t="s">
        <v>894</v>
      </c>
      <c r="B78" s="11"/>
      <c r="C78" s="11"/>
      <c r="D78" s="11"/>
      <c r="E78" s="11"/>
      <c r="F78" s="11"/>
      <c r="G78" s="11"/>
      <c r="H78" s="11"/>
      <c r="I78" s="11"/>
      <c r="J78" s="11"/>
      <c r="K78" s="12"/>
      <c r="L78" s="12"/>
      <c r="M78" s="11"/>
      <c r="N78" s="11"/>
      <c r="O78" s="10" t="str">
        <f aca="false">IF(COUNTA(B78:N78)=0,"",IF(OR(B78="",C78="",D78="",E78="",G78="",H78="",I78="",J78=""),"ناقص","OK"))</f>
        <v/>
      </c>
      <c r="P78" s="10" t="str">
        <f aca="false">IF(D78="","",B78&amp;" "&amp;C78&amp;" "&amp;D78&amp;" "&amp;E78&amp;" "&amp;F78&amp;" "&amp;G78)</f>
        <v/>
      </c>
    </row>
    <row r="79" customFormat="false" ht="15" hidden="false" customHeight="false" outlineLevel="0" collapsed="false">
      <c r="A79" s="10" t="s">
        <v>895</v>
      </c>
      <c r="B79" s="11"/>
      <c r="C79" s="11"/>
      <c r="D79" s="11"/>
      <c r="E79" s="11"/>
      <c r="F79" s="11"/>
      <c r="G79" s="11"/>
      <c r="H79" s="11"/>
      <c r="I79" s="11"/>
      <c r="J79" s="11"/>
      <c r="K79" s="12"/>
      <c r="L79" s="12"/>
      <c r="M79" s="11"/>
      <c r="N79" s="11"/>
      <c r="O79" s="10" t="str">
        <f aca="false">IF(COUNTA(B79:N79)=0,"",IF(OR(B79="",C79="",D79="",E79="",G79="",H79="",I79="",J79=""),"ناقص","OK"))</f>
        <v/>
      </c>
      <c r="P79" s="10" t="str">
        <f aca="false">IF(D79="","",B79&amp;" "&amp;C79&amp;" "&amp;D79&amp;" "&amp;E79&amp;" "&amp;F79&amp;" "&amp;G79)</f>
        <v/>
      </c>
    </row>
    <row r="80" customFormat="false" ht="15" hidden="false" customHeight="false" outlineLevel="0" collapsed="false">
      <c r="A80" s="10" t="s">
        <v>896</v>
      </c>
      <c r="B80" s="11"/>
      <c r="C80" s="11"/>
      <c r="D80" s="11"/>
      <c r="E80" s="11"/>
      <c r="F80" s="11"/>
      <c r="G80" s="11"/>
      <c r="H80" s="11"/>
      <c r="I80" s="11"/>
      <c r="J80" s="11"/>
      <c r="K80" s="12"/>
      <c r="L80" s="12"/>
      <c r="M80" s="11"/>
      <c r="N80" s="11"/>
      <c r="O80" s="10" t="str">
        <f aca="false">IF(COUNTA(B80:N80)=0,"",IF(OR(B80="",C80="",D80="",E80="",G80="",H80="",I80="",J80=""),"ناقص","OK"))</f>
        <v/>
      </c>
      <c r="P80" s="10" t="str">
        <f aca="false">IF(D80="","",B80&amp;" "&amp;C80&amp;" "&amp;D80&amp;" "&amp;E80&amp;" "&amp;F80&amp;" "&amp;G80)</f>
        <v/>
      </c>
    </row>
    <row r="81" customFormat="false" ht="15" hidden="false" customHeight="false" outlineLevel="0" collapsed="false">
      <c r="A81" s="10" t="s">
        <v>897</v>
      </c>
      <c r="B81" s="11"/>
      <c r="C81" s="11"/>
      <c r="D81" s="11"/>
      <c r="E81" s="11"/>
      <c r="F81" s="11"/>
      <c r="G81" s="11"/>
      <c r="H81" s="11"/>
      <c r="I81" s="11"/>
      <c r="J81" s="11"/>
      <c r="K81" s="12"/>
      <c r="L81" s="12"/>
      <c r="M81" s="11"/>
      <c r="N81" s="11"/>
      <c r="O81" s="10" t="str">
        <f aca="false">IF(COUNTA(B81:N81)=0,"",IF(OR(B81="",C81="",D81="",E81="",G81="",H81="",I81="",J81=""),"ناقص","OK"))</f>
        <v/>
      </c>
      <c r="P81" s="10" t="str">
        <f aca="false">IF(D81="","",B81&amp;" "&amp;C81&amp;" "&amp;D81&amp;" "&amp;E81&amp;" "&amp;F81&amp;" "&amp;G81)</f>
        <v/>
      </c>
    </row>
    <row r="82" customFormat="false" ht="15" hidden="false" customHeight="false" outlineLevel="0" collapsed="false">
      <c r="A82" s="10" t="s">
        <v>898</v>
      </c>
      <c r="B82" s="11"/>
      <c r="C82" s="11"/>
      <c r="D82" s="11"/>
      <c r="E82" s="11"/>
      <c r="F82" s="11"/>
      <c r="G82" s="11"/>
      <c r="H82" s="11"/>
      <c r="I82" s="11"/>
      <c r="J82" s="11"/>
      <c r="K82" s="12"/>
      <c r="L82" s="12"/>
      <c r="M82" s="11"/>
      <c r="N82" s="11"/>
      <c r="O82" s="10" t="str">
        <f aca="false">IF(COUNTA(B82:N82)=0,"",IF(OR(B82="",C82="",D82="",E82="",G82="",H82="",I82="",J82=""),"ناقص","OK"))</f>
        <v/>
      </c>
      <c r="P82" s="10" t="str">
        <f aca="false">IF(D82="","",B82&amp;" "&amp;C82&amp;" "&amp;D82&amp;" "&amp;E82&amp;" "&amp;F82&amp;" "&amp;G82)</f>
        <v/>
      </c>
    </row>
    <row r="83" customFormat="false" ht="15" hidden="false" customHeight="false" outlineLevel="0" collapsed="false">
      <c r="A83" s="10" t="s">
        <v>899</v>
      </c>
      <c r="B83" s="11"/>
      <c r="C83" s="11"/>
      <c r="D83" s="11"/>
      <c r="E83" s="11"/>
      <c r="F83" s="11"/>
      <c r="G83" s="11"/>
      <c r="H83" s="11"/>
      <c r="I83" s="11"/>
      <c r="J83" s="11"/>
      <c r="K83" s="12"/>
      <c r="L83" s="12"/>
      <c r="M83" s="11"/>
      <c r="N83" s="11"/>
      <c r="O83" s="10" t="str">
        <f aca="false">IF(COUNTA(B83:N83)=0,"",IF(OR(B83="",C83="",D83="",E83="",G83="",H83="",I83="",J83=""),"ناقص","OK"))</f>
        <v/>
      </c>
      <c r="P83" s="10" t="str">
        <f aca="false">IF(D83="","",B83&amp;" "&amp;C83&amp;" "&amp;D83&amp;" "&amp;E83&amp;" "&amp;F83&amp;" "&amp;G83)</f>
        <v/>
      </c>
    </row>
    <row r="84" customFormat="false" ht="15" hidden="false" customHeight="false" outlineLevel="0" collapsed="false">
      <c r="A84" s="10" t="s">
        <v>900</v>
      </c>
      <c r="B84" s="11"/>
      <c r="C84" s="11"/>
      <c r="D84" s="11"/>
      <c r="E84" s="11"/>
      <c r="F84" s="11"/>
      <c r="G84" s="11"/>
      <c r="H84" s="11"/>
      <c r="I84" s="11"/>
      <c r="J84" s="11"/>
      <c r="K84" s="12"/>
      <c r="L84" s="12"/>
      <c r="M84" s="11"/>
      <c r="N84" s="11"/>
      <c r="O84" s="10" t="str">
        <f aca="false">IF(COUNTA(B84:N84)=0,"",IF(OR(B84="",C84="",D84="",E84="",G84="",H84="",I84="",J84=""),"ناقص","OK"))</f>
        <v/>
      </c>
      <c r="P84" s="10" t="str">
        <f aca="false">IF(D84="","",B84&amp;" "&amp;C84&amp;" "&amp;D84&amp;" "&amp;E84&amp;" "&amp;F84&amp;" "&amp;G84)</f>
        <v/>
      </c>
    </row>
    <row r="85" customFormat="false" ht="15" hidden="false" customHeight="false" outlineLevel="0" collapsed="false">
      <c r="A85" s="10" t="s">
        <v>901</v>
      </c>
      <c r="B85" s="11"/>
      <c r="C85" s="11"/>
      <c r="D85" s="11"/>
      <c r="E85" s="11"/>
      <c r="F85" s="11"/>
      <c r="G85" s="11"/>
      <c r="H85" s="11"/>
      <c r="I85" s="11"/>
      <c r="J85" s="11"/>
      <c r="K85" s="12"/>
      <c r="L85" s="12"/>
      <c r="M85" s="11"/>
      <c r="N85" s="11"/>
      <c r="O85" s="10" t="str">
        <f aca="false">IF(COUNTA(B85:N85)=0,"",IF(OR(B85="",C85="",D85="",E85="",G85="",H85="",I85="",J85=""),"ناقص","OK"))</f>
        <v/>
      </c>
      <c r="P85" s="10" t="str">
        <f aca="false">IF(D85="","",B85&amp;" "&amp;C85&amp;" "&amp;D85&amp;" "&amp;E85&amp;" "&amp;F85&amp;" "&amp;G85)</f>
        <v/>
      </c>
    </row>
    <row r="86" customFormat="false" ht="15" hidden="false" customHeight="false" outlineLevel="0" collapsed="false">
      <c r="A86" s="10" t="s">
        <v>902</v>
      </c>
      <c r="B86" s="11"/>
      <c r="C86" s="11"/>
      <c r="D86" s="11"/>
      <c r="E86" s="11"/>
      <c r="F86" s="11"/>
      <c r="G86" s="11"/>
      <c r="H86" s="11"/>
      <c r="I86" s="11"/>
      <c r="J86" s="11"/>
      <c r="K86" s="12"/>
      <c r="L86" s="12"/>
      <c r="M86" s="11"/>
      <c r="N86" s="11"/>
      <c r="O86" s="10" t="str">
        <f aca="false">IF(COUNTA(B86:N86)=0,"",IF(OR(B86="",C86="",D86="",E86="",G86="",H86="",I86="",J86=""),"ناقص","OK"))</f>
        <v/>
      </c>
      <c r="P86" s="10" t="str">
        <f aca="false">IF(D86="","",B86&amp;" "&amp;C86&amp;" "&amp;D86&amp;" "&amp;E86&amp;" "&amp;F86&amp;" "&amp;G86)</f>
        <v/>
      </c>
    </row>
    <row r="87" customFormat="false" ht="15" hidden="false" customHeight="false" outlineLevel="0" collapsed="false">
      <c r="A87" s="10" t="s">
        <v>903</v>
      </c>
      <c r="B87" s="11"/>
      <c r="C87" s="11"/>
      <c r="D87" s="11"/>
      <c r="E87" s="11"/>
      <c r="F87" s="11"/>
      <c r="G87" s="11"/>
      <c r="H87" s="11"/>
      <c r="I87" s="11"/>
      <c r="J87" s="11"/>
      <c r="K87" s="12"/>
      <c r="L87" s="12"/>
      <c r="M87" s="11"/>
      <c r="N87" s="11"/>
      <c r="O87" s="10" t="str">
        <f aca="false">IF(COUNTA(B87:N87)=0,"",IF(OR(B87="",C87="",D87="",E87="",G87="",H87="",I87="",J87=""),"ناقص","OK"))</f>
        <v/>
      </c>
      <c r="P87" s="10" t="str">
        <f aca="false">IF(D87="","",B87&amp;" "&amp;C87&amp;" "&amp;D87&amp;" "&amp;E87&amp;" "&amp;F87&amp;" "&amp;G87)</f>
        <v/>
      </c>
    </row>
    <row r="88" customFormat="false" ht="15" hidden="false" customHeight="false" outlineLevel="0" collapsed="false">
      <c r="A88" s="10" t="s">
        <v>904</v>
      </c>
      <c r="B88" s="11"/>
      <c r="C88" s="11"/>
      <c r="D88" s="11"/>
      <c r="E88" s="11"/>
      <c r="F88" s="11"/>
      <c r="G88" s="11"/>
      <c r="H88" s="11"/>
      <c r="I88" s="11"/>
      <c r="J88" s="11"/>
      <c r="K88" s="12"/>
      <c r="L88" s="12"/>
      <c r="M88" s="11"/>
      <c r="N88" s="11"/>
      <c r="O88" s="10" t="str">
        <f aca="false">IF(COUNTA(B88:N88)=0,"",IF(OR(B88="",C88="",D88="",E88="",G88="",H88="",I88="",J88=""),"ناقص","OK"))</f>
        <v/>
      </c>
      <c r="P88" s="10" t="str">
        <f aca="false">IF(D88="","",B88&amp;" "&amp;C88&amp;" "&amp;D88&amp;" "&amp;E88&amp;" "&amp;F88&amp;" "&amp;G88)</f>
        <v/>
      </c>
    </row>
    <row r="89" customFormat="false" ht="15" hidden="false" customHeight="false" outlineLevel="0" collapsed="false">
      <c r="A89" s="10" t="s">
        <v>905</v>
      </c>
      <c r="B89" s="11"/>
      <c r="C89" s="11"/>
      <c r="D89" s="11"/>
      <c r="E89" s="11"/>
      <c r="F89" s="11"/>
      <c r="G89" s="11"/>
      <c r="H89" s="11"/>
      <c r="I89" s="11"/>
      <c r="J89" s="11"/>
      <c r="K89" s="12"/>
      <c r="L89" s="12"/>
      <c r="M89" s="11"/>
      <c r="N89" s="11"/>
      <c r="O89" s="10" t="str">
        <f aca="false">IF(COUNTA(B89:N89)=0,"",IF(OR(B89="",C89="",D89="",E89="",G89="",H89="",I89="",J89=""),"ناقص","OK"))</f>
        <v/>
      </c>
      <c r="P89" s="10" t="str">
        <f aca="false">IF(D89="","",B89&amp;" "&amp;C89&amp;" "&amp;D89&amp;" "&amp;E89&amp;" "&amp;F89&amp;" "&amp;G89)</f>
        <v/>
      </c>
    </row>
    <row r="90" customFormat="false" ht="15" hidden="false" customHeight="false" outlineLevel="0" collapsed="false">
      <c r="A90" s="10" t="s">
        <v>906</v>
      </c>
      <c r="B90" s="11"/>
      <c r="C90" s="11"/>
      <c r="D90" s="11"/>
      <c r="E90" s="11"/>
      <c r="F90" s="11"/>
      <c r="G90" s="11"/>
      <c r="H90" s="11"/>
      <c r="I90" s="11"/>
      <c r="J90" s="11"/>
      <c r="K90" s="12"/>
      <c r="L90" s="12"/>
      <c r="M90" s="11"/>
      <c r="N90" s="11"/>
      <c r="O90" s="10" t="str">
        <f aca="false">IF(COUNTA(B90:N90)=0,"",IF(OR(B90="",C90="",D90="",E90="",G90="",H90="",I90="",J90=""),"ناقص","OK"))</f>
        <v/>
      </c>
      <c r="P90" s="10" t="str">
        <f aca="false">IF(D90="","",B90&amp;" "&amp;C90&amp;" "&amp;D90&amp;" "&amp;E90&amp;" "&amp;F90&amp;" "&amp;G90)</f>
        <v/>
      </c>
    </row>
    <row r="91" customFormat="false" ht="15" hidden="false" customHeight="false" outlineLevel="0" collapsed="false">
      <c r="A91" s="10" t="s">
        <v>907</v>
      </c>
      <c r="B91" s="11"/>
      <c r="C91" s="11"/>
      <c r="D91" s="11"/>
      <c r="E91" s="11"/>
      <c r="F91" s="11"/>
      <c r="G91" s="11"/>
      <c r="H91" s="11"/>
      <c r="I91" s="11"/>
      <c r="J91" s="11"/>
      <c r="K91" s="12"/>
      <c r="L91" s="12"/>
      <c r="M91" s="11"/>
      <c r="N91" s="11"/>
      <c r="O91" s="10" t="str">
        <f aca="false">IF(COUNTA(B91:N91)=0,"",IF(OR(B91="",C91="",D91="",E91="",G91="",H91="",I91="",J91=""),"ناقص","OK"))</f>
        <v/>
      </c>
      <c r="P91" s="10" t="str">
        <f aca="false">IF(D91="","",B91&amp;" "&amp;C91&amp;" "&amp;D91&amp;" "&amp;E91&amp;" "&amp;F91&amp;" "&amp;G91)</f>
        <v/>
      </c>
    </row>
    <row r="92" customFormat="false" ht="15" hidden="false" customHeight="false" outlineLevel="0" collapsed="false">
      <c r="A92" s="10" t="s">
        <v>908</v>
      </c>
      <c r="B92" s="11"/>
      <c r="C92" s="11"/>
      <c r="D92" s="11"/>
      <c r="E92" s="11"/>
      <c r="F92" s="11"/>
      <c r="G92" s="11"/>
      <c r="H92" s="11"/>
      <c r="I92" s="11"/>
      <c r="J92" s="11"/>
      <c r="K92" s="12"/>
      <c r="L92" s="12"/>
      <c r="M92" s="11"/>
      <c r="N92" s="11"/>
      <c r="O92" s="10" t="str">
        <f aca="false">IF(COUNTA(B92:N92)=0,"",IF(OR(B92="",C92="",D92="",E92="",G92="",H92="",I92="",J92=""),"ناقص","OK"))</f>
        <v/>
      </c>
      <c r="P92" s="10" t="str">
        <f aca="false">IF(D92="","",B92&amp;" "&amp;C92&amp;" "&amp;D92&amp;" "&amp;E92&amp;" "&amp;F92&amp;" "&amp;G92)</f>
        <v/>
      </c>
    </row>
    <row r="93" customFormat="false" ht="15" hidden="false" customHeight="false" outlineLevel="0" collapsed="false">
      <c r="A93" s="10" t="s">
        <v>909</v>
      </c>
      <c r="B93" s="11"/>
      <c r="C93" s="11"/>
      <c r="D93" s="11"/>
      <c r="E93" s="11"/>
      <c r="F93" s="11"/>
      <c r="G93" s="11"/>
      <c r="H93" s="11"/>
      <c r="I93" s="11"/>
      <c r="J93" s="11"/>
      <c r="K93" s="12"/>
      <c r="L93" s="12"/>
      <c r="M93" s="11"/>
      <c r="N93" s="11"/>
      <c r="O93" s="10" t="str">
        <f aca="false">IF(COUNTA(B93:N93)=0,"",IF(OR(B93="",C93="",D93="",E93="",G93="",H93="",I93="",J93=""),"ناقص","OK"))</f>
        <v/>
      </c>
      <c r="P93" s="10" t="str">
        <f aca="false">IF(D93="","",B93&amp;" "&amp;C93&amp;" "&amp;D93&amp;" "&amp;E93&amp;" "&amp;F93&amp;" "&amp;G93)</f>
        <v/>
      </c>
    </row>
    <row r="94" customFormat="false" ht="15" hidden="false" customHeight="false" outlineLevel="0" collapsed="false">
      <c r="A94" s="10" t="s">
        <v>910</v>
      </c>
      <c r="B94" s="11"/>
      <c r="C94" s="11"/>
      <c r="D94" s="11"/>
      <c r="E94" s="11"/>
      <c r="F94" s="11"/>
      <c r="G94" s="11"/>
      <c r="H94" s="11"/>
      <c r="I94" s="11"/>
      <c r="J94" s="11"/>
      <c r="K94" s="12"/>
      <c r="L94" s="12"/>
      <c r="M94" s="11"/>
      <c r="N94" s="11"/>
      <c r="O94" s="10" t="str">
        <f aca="false">IF(COUNTA(B94:N94)=0,"",IF(OR(B94="",C94="",D94="",E94="",G94="",H94="",I94="",J94=""),"ناقص","OK"))</f>
        <v/>
      </c>
      <c r="P94" s="10" t="str">
        <f aca="false">IF(D94="","",B94&amp;" "&amp;C94&amp;" "&amp;D94&amp;" "&amp;E94&amp;" "&amp;F94&amp;" "&amp;G94)</f>
        <v/>
      </c>
    </row>
    <row r="95" customFormat="false" ht="15" hidden="false" customHeight="false" outlineLevel="0" collapsed="false">
      <c r="A95" s="10" t="s">
        <v>911</v>
      </c>
      <c r="B95" s="11"/>
      <c r="C95" s="11"/>
      <c r="D95" s="11"/>
      <c r="E95" s="11"/>
      <c r="F95" s="11"/>
      <c r="G95" s="11"/>
      <c r="H95" s="11"/>
      <c r="I95" s="11"/>
      <c r="J95" s="11"/>
      <c r="K95" s="12"/>
      <c r="L95" s="12"/>
      <c r="M95" s="11"/>
      <c r="N95" s="11"/>
      <c r="O95" s="10" t="str">
        <f aca="false">IF(COUNTA(B95:N95)=0,"",IF(OR(B95="",C95="",D95="",E95="",G95="",H95="",I95="",J95=""),"ناقص","OK"))</f>
        <v/>
      </c>
      <c r="P95" s="10" t="str">
        <f aca="false">IF(D95="","",B95&amp;" "&amp;C95&amp;" "&amp;D95&amp;" "&amp;E95&amp;" "&amp;F95&amp;" "&amp;G95)</f>
        <v/>
      </c>
    </row>
    <row r="96" customFormat="false" ht="15" hidden="false" customHeight="false" outlineLevel="0" collapsed="false">
      <c r="A96" s="10" t="s">
        <v>912</v>
      </c>
      <c r="B96" s="11"/>
      <c r="C96" s="11"/>
      <c r="D96" s="11"/>
      <c r="E96" s="11"/>
      <c r="F96" s="11"/>
      <c r="G96" s="11"/>
      <c r="H96" s="11"/>
      <c r="I96" s="11"/>
      <c r="J96" s="11"/>
      <c r="K96" s="12"/>
      <c r="L96" s="12"/>
      <c r="M96" s="11"/>
      <c r="N96" s="11"/>
      <c r="O96" s="10" t="str">
        <f aca="false">IF(COUNTA(B96:N96)=0,"",IF(OR(B96="",C96="",D96="",E96="",G96="",H96="",I96="",J96=""),"ناقص","OK"))</f>
        <v/>
      </c>
      <c r="P96" s="10" t="str">
        <f aca="false">IF(D96="","",B96&amp;" "&amp;C96&amp;" "&amp;D96&amp;" "&amp;E96&amp;" "&amp;F96&amp;" "&amp;G96)</f>
        <v/>
      </c>
    </row>
    <row r="97" customFormat="false" ht="15" hidden="false" customHeight="false" outlineLevel="0" collapsed="false">
      <c r="A97" s="10" t="s">
        <v>913</v>
      </c>
      <c r="B97" s="11"/>
      <c r="C97" s="11"/>
      <c r="D97" s="11"/>
      <c r="E97" s="11"/>
      <c r="F97" s="11"/>
      <c r="G97" s="11"/>
      <c r="H97" s="11"/>
      <c r="I97" s="11"/>
      <c r="J97" s="11"/>
      <c r="K97" s="12"/>
      <c r="L97" s="12"/>
      <c r="M97" s="11"/>
      <c r="N97" s="11"/>
      <c r="O97" s="10" t="str">
        <f aca="false">IF(COUNTA(B97:N97)=0,"",IF(OR(B97="",C97="",D97="",E97="",G97="",H97="",I97="",J97=""),"ناقص","OK"))</f>
        <v/>
      </c>
      <c r="P97" s="10" t="str">
        <f aca="false">IF(D97="","",B97&amp;" "&amp;C97&amp;" "&amp;D97&amp;" "&amp;E97&amp;" "&amp;F97&amp;" "&amp;G97)</f>
        <v/>
      </c>
    </row>
    <row r="98" customFormat="false" ht="15" hidden="false" customHeight="false" outlineLevel="0" collapsed="false">
      <c r="A98" s="10" t="s">
        <v>914</v>
      </c>
      <c r="B98" s="11"/>
      <c r="C98" s="11"/>
      <c r="D98" s="11"/>
      <c r="E98" s="11"/>
      <c r="F98" s="11"/>
      <c r="G98" s="11"/>
      <c r="H98" s="11"/>
      <c r="I98" s="11"/>
      <c r="J98" s="11"/>
      <c r="K98" s="12"/>
      <c r="L98" s="12"/>
      <c r="M98" s="11"/>
      <c r="N98" s="11"/>
      <c r="O98" s="10" t="str">
        <f aca="false">IF(COUNTA(B98:N98)=0,"",IF(OR(B98="",C98="",D98="",E98="",G98="",H98="",I98="",J98=""),"ناقص","OK"))</f>
        <v/>
      </c>
      <c r="P98" s="10" t="str">
        <f aca="false">IF(D98="","",B98&amp;" "&amp;C98&amp;" "&amp;D98&amp;" "&amp;E98&amp;" "&amp;F98&amp;" "&amp;G98)</f>
        <v/>
      </c>
    </row>
    <row r="99" customFormat="false" ht="15" hidden="false" customHeight="false" outlineLevel="0" collapsed="false">
      <c r="A99" s="10" t="s">
        <v>915</v>
      </c>
      <c r="B99" s="11"/>
      <c r="C99" s="11"/>
      <c r="D99" s="11"/>
      <c r="E99" s="11"/>
      <c r="F99" s="11"/>
      <c r="G99" s="11"/>
      <c r="H99" s="11"/>
      <c r="I99" s="11"/>
      <c r="J99" s="11"/>
      <c r="K99" s="12"/>
      <c r="L99" s="12"/>
      <c r="M99" s="11"/>
      <c r="N99" s="11"/>
      <c r="O99" s="10" t="str">
        <f aca="false">IF(COUNTA(B99:N99)=0,"",IF(OR(B99="",C99="",D99="",E99="",G99="",H99="",I99="",J99=""),"ناقص","OK"))</f>
        <v/>
      </c>
      <c r="P99" s="10" t="str">
        <f aca="false">IF(D99="","",B99&amp;" "&amp;C99&amp;" "&amp;D99&amp;" "&amp;E99&amp;" "&amp;F99&amp;" "&amp;G99)</f>
        <v/>
      </c>
    </row>
    <row r="100" customFormat="false" ht="15" hidden="false" customHeight="false" outlineLevel="0" collapsed="false">
      <c r="A100" s="10" t="s">
        <v>916</v>
      </c>
      <c r="B100" s="11"/>
      <c r="C100" s="11"/>
      <c r="D100" s="11"/>
      <c r="E100" s="11"/>
      <c r="F100" s="11"/>
      <c r="G100" s="11"/>
      <c r="H100" s="11"/>
      <c r="I100" s="11"/>
      <c r="J100" s="11"/>
      <c r="K100" s="12"/>
      <c r="L100" s="12"/>
      <c r="M100" s="11"/>
      <c r="N100" s="11"/>
      <c r="O100" s="10" t="str">
        <f aca="false">IF(COUNTA(B100:N100)=0,"",IF(OR(B100="",C100="",D100="",E100="",G100="",H100="",I100="",J100=""),"ناقص","OK"))</f>
        <v/>
      </c>
      <c r="P100" s="10" t="str">
        <f aca="false">IF(D100="","",B100&amp;" "&amp;C100&amp;" "&amp;D100&amp;" "&amp;E100&amp;" "&amp;F100&amp;" "&amp;G100)</f>
        <v/>
      </c>
    </row>
    <row r="101" customFormat="false" ht="15" hidden="false" customHeight="false" outlineLevel="0" collapsed="false">
      <c r="A101" s="10" t="s">
        <v>917</v>
      </c>
      <c r="B101" s="11"/>
      <c r="C101" s="11"/>
      <c r="D101" s="11"/>
      <c r="E101" s="11"/>
      <c r="F101" s="11"/>
      <c r="G101" s="11"/>
      <c r="H101" s="11"/>
      <c r="I101" s="11"/>
      <c r="J101" s="11"/>
      <c r="K101" s="12"/>
      <c r="L101" s="12"/>
      <c r="M101" s="11"/>
      <c r="N101" s="11"/>
      <c r="O101" s="10" t="str">
        <f aca="false">IF(COUNTA(B101:N101)=0,"",IF(OR(B101="",C101="",D101="",E101="",G101="",H101="",I101="",J101=""),"ناقص","OK"))</f>
        <v/>
      </c>
      <c r="P101" s="10" t="str">
        <f aca="false">IF(D101="","",B101&amp;" "&amp;C101&amp;" "&amp;D101&amp;" "&amp;E101&amp;" "&amp;F101&amp;" "&amp;G101)</f>
        <v/>
      </c>
    </row>
    <row r="102" customFormat="false" ht="15" hidden="false" customHeight="false" outlineLevel="0" collapsed="false">
      <c r="A102" s="10" t="s">
        <v>918</v>
      </c>
      <c r="B102" s="11"/>
      <c r="C102" s="11"/>
      <c r="D102" s="11"/>
      <c r="E102" s="11"/>
      <c r="F102" s="11"/>
      <c r="G102" s="11"/>
      <c r="H102" s="11"/>
      <c r="I102" s="11"/>
      <c r="J102" s="11"/>
      <c r="K102" s="12"/>
      <c r="L102" s="12"/>
      <c r="M102" s="11"/>
      <c r="N102" s="11"/>
      <c r="O102" s="10" t="str">
        <f aca="false">IF(COUNTA(B102:N102)=0,"",IF(OR(B102="",C102="",D102="",E102="",G102="",H102="",I102="",J102=""),"ناقص","OK"))</f>
        <v/>
      </c>
      <c r="P102" s="10" t="str">
        <f aca="false">IF(D102="","",B102&amp;" "&amp;C102&amp;" "&amp;D102&amp;" "&amp;E102&amp;" "&amp;F102&amp;" "&amp;G102)</f>
        <v/>
      </c>
    </row>
    <row r="103" customFormat="false" ht="15" hidden="false" customHeight="false" outlineLevel="0" collapsed="false">
      <c r="A103" s="10" t="s">
        <v>919</v>
      </c>
      <c r="B103" s="11"/>
      <c r="C103" s="11"/>
      <c r="D103" s="11"/>
      <c r="E103" s="11"/>
      <c r="F103" s="11"/>
      <c r="G103" s="11"/>
      <c r="H103" s="11"/>
      <c r="I103" s="11"/>
      <c r="J103" s="11"/>
      <c r="K103" s="12"/>
      <c r="L103" s="12"/>
      <c r="M103" s="11"/>
      <c r="N103" s="11"/>
      <c r="O103" s="10" t="str">
        <f aca="false">IF(COUNTA(B103:N103)=0,"",IF(OR(B103="",C103="",D103="",E103="",G103="",H103="",I103="",J103=""),"ناقص","OK"))</f>
        <v/>
      </c>
      <c r="P103" s="10" t="str">
        <f aca="false">IF(D103="","",B103&amp;" "&amp;C103&amp;" "&amp;D103&amp;" "&amp;E103&amp;" "&amp;F103&amp;" "&amp;G103)</f>
        <v/>
      </c>
    </row>
    <row r="104" customFormat="false" ht="15" hidden="false" customHeight="false" outlineLevel="0" collapsed="false">
      <c r="A104" s="10" t="s">
        <v>920</v>
      </c>
      <c r="B104" s="11"/>
      <c r="C104" s="11"/>
      <c r="D104" s="11"/>
      <c r="E104" s="11"/>
      <c r="F104" s="11"/>
      <c r="G104" s="11"/>
      <c r="H104" s="11"/>
      <c r="I104" s="11"/>
      <c r="J104" s="11"/>
      <c r="K104" s="12"/>
      <c r="L104" s="12"/>
      <c r="M104" s="11"/>
      <c r="N104" s="11"/>
      <c r="O104" s="10" t="str">
        <f aca="false">IF(COUNTA(B104:N104)=0,"",IF(OR(B104="",C104="",D104="",E104="",G104="",H104="",I104="",J104=""),"ناقص","OK"))</f>
        <v/>
      </c>
      <c r="P104" s="10" t="str">
        <f aca="false">IF(D104="","",B104&amp;" "&amp;C104&amp;" "&amp;D104&amp;" "&amp;E104&amp;" "&amp;F104&amp;" "&amp;G104)</f>
        <v/>
      </c>
    </row>
    <row r="105" customFormat="false" ht="15" hidden="false" customHeight="false" outlineLevel="0" collapsed="false">
      <c r="A105" s="10" t="s">
        <v>921</v>
      </c>
      <c r="B105" s="11"/>
      <c r="C105" s="11"/>
      <c r="D105" s="11"/>
      <c r="E105" s="11"/>
      <c r="F105" s="11"/>
      <c r="G105" s="11"/>
      <c r="H105" s="11"/>
      <c r="I105" s="11"/>
      <c r="J105" s="11"/>
      <c r="K105" s="12"/>
      <c r="L105" s="12"/>
      <c r="M105" s="11"/>
      <c r="N105" s="11"/>
      <c r="O105" s="10" t="str">
        <f aca="false">IF(COUNTA(B105:N105)=0,"",IF(OR(B105="",C105="",D105="",E105="",G105="",H105="",I105="",J105=""),"ناقص","OK"))</f>
        <v/>
      </c>
      <c r="P105" s="10" t="str">
        <f aca="false">IF(D105="","",B105&amp;" "&amp;C105&amp;" "&amp;D105&amp;" "&amp;E105&amp;" "&amp;F105&amp;" "&amp;G105)</f>
        <v/>
      </c>
    </row>
    <row r="106" customFormat="false" ht="15" hidden="false" customHeight="false" outlineLevel="0" collapsed="false">
      <c r="A106" s="10" t="s">
        <v>922</v>
      </c>
      <c r="B106" s="11"/>
      <c r="C106" s="11"/>
      <c r="D106" s="11"/>
      <c r="E106" s="11"/>
      <c r="F106" s="11"/>
      <c r="G106" s="11"/>
      <c r="H106" s="11"/>
      <c r="I106" s="11"/>
      <c r="J106" s="11"/>
      <c r="K106" s="12"/>
      <c r="L106" s="12"/>
      <c r="M106" s="11"/>
      <c r="N106" s="11"/>
      <c r="O106" s="10" t="str">
        <f aca="false">IF(COUNTA(B106:N106)=0,"",IF(OR(B106="",C106="",D106="",E106="",G106="",H106="",I106="",J106=""),"ناقص","OK"))</f>
        <v/>
      </c>
      <c r="P106" s="10" t="str">
        <f aca="false">IF(D106="","",B106&amp;" "&amp;C106&amp;" "&amp;D106&amp;" "&amp;E106&amp;" "&amp;F106&amp;" "&amp;G106)</f>
        <v/>
      </c>
    </row>
    <row r="107" customFormat="false" ht="15" hidden="false" customHeight="false" outlineLevel="0" collapsed="false">
      <c r="A107" s="10" t="s">
        <v>923</v>
      </c>
      <c r="B107" s="11"/>
      <c r="C107" s="11"/>
      <c r="D107" s="11"/>
      <c r="E107" s="11"/>
      <c r="F107" s="11"/>
      <c r="G107" s="11"/>
      <c r="H107" s="11"/>
      <c r="I107" s="11"/>
      <c r="J107" s="11"/>
      <c r="K107" s="12"/>
      <c r="L107" s="12"/>
      <c r="M107" s="11"/>
      <c r="N107" s="11"/>
      <c r="O107" s="10" t="str">
        <f aca="false">IF(COUNTA(B107:N107)=0,"",IF(OR(B107="",C107="",D107="",E107="",G107="",H107="",I107="",J107=""),"ناقص","OK"))</f>
        <v/>
      </c>
      <c r="P107" s="10" t="str">
        <f aca="false">IF(D107="","",B107&amp;" "&amp;C107&amp;" "&amp;D107&amp;" "&amp;E107&amp;" "&amp;F107&amp;" "&amp;G107)</f>
        <v/>
      </c>
    </row>
    <row r="108" customFormat="false" ht="15" hidden="false" customHeight="false" outlineLevel="0" collapsed="false">
      <c r="A108" s="10" t="s">
        <v>924</v>
      </c>
      <c r="B108" s="11"/>
      <c r="C108" s="11"/>
      <c r="D108" s="11"/>
      <c r="E108" s="11"/>
      <c r="F108" s="11"/>
      <c r="G108" s="11"/>
      <c r="H108" s="11"/>
      <c r="I108" s="11"/>
      <c r="J108" s="11"/>
      <c r="K108" s="12"/>
      <c r="L108" s="12"/>
      <c r="M108" s="11"/>
      <c r="N108" s="11"/>
      <c r="O108" s="10" t="str">
        <f aca="false">IF(COUNTA(B108:N108)=0,"",IF(OR(B108="",C108="",D108="",E108="",G108="",H108="",I108="",J108=""),"ناقص","OK"))</f>
        <v/>
      </c>
      <c r="P108" s="10" t="str">
        <f aca="false">IF(D108="","",B108&amp;" "&amp;C108&amp;" "&amp;D108&amp;" "&amp;E108&amp;" "&amp;F108&amp;" "&amp;G108)</f>
        <v/>
      </c>
    </row>
    <row r="109" customFormat="false" ht="15" hidden="false" customHeight="false" outlineLevel="0" collapsed="false">
      <c r="A109" s="10" t="s">
        <v>925</v>
      </c>
      <c r="B109" s="11"/>
      <c r="C109" s="11"/>
      <c r="D109" s="11"/>
      <c r="E109" s="11"/>
      <c r="F109" s="11"/>
      <c r="G109" s="11"/>
      <c r="H109" s="11"/>
      <c r="I109" s="11"/>
      <c r="J109" s="11"/>
      <c r="K109" s="12"/>
      <c r="L109" s="12"/>
      <c r="M109" s="11"/>
      <c r="N109" s="11"/>
      <c r="O109" s="10" t="str">
        <f aca="false">IF(COUNTA(B109:N109)=0,"",IF(OR(B109="",C109="",D109="",E109="",G109="",H109="",I109="",J109=""),"ناقص","OK"))</f>
        <v/>
      </c>
      <c r="P109" s="10" t="str">
        <f aca="false">IF(D109="","",B109&amp;" "&amp;C109&amp;" "&amp;D109&amp;" "&amp;E109&amp;" "&amp;F109&amp;" "&amp;G109)</f>
        <v/>
      </c>
    </row>
    <row r="110" customFormat="false" ht="15" hidden="false" customHeight="false" outlineLevel="0" collapsed="false">
      <c r="A110" s="10" t="s">
        <v>926</v>
      </c>
      <c r="B110" s="11"/>
      <c r="C110" s="11"/>
      <c r="D110" s="11"/>
      <c r="E110" s="11"/>
      <c r="F110" s="11"/>
      <c r="G110" s="11"/>
      <c r="H110" s="11"/>
      <c r="I110" s="11"/>
      <c r="J110" s="11"/>
      <c r="K110" s="12"/>
      <c r="L110" s="12"/>
      <c r="M110" s="11"/>
      <c r="N110" s="11"/>
      <c r="O110" s="10" t="str">
        <f aca="false">IF(COUNTA(B110:N110)=0,"",IF(OR(B110="",C110="",D110="",E110="",G110="",H110="",I110="",J110=""),"ناقص","OK"))</f>
        <v/>
      </c>
      <c r="P110" s="10" t="str">
        <f aca="false">IF(D110="","",B110&amp;" "&amp;C110&amp;" "&amp;D110&amp;" "&amp;E110&amp;" "&amp;F110&amp;" "&amp;G110)</f>
        <v/>
      </c>
    </row>
    <row r="111" customFormat="false" ht="15" hidden="false" customHeight="false" outlineLevel="0" collapsed="false">
      <c r="A111" s="10" t="s">
        <v>927</v>
      </c>
      <c r="B111" s="11"/>
      <c r="C111" s="11"/>
      <c r="D111" s="11"/>
      <c r="E111" s="11"/>
      <c r="F111" s="11"/>
      <c r="G111" s="11"/>
      <c r="H111" s="11"/>
      <c r="I111" s="11"/>
      <c r="J111" s="11"/>
      <c r="K111" s="12"/>
      <c r="L111" s="12"/>
      <c r="M111" s="11"/>
      <c r="N111" s="11"/>
      <c r="O111" s="10" t="str">
        <f aca="false">IF(COUNTA(B111:N111)=0,"",IF(OR(B111="",C111="",D111="",E111="",G111="",H111="",I111="",J111=""),"ناقص","OK"))</f>
        <v/>
      </c>
      <c r="P111" s="10" t="str">
        <f aca="false">IF(D111="","",B111&amp;" "&amp;C111&amp;" "&amp;D111&amp;" "&amp;E111&amp;" "&amp;F111&amp;" "&amp;G111)</f>
        <v/>
      </c>
    </row>
    <row r="112" customFormat="false" ht="15" hidden="false" customHeight="false" outlineLevel="0" collapsed="false">
      <c r="A112" s="10" t="s">
        <v>928</v>
      </c>
      <c r="B112" s="11"/>
      <c r="C112" s="11"/>
      <c r="D112" s="11"/>
      <c r="E112" s="11"/>
      <c r="F112" s="11"/>
      <c r="G112" s="11"/>
      <c r="H112" s="11"/>
      <c r="I112" s="11"/>
      <c r="J112" s="11"/>
      <c r="K112" s="12"/>
      <c r="L112" s="12"/>
      <c r="M112" s="11"/>
      <c r="N112" s="11"/>
      <c r="O112" s="10" t="str">
        <f aca="false">IF(COUNTA(B112:N112)=0,"",IF(OR(B112="",C112="",D112="",E112="",G112="",H112="",I112="",J112=""),"ناقص","OK"))</f>
        <v/>
      </c>
      <c r="P112" s="10" t="str">
        <f aca="false">IF(D112="","",B112&amp;" "&amp;C112&amp;" "&amp;D112&amp;" "&amp;E112&amp;" "&amp;F112&amp;" "&amp;G112)</f>
        <v/>
      </c>
    </row>
    <row r="113" customFormat="false" ht="15" hidden="false" customHeight="false" outlineLevel="0" collapsed="false">
      <c r="A113" s="10" t="s">
        <v>929</v>
      </c>
      <c r="B113" s="11"/>
      <c r="C113" s="11"/>
      <c r="D113" s="11"/>
      <c r="E113" s="11"/>
      <c r="F113" s="11"/>
      <c r="G113" s="11"/>
      <c r="H113" s="11"/>
      <c r="I113" s="11"/>
      <c r="J113" s="11"/>
      <c r="K113" s="12"/>
      <c r="L113" s="12"/>
      <c r="M113" s="11"/>
      <c r="N113" s="11"/>
      <c r="O113" s="10" t="str">
        <f aca="false">IF(COUNTA(B113:N113)=0,"",IF(OR(B113="",C113="",D113="",E113="",G113="",H113="",I113="",J113=""),"ناقص","OK"))</f>
        <v/>
      </c>
      <c r="P113" s="10" t="str">
        <f aca="false">IF(D113="","",B113&amp;" "&amp;C113&amp;" "&amp;D113&amp;" "&amp;E113&amp;" "&amp;F113&amp;" "&amp;G113)</f>
        <v/>
      </c>
    </row>
    <row r="114" customFormat="false" ht="15" hidden="false" customHeight="false" outlineLevel="0" collapsed="false">
      <c r="A114" s="10" t="s">
        <v>930</v>
      </c>
      <c r="B114" s="11"/>
      <c r="C114" s="11"/>
      <c r="D114" s="11"/>
      <c r="E114" s="11"/>
      <c r="F114" s="11"/>
      <c r="G114" s="11"/>
      <c r="H114" s="11"/>
      <c r="I114" s="11"/>
      <c r="J114" s="11"/>
      <c r="K114" s="12"/>
      <c r="L114" s="12"/>
      <c r="M114" s="11"/>
      <c r="N114" s="11"/>
      <c r="O114" s="10" t="str">
        <f aca="false">IF(COUNTA(B114:N114)=0,"",IF(OR(B114="",C114="",D114="",E114="",G114="",H114="",I114="",J114=""),"ناقص","OK"))</f>
        <v/>
      </c>
      <c r="P114" s="10" t="str">
        <f aca="false">IF(D114="","",B114&amp;" "&amp;C114&amp;" "&amp;D114&amp;" "&amp;E114&amp;" "&amp;F114&amp;" "&amp;G114)</f>
        <v/>
      </c>
    </row>
    <row r="115" customFormat="false" ht="15" hidden="false" customHeight="false" outlineLevel="0" collapsed="false">
      <c r="A115" s="10" t="s">
        <v>931</v>
      </c>
      <c r="B115" s="11"/>
      <c r="C115" s="11"/>
      <c r="D115" s="11"/>
      <c r="E115" s="11"/>
      <c r="F115" s="11"/>
      <c r="G115" s="11"/>
      <c r="H115" s="11"/>
      <c r="I115" s="11"/>
      <c r="J115" s="11"/>
      <c r="K115" s="12"/>
      <c r="L115" s="12"/>
      <c r="M115" s="11"/>
      <c r="N115" s="11"/>
      <c r="O115" s="10" t="str">
        <f aca="false">IF(COUNTA(B115:N115)=0,"",IF(OR(B115="",C115="",D115="",E115="",G115="",H115="",I115="",J115=""),"ناقص","OK"))</f>
        <v/>
      </c>
      <c r="P115" s="10" t="str">
        <f aca="false">IF(D115="","",B115&amp;" "&amp;C115&amp;" "&amp;D115&amp;" "&amp;E115&amp;" "&amp;F115&amp;" "&amp;G115)</f>
        <v/>
      </c>
    </row>
    <row r="116" customFormat="false" ht="15" hidden="false" customHeight="false" outlineLevel="0" collapsed="false">
      <c r="A116" s="10" t="s">
        <v>932</v>
      </c>
      <c r="B116" s="11"/>
      <c r="C116" s="11"/>
      <c r="D116" s="11"/>
      <c r="E116" s="11"/>
      <c r="F116" s="11"/>
      <c r="G116" s="11"/>
      <c r="H116" s="11"/>
      <c r="I116" s="11"/>
      <c r="J116" s="11"/>
      <c r="K116" s="12"/>
      <c r="L116" s="12"/>
      <c r="M116" s="11"/>
      <c r="N116" s="11"/>
      <c r="O116" s="10" t="str">
        <f aca="false">IF(COUNTA(B116:N116)=0,"",IF(OR(B116="",C116="",D116="",E116="",G116="",H116="",I116="",J116=""),"ناقص","OK"))</f>
        <v/>
      </c>
      <c r="P116" s="10" t="str">
        <f aca="false">IF(D116="","",B116&amp;" "&amp;C116&amp;" "&amp;D116&amp;" "&amp;E116&amp;" "&amp;F116&amp;" "&amp;G116)</f>
        <v/>
      </c>
    </row>
    <row r="117" customFormat="false" ht="15" hidden="false" customHeight="false" outlineLevel="0" collapsed="false">
      <c r="A117" s="10" t="s">
        <v>933</v>
      </c>
      <c r="B117" s="11"/>
      <c r="C117" s="11"/>
      <c r="D117" s="11"/>
      <c r="E117" s="11"/>
      <c r="F117" s="11"/>
      <c r="G117" s="11"/>
      <c r="H117" s="11"/>
      <c r="I117" s="11"/>
      <c r="J117" s="11"/>
      <c r="K117" s="12"/>
      <c r="L117" s="12"/>
      <c r="M117" s="11"/>
      <c r="N117" s="11"/>
      <c r="O117" s="10" t="str">
        <f aca="false">IF(COUNTA(B117:N117)=0,"",IF(OR(B117="",C117="",D117="",E117="",G117="",H117="",I117="",J117=""),"ناقص","OK"))</f>
        <v/>
      </c>
      <c r="P117" s="10" t="str">
        <f aca="false">IF(D117="","",B117&amp;" "&amp;C117&amp;" "&amp;D117&amp;" "&amp;E117&amp;" "&amp;F117&amp;" "&amp;G117)</f>
        <v/>
      </c>
    </row>
    <row r="118" customFormat="false" ht="15" hidden="false" customHeight="false" outlineLevel="0" collapsed="false">
      <c r="A118" s="10" t="s">
        <v>934</v>
      </c>
      <c r="B118" s="11"/>
      <c r="C118" s="11"/>
      <c r="D118" s="11"/>
      <c r="E118" s="11"/>
      <c r="F118" s="11"/>
      <c r="G118" s="11"/>
      <c r="H118" s="11"/>
      <c r="I118" s="11"/>
      <c r="J118" s="11"/>
      <c r="K118" s="12"/>
      <c r="L118" s="12"/>
      <c r="M118" s="11"/>
      <c r="N118" s="11"/>
      <c r="O118" s="10" t="str">
        <f aca="false">IF(COUNTA(B118:N118)=0,"",IF(OR(B118="",C118="",D118="",E118="",G118="",H118="",I118="",J118=""),"ناقص","OK"))</f>
        <v/>
      </c>
      <c r="P118" s="10" t="str">
        <f aca="false">IF(D118="","",B118&amp;" "&amp;C118&amp;" "&amp;D118&amp;" "&amp;E118&amp;" "&amp;F118&amp;" "&amp;G118)</f>
        <v/>
      </c>
    </row>
    <row r="119" customFormat="false" ht="15" hidden="false" customHeight="false" outlineLevel="0" collapsed="false">
      <c r="A119" s="10" t="s">
        <v>935</v>
      </c>
      <c r="B119" s="11"/>
      <c r="C119" s="11"/>
      <c r="D119" s="11"/>
      <c r="E119" s="11"/>
      <c r="F119" s="11"/>
      <c r="G119" s="11"/>
      <c r="H119" s="11"/>
      <c r="I119" s="11"/>
      <c r="J119" s="11"/>
      <c r="K119" s="12"/>
      <c r="L119" s="12"/>
      <c r="M119" s="11"/>
      <c r="N119" s="11"/>
      <c r="O119" s="10" t="str">
        <f aca="false">IF(COUNTA(B119:N119)=0,"",IF(OR(B119="",C119="",D119="",E119="",G119="",H119="",I119="",J119=""),"ناقص","OK"))</f>
        <v/>
      </c>
      <c r="P119" s="10" t="str">
        <f aca="false">IF(D119="","",B119&amp;" "&amp;C119&amp;" "&amp;D119&amp;" "&amp;E119&amp;" "&amp;F119&amp;" "&amp;G119)</f>
        <v/>
      </c>
    </row>
    <row r="120" customFormat="false" ht="15" hidden="false" customHeight="false" outlineLevel="0" collapsed="false">
      <c r="A120" s="10" t="s">
        <v>936</v>
      </c>
      <c r="B120" s="11"/>
      <c r="C120" s="11"/>
      <c r="D120" s="11"/>
      <c r="E120" s="11"/>
      <c r="F120" s="11"/>
      <c r="G120" s="11"/>
      <c r="H120" s="11"/>
      <c r="I120" s="11"/>
      <c r="J120" s="11"/>
      <c r="K120" s="12"/>
      <c r="L120" s="12"/>
      <c r="M120" s="11"/>
      <c r="N120" s="11"/>
      <c r="O120" s="10" t="str">
        <f aca="false">IF(COUNTA(B120:N120)=0,"",IF(OR(B120="",C120="",D120="",E120="",G120="",H120="",I120="",J120=""),"ناقص","OK"))</f>
        <v/>
      </c>
      <c r="P120" s="10" t="str">
        <f aca="false">IF(D120="","",B120&amp;" "&amp;C120&amp;" "&amp;D120&amp;" "&amp;E120&amp;" "&amp;F120&amp;" "&amp;G120)</f>
        <v/>
      </c>
    </row>
    <row r="121" customFormat="false" ht="15" hidden="false" customHeight="false" outlineLevel="0" collapsed="false">
      <c r="A121" s="10" t="s">
        <v>937</v>
      </c>
      <c r="B121" s="11"/>
      <c r="C121" s="11"/>
      <c r="D121" s="11"/>
      <c r="E121" s="11"/>
      <c r="F121" s="11"/>
      <c r="G121" s="11"/>
      <c r="H121" s="11"/>
      <c r="I121" s="11"/>
      <c r="J121" s="11"/>
      <c r="K121" s="12"/>
      <c r="L121" s="12"/>
      <c r="M121" s="11"/>
      <c r="N121" s="11"/>
      <c r="O121" s="10" t="str">
        <f aca="false">IF(COUNTA(B121:N121)=0,"",IF(OR(B121="",C121="",D121="",E121="",G121="",H121="",I121="",J121=""),"ناقص","OK"))</f>
        <v/>
      </c>
      <c r="P121" s="10" t="str">
        <f aca="false">IF(D121="","",B121&amp;" "&amp;C121&amp;" "&amp;D121&amp;" "&amp;E121&amp;" "&amp;F121&amp;" "&amp;G121)</f>
        <v/>
      </c>
    </row>
    <row r="122" customFormat="false" ht="15" hidden="false" customHeight="false" outlineLevel="0" collapsed="false">
      <c r="A122" s="10" t="s">
        <v>938</v>
      </c>
      <c r="B122" s="11"/>
      <c r="C122" s="11"/>
      <c r="D122" s="11"/>
      <c r="E122" s="11"/>
      <c r="F122" s="11"/>
      <c r="G122" s="11"/>
      <c r="H122" s="11"/>
      <c r="I122" s="11"/>
      <c r="J122" s="11"/>
      <c r="K122" s="12"/>
      <c r="L122" s="12"/>
      <c r="M122" s="11"/>
      <c r="N122" s="11"/>
      <c r="O122" s="10" t="str">
        <f aca="false">IF(COUNTA(B122:N122)=0,"",IF(OR(B122="",C122="",D122="",E122="",G122="",H122="",I122="",J122=""),"ناقص","OK"))</f>
        <v/>
      </c>
      <c r="P122" s="10" t="str">
        <f aca="false">IF(D122="","",B122&amp;" "&amp;C122&amp;" "&amp;D122&amp;" "&amp;E122&amp;" "&amp;F122&amp;" "&amp;G122)</f>
        <v/>
      </c>
    </row>
    <row r="123" customFormat="false" ht="15" hidden="false" customHeight="false" outlineLevel="0" collapsed="false">
      <c r="A123" s="10" t="s">
        <v>939</v>
      </c>
      <c r="B123" s="11"/>
      <c r="C123" s="11"/>
      <c r="D123" s="11"/>
      <c r="E123" s="11"/>
      <c r="F123" s="11"/>
      <c r="G123" s="11"/>
      <c r="H123" s="11"/>
      <c r="I123" s="11"/>
      <c r="J123" s="11"/>
      <c r="K123" s="12"/>
      <c r="L123" s="12"/>
      <c r="M123" s="11"/>
      <c r="N123" s="11"/>
      <c r="O123" s="10" t="str">
        <f aca="false">IF(COUNTA(B123:N123)=0,"",IF(OR(B123="",C123="",D123="",E123="",G123="",H123="",I123="",J123=""),"ناقص","OK"))</f>
        <v/>
      </c>
      <c r="P123" s="10" t="str">
        <f aca="false">IF(D123="","",B123&amp;" "&amp;C123&amp;" "&amp;D123&amp;" "&amp;E123&amp;" "&amp;F123&amp;" "&amp;G123)</f>
        <v/>
      </c>
    </row>
    <row r="124" customFormat="false" ht="15" hidden="false" customHeight="false" outlineLevel="0" collapsed="false">
      <c r="A124" s="10" t="s">
        <v>940</v>
      </c>
      <c r="B124" s="11"/>
      <c r="C124" s="11"/>
      <c r="D124" s="11"/>
      <c r="E124" s="11"/>
      <c r="F124" s="11"/>
      <c r="G124" s="11"/>
      <c r="H124" s="11"/>
      <c r="I124" s="11"/>
      <c r="J124" s="11"/>
      <c r="K124" s="12"/>
      <c r="L124" s="12"/>
      <c r="M124" s="11"/>
      <c r="N124" s="11"/>
      <c r="O124" s="10" t="str">
        <f aca="false">IF(COUNTA(B124:N124)=0,"",IF(OR(B124="",C124="",D124="",E124="",G124="",H124="",I124="",J124=""),"ناقص","OK"))</f>
        <v/>
      </c>
      <c r="P124" s="10" t="str">
        <f aca="false">IF(D124="","",B124&amp;" "&amp;C124&amp;" "&amp;D124&amp;" "&amp;E124&amp;" "&amp;F124&amp;" "&amp;G124)</f>
        <v/>
      </c>
    </row>
    <row r="125" customFormat="false" ht="15" hidden="false" customHeight="false" outlineLevel="0" collapsed="false">
      <c r="A125" s="10" t="s">
        <v>941</v>
      </c>
      <c r="B125" s="11"/>
      <c r="C125" s="11"/>
      <c r="D125" s="11"/>
      <c r="E125" s="11"/>
      <c r="F125" s="11"/>
      <c r="G125" s="11"/>
      <c r="H125" s="11"/>
      <c r="I125" s="11"/>
      <c r="J125" s="11"/>
      <c r="K125" s="12"/>
      <c r="L125" s="12"/>
      <c r="M125" s="11"/>
      <c r="N125" s="11"/>
      <c r="O125" s="10" t="str">
        <f aca="false">IF(COUNTA(B125:N125)=0,"",IF(OR(B125="",C125="",D125="",E125="",G125="",H125="",I125="",J125=""),"ناقص","OK"))</f>
        <v/>
      </c>
      <c r="P125" s="10" t="str">
        <f aca="false">IF(D125="","",B125&amp;" "&amp;C125&amp;" "&amp;D125&amp;" "&amp;E125&amp;" "&amp;F125&amp;" "&amp;G125)</f>
        <v/>
      </c>
    </row>
    <row r="126" customFormat="false" ht="15" hidden="false" customHeight="false" outlineLevel="0" collapsed="false">
      <c r="A126" s="10" t="s">
        <v>942</v>
      </c>
      <c r="B126" s="11"/>
      <c r="C126" s="11"/>
      <c r="D126" s="11"/>
      <c r="E126" s="11"/>
      <c r="F126" s="11"/>
      <c r="G126" s="11"/>
      <c r="H126" s="11"/>
      <c r="I126" s="11"/>
      <c r="J126" s="11"/>
      <c r="K126" s="12"/>
      <c r="L126" s="12"/>
      <c r="M126" s="11"/>
      <c r="N126" s="11"/>
      <c r="O126" s="10" t="str">
        <f aca="false">IF(COUNTA(B126:N126)=0,"",IF(OR(B126="",C126="",D126="",E126="",G126="",H126="",I126="",J126=""),"ناقص","OK"))</f>
        <v/>
      </c>
      <c r="P126" s="10" t="str">
        <f aca="false">IF(D126="","",B126&amp;" "&amp;C126&amp;" "&amp;D126&amp;" "&amp;E126&amp;" "&amp;F126&amp;" "&amp;G126)</f>
        <v/>
      </c>
    </row>
    <row r="127" customFormat="false" ht="15" hidden="false" customHeight="false" outlineLevel="0" collapsed="false">
      <c r="A127" s="10" t="s">
        <v>943</v>
      </c>
      <c r="B127" s="11"/>
      <c r="C127" s="11"/>
      <c r="D127" s="11"/>
      <c r="E127" s="11"/>
      <c r="F127" s="11"/>
      <c r="G127" s="11"/>
      <c r="H127" s="11"/>
      <c r="I127" s="11"/>
      <c r="J127" s="11"/>
      <c r="K127" s="12"/>
      <c r="L127" s="12"/>
      <c r="M127" s="11"/>
      <c r="N127" s="11"/>
      <c r="O127" s="10" t="str">
        <f aca="false">IF(COUNTA(B127:N127)=0,"",IF(OR(B127="",C127="",D127="",E127="",G127="",H127="",I127="",J127=""),"ناقص","OK"))</f>
        <v/>
      </c>
      <c r="P127" s="10" t="str">
        <f aca="false">IF(D127="","",B127&amp;" "&amp;C127&amp;" "&amp;D127&amp;" "&amp;E127&amp;" "&amp;F127&amp;" "&amp;G127)</f>
        <v/>
      </c>
    </row>
    <row r="128" customFormat="false" ht="15" hidden="false" customHeight="false" outlineLevel="0" collapsed="false">
      <c r="A128" s="10" t="s">
        <v>944</v>
      </c>
      <c r="B128" s="11"/>
      <c r="C128" s="11"/>
      <c r="D128" s="11"/>
      <c r="E128" s="11"/>
      <c r="F128" s="11"/>
      <c r="G128" s="11"/>
      <c r="H128" s="11"/>
      <c r="I128" s="11"/>
      <c r="J128" s="11"/>
      <c r="K128" s="12"/>
      <c r="L128" s="12"/>
      <c r="M128" s="11"/>
      <c r="N128" s="11"/>
      <c r="O128" s="10" t="str">
        <f aca="false">IF(COUNTA(B128:N128)=0,"",IF(OR(B128="",C128="",D128="",E128="",G128="",H128="",I128="",J128=""),"ناقص","OK"))</f>
        <v/>
      </c>
      <c r="P128" s="10" t="str">
        <f aca="false">IF(D128="","",B128&amp;" "&amp;C128&amp;" "&amp;D128&amp;" "&amp;E128&amp;" "&amp;F128&amp;" "&amp;G128)</f>
        <v/>
      </c>
    </row>
    <row r="129" customFormat="false" ht="15" hidden="false" customHeight="false" outlineLevel="0" collapsed="false">
      <c r="A129" s="10" t="s">
        <v>945</v>
      </c>
      <c r="B129" s="11"/>
      <c r="C129" s="11"/>
      <c r="D129" s="11"/>
      <c r="E129" s="11"/>
      <c r="F129" s="11"/>
      <c r="G129" s="11"/>
      <c r="H129" s="11"/>
      <c r="I129" s="11"/>
      <c r="J129" s="11"/>
      <c r="K129" s="12"/>
      <c r="L129" s="12"/>
      <c r="M129" s="11"/>
      <c r="N129" s="11"/>
      <c r="O129" s="10" t="str">
        <f aca="false">IF(COUNTA(B129:N129)=0,"",IF(OR(B129="",C129="",D129="",E129="",G129="",H129="",I129="",J129=""),"ناقص","OK"))</f>
        <v/>
      </c>
      <c r="P129" s="10" t="str">
        <f aca="false">IF(D129="","",B129&amp;" "&amp;C129&amp;" "&amp;D129&amp;" "&amp;E129&amp;" "&amp;F129&amp;" "&amp;G129)</f>
        <v/>
      </c>
    </row>
    <row r="130" customFormat="false" ht="15" hidden="false" customHeight="false" outlineLevel="0" collapsed="false">
      <c r="A130" s="10" t="s">
        <v>946</v>
      </c>
      <c r="B130" s="11"/>
      <c r="C130" s="11"/>
      <c r="D130" s="11"/>
      <c r="E130" s="11"/>
      <c r="F130" s="11"/>
      <c r="G130" s="11"/>
      <c r="H130" s="11"/>
      <c r="I130" s="11"/>
      <c r="J130" s="11"/>
      <c r="K130" s="12"/>
      <c r="L130" s="12"/>
      <c r="M130" s="11"/>
      <c r="N130" s="11"/>
      <c r="O130" s="10" t="str">
        <f aca="false">IF(COUNTA(B130:N130)=0,"",IF(OR(B130="",C130="",D130="",E130="",G130="",H130="",I130="",J130=""),"ناقص","OK"))</f>
        <v/>
      </c>
      <c r="P130" s="10" t="str">
        <f aca="false">IF(D130="","",B130&amp;" "&amp;C130&amp;" "&amp;D130&amp;" "&amp;E130&amp;" "&amp;F130&amp;" "&amp;G130)</f>
        <v/>
      </c>
    </row>
    <row r="131" customFormat="false" ht="15" hidden="false" customHeight="false" outlineLevel="0" collapsed="false">
      <c r="A131" s="10" t="s">
        <v>947</v>
      </c>
      <c r="B131" s="11"/>
      <c r="C131" s="11"/>
      <c r="D131" s="11"/>
      <c r="E131" s="11"/>
      <c r="F131" s="11"/>
      <c r="G131" s="11"/>
      <c r="H131" s="11"/>
      <c r="I131" s="11"/>
      <c r="J131" s="11"/>
      <c r="K131" s="12"/>
      <c r="L131" s="12"/>
      <c r="M131" s="11"/>
      <c r="N131" s="11"/>
      <c r="O131" s="10" t="str">
        <f aca="false">IF(COUNTA(B131:N131)=0,"",IF(OR(B131="",C131="",D131="",E131="",G131="",H131="",I131="",J131=""),"ناقص","OK"))</f>
        <v/>
      </c>
      <c r="P131" s="10" t="str">
        <f aca="false">IF(D131="","",B131&amp;" "&amp;C131&amp;" "&amp;D131&amp;" "&amp;E131&amp;" "&amp;F131&amp;" "&amp;G131)</f>
        <v/>
      </c>
    </row>
    <row r="132" customFormat="false" ht="15" hidden="false" customHeight="false" outlineLevel="0" collapsed="false">
      <c r="A132" s="10" t="s">
        <v>948</v>
      </c>
      <c r="B132" s="11"/>
      <c r="C132" s="11"/>
      <c r="D132" s="11"/>
      <c r="E132" s="11"/>
      <c r="F132" s="11"/>
      <c r="G132" s="11"/>
      <c r="H132" s="11"/>
      <c r="I132" s="11"/>
      <c r="J132" s="11"/>
      <c r="K132" s="12"/>
      <c r="L132" s="12"/>
      <c r="M132" s="11"/>
      <c r="N132" s="11"/>
      <c r="O132" s="10" t="str">
        <f aca="false">IF(COUNTA(B132:N132)=0,"",IF(OR(B132="",C132="",D132="",E132="",G132="",H132="",I132="",J132=""),"ناقص","OK"))</f>
        <v/>
      </c>
      <c r="P132" s="10" t="str">
        <f aca="false">IF(D132="","",B132&amp;" "&amp;C132&amp;" "&amp;D132&amp;" "&amp;E132&amp;" "&amp;F132&amp;" "&amp;G132)</f>
        <v/>
      </c>
    </row>
    <row r="133" customFormat="false" ht="15" hidden="false" customHeight="false" outlineLevel="0" collapsed="false">
      <c r="A133" s="10" t="s">
        <v>949</v>
      </c>
      <c r="B133" s="11"/>
      <c r="C133" s="11"/>
      <c r="D133" s="11"/>
      <c r="E133" s="11"/>
      <c r="F133" s="11"/>
      <c r="G133" s="11"/>
      <c r="H133" s="11"/>
      <c r="I133" s="11"/>
      <c r="J133" s="11"/>
      <c r="K133" s="12"/>
      <c r="L133" s="12"/>
      <c r="M133" s="11"/>
      <c r="N133" s="11"/>
      <c r="O133" s="10" t="str">
        <f aca="false">IF(COUNTA(B133:N133)=0,"",IF(OR(B133="",C133="",D133="",E133="",G133="",H133="",I133="",J133=""),"ناقص","OK"))</f>
        <v/>
      </c>
      <c r="P133" s="10" t="str">
        <f aca="false">IF(D133="","",B133&amp;" "&amp;C133&amp;" "&amp;D133&amp;" "&amp;E133&amp;" "&amp;F133&amp;" "&amp;G133)</f>
        <v/>
      </c>
    </row>
    <row r="134" customFormat="false" ht="15" hidden="false" customHeight="false" outlineLevel="0" collapsed="false">
      <c r="A134" s="10" t="s">
        <v>950</v>
      </c>
      <c r="B134" s="11"/>
      <c r="C134" s="11"/>
      <c r="D134" s="11"/>
      <c r="E134" s="11"/>
      <c r="F134" s="11"/>
      <c r="G134" s="11"/>
      <c r="H134" s="11"/>
      <c r="I134" s="11"/>
      <c r="J134" s="11"/>
      <c r="K134" s="12"/>
      <c r="L134" s="12"/>
      <c r="M134" s="11"/>
      <c r="N134" s="11"/>
      <c r="O134" s="10" t="str">
        <f aca="false">IF(COUNTA(B134:N134)=0,"",IF(OR(B134="",C134="",D134="",E134="",G134="",H134="",I134="",J134=""),"ناقص","OK"))</f>
        <v/>
      </c>
      <c r="P134" s="10" t="str">
        <f aca="false">IF(D134="","",B134&amp;" "&amp;C134&amp;" "&amp;D134&amp;" "&amp;E134&amp;" "&amp;F134&amp;" "&amp;G134)</f>
        <v/>
      </c>
    </row>
    <row r="135" customFormat="false" ht="15" hidden="false" customHeight="false" outlineLevel="0" collapsed="false">
      <c r="A135" s="10" t="s">
        <v>951</v>
      </c>
      <c r="B135" s="11"/>
      <c r="C135" s="11"/>
      <c r="D135" s="11"/>
      <c r="E135" s="11"/>
      <c r="F135" s="11"/>
      <c r="G135" s="11"/>
      <c r="H135" s="11"/>
      <c r="I135" s="11"/>
      <c r="J135" s="11"/>
      <c r="K135" s="12"/>
      <c r="L135" s="12"/>
      <c r="M135" s="11"/>
      <c r="N135" s="11"/>
      <c r="O135" s="10" t="str">
        <f aca="false">IF(COUNTA(B135:N135)=0,"",IF(OR(B135="",C135="",D135="",E135="",G135="",H135="",I135="",J135=""),"ناقص","OK"))</f>
        <v/>
      </c>
      <c r="P135" s="10" t="str">
        <f aca="false">IF(D135="","",B135&amp;" "&amp;C135&amp;" "&amp;D135&amp;" "&amp;E135&amp;" "&amp;F135&amp;" "&amp;G135)</f>
        <v/>
      </c>
    </row>
    <row r="136" customFormat="false" ht="15" hidden="false" customHeight="false" outlineLevel="0" collapsed="false">
      <c r="A136" s="10" t="s">
        <v>952</v>
      </c>
      <c r="B136" s="11"/>
      <c r="C136" s="11"/>
      <c r="D136" s="11"/>
      <c r="E136" s="11"/>
      <c r="F136" s="11"/>
      <c r="G136" s="11"/>
      <c r="H136" s="11"/>
      <c r="I136" s="11"/>
      <c r="J136" s="11"/>
      <c r="K136" s="12"/>
      <c r="L136" s="12"/>
      <c r="M136" s="11"/>
      <c r="N136" s="11"/>
      <c r="O136" s="10" t="str">
        <f aca="false">IF(COUNTA(B136:N136)=0,"",IF(OR(B136="",C136="",D136="",E136="",G136="",H136="",I136="",J136=""),"ناقص","OK"))</f>
        <v/>
      </c>
      <c r="P136" s="10" t="str">
        <f aca="false">IF(D136="","",B136&amp;" "&amp;C136&amp;" "&amp;D136&amp;" "&amp;E136&amp;" "&amp;F136&amp;" "&amp;G136)</f>
        <v/>
      </c>
    </row>
    <row r="137" customFormat="false" ht="15" hidden="false" customHeight="false" outlineLevel="0" collapsed="false">
      <c r="A137" s="10" t="s">
        <v>953</v>
      </c>
      <c r="B137" s="11"/>
      <c r="C137" s="11"/>
      <c r="D137" s="11"/>
      <c r="E137" s="11"/>
      <c r="F137" s="11"/>
      <c r="G137" s="11"/>
      <c r="H137" s="11"/>
      <c r="I137" s="11"/>
      <c r="J137" s="11"/>
      <c r="K137" s="12"/>
      <c r="L137" s="12"/>
      <c r="M137" s="11"/>
      <c r="N137" s="11"/>
      <c r="O137" s="10" t="str">
        <f aca="false">IF(COUNTA(B137:N137)=0,"",IF(OR(B137="",C137="",D137="",E137="",G137="",H137="",I137="",J137=""),"ناقص","OK"))</f>
        <v/>
      </c>
      <c r="P137" s="10" t="str">
        <f aca="false">IF(D137="","",B137&amp;" "&amp;C137&amp;" "&amp;D137&amp;" "&amp;E137&amp;" "&amp;F137&amp;" "&amp;G137)</f>
        <v/>
      </c>
    </row>
    <row r="138" customFormat="false" ht="15" hidden="false" customHeight="false" outlineLevel="0" collapsed="false">
      <c r="A138" s="10" t="s">
        <v>954</v>
      </c>
      <c r="B138" s="11"/>
      <c r="C138" s="11"/>
      <c r="D138" s="11"/>
      <c r="E138" s="11"/>
      <c r="F138" s="11"/>
      <c r="G138" s="11"/>
      <c r="H138" s="11"/>
      <c r="I138" s="11"/>
      <c r="J138" s="11"/>
      <c r="K138" s="12"/>
      <c r="L138" s="12"/>
      <c r="M138" s="11"/>
      <c r="N138" s="11"/>
      <c r="O138" s="10" t="str">
        <f aca="false">IF(COUNTA(B138:N138)=0,"",IF(OR(B138="",C138="",D138="",E138="",G138="",H138="",I138="",J138=""),"ناقص","OK"))</f>
        <v/>
      </c>
      <c r="P138" s="10" t="str">
        <f aca="false">IF(D138="","",B138&amp;" "&amp;C138&amp;" "&amp;D138&amp;" "&amp;E138&amp;" "&amp;F138&amp;" "&amp;G138)</f>
        <v/>
      </c>
    </row>
    <row r="139" customFormat="false" ht="15" hidden="false" customHeight="false" outlineLevel="0" collapsed="false">
      <c r="A139" s="10" t="s">
        <v>955</v>
      </c>
      <c r="B139" s="11"/>
      <c r="C139" s="11"/>
      <c r="D139" s="11"/>
      <c r="E139" s="11"/>
      <c r="F139" s="11"/>
      <c r="G139" s="11"/>
      <c r="H139" s="11"/>
      <c r="I139" s="11"/>
      <c r="J139" s="11"/>
      <c r="K139" s="12"/>
      <c r="L139" s="12"/>
      <c r="M139" s="11"/>
      <c r="N139" s="11"/>
      <c r="O139" s="10" t="str">
        <f aca="false">IF(COUNTA(B139:N139)=0,"",IF(OR(B139="",C139="",D139="",E139="",G139="",H139="",I139="",J139=""),"ناقص","OK"))</f>
        <v/>
      </c>
      <c r="P139" s="10" t="str">
        <f aca="false">IF(D139="","",B139&amp;" "&amp;C139&amp;" "&amp;D139&amp;" "&amp;E139&amp;" "&amp;F139&amp;" "&amp;G139)</f>
        <v/>
      </c>
    </row>
    <row r="140" customFormat="false" ht="15" hidden="false" customHeight="false" outlineLevel="0" collapsed="false">
      <c r="A140" s="10" t="s">
        <v>956</v>
      </c>
      <c r="B140" s="11"/>
      <c r="C140" s="11"/>
      <c r="D140" s="11"/>
      <c r="E140" s="11"/>
      <c r="F140" s="11"/>
      <c r="G140" s="11"/>
      <c r="H140" s="11"/>
      <c r="I140" s="11"/>
      <c r="J140" s="11"/>
      <c r="K140" s="12"/>
      <c r="L140" s="12"/>
      <c r="M140" s="11"/>
      <c r="N140" s="11"/>
      <c r="O140" s="10" t="str">
        <f aca="false">IF(COUNTA(B140:N140)=0,"",IF(OR(B140="",C140="",D140="",E140="",G140="",H140="",I140="",J140=""),"ناقص","OK"))</f>
        <v/>
      </c>
      <c r="P140" s="10" t="str">
        <f aca="false">IF(D140="","",B140&amp;" "&amp;C140&amp;" "&amp;D140&amp;" "&amp;E140&amp;" "&amp;F140&amp;" "&amp;G140)</f>
        <v/>
      </c>
    </row>
    <row r="141" customFormat="false" ht="15" hidden="false" customHeight="false" outlineLevel="0" collapsed="false">
      <c r="A141" s="10" t="s">
        <v>957</v>
      </c>
      <c r="B141" s="11"/>
      <c r="C141" s="11"/>
      <c r="D141" s="11"/>
      <c r="E141" s="11"/>
      <c r="F141" s="11"/>
      <c r="G141" s="11"/>
      <c r="H141" s="11"/>
      <c r="I141" s="11"/>
      <c r="J141" s="11"/>
      <c r="K141" s="12"/>
      <c r="L141" s="12"/>
      <c r="M141" s="11"/>
      <c r="N141" s="11"/>
      <c r="O141" s="10" t="str">
        <f aca="false">IF(COUNTA(B141:N141)=0,"",IF(OR(B141="",C141="",D141="",E141="",G141="",H141="",I141="",J141=""),"ناقص","OK"))</f>
        <v/>
      </c>
      <c r="P141" s="10" t="str">
        <f aca="false">IF(D141="","",B141&amp;" "&amp;C141&amp;" "&amp;D141&amp;" "&amp;E141&amp;" "&amp;F141&amp;" "&amp;G141)</f>
        <v/>
      </c>
    </row>
    <row r="142" customFormat="false" ht="15" hidden="false" customHeight="false" outlineLevel="0" collapsed="false">
      <c r="A142" s="10" t="s">
        <v>958</v>
      </c>
      <c r="B142" s="11"/>
      <c r="C142" s="11"/>
      <c r="D142" s="11"/>
      <c r="E142" s="11"/>
      <c r="F142" s="11"/>
      <c r="G142" s="11"/>
      <c r="H142" s="11"/>
      <c r="I142" s="11"/>
      <c r="J142" s="11"/>
      <c r="K142" s="12"/>
      <c r="L142" s="12"/>
      <c r="M142" s="11"/>
      <c r="N142" s="11"/>
      <c r="O142" s="10" t="str">
        <f aca="false">IF(COUNTA(B142:N142)=0,"",IF(OR(B142="",C142="",D142="",E142="",G142="",H142="",I142="",J142=""),"ناقص","OK"))</f>
        <v/>
      </c>
      <c r="P142" s="10" t="str">
        <f aca="false">IF(D142="","",B142&amp;" "&amp;C142&amp;" "&amp;D142&amp;" "&amp;E142&amp;" "&amp;F142&amp;" "&amp;G142)</f>
        <v/>
      </c>
    </row>
    <row r="143" customFormat="false" ht="15" hidden="false" customHeight="false" outlineLevel="0" collapsed="false">
      <c r="A143" s="10" t="s">
        <v>959</v>
      </c>
      <c r="B143" s="11"/>
      <c r="C143" s="11"/>
      <c r="D143" s="11"/>
      <c r="E143" s="11"/>
      <c r="F143" s="11"/>
      <c r="G143" s="11"/>
      <c r="H143" s="11"/>
      <c r="I143" s="11"/>
      <c r="J143" s="11"/>
      <c r="K143" s="12"/>
      <c r="L143" s="12"/>
      <c r="M143" s="11"/>
      <c r="N143" s="11"/>
      <c r="O143" s="10" t="str">
        <f aca="false">IF(COUNTA(B143:N143)=0,"",IF(OR(B143="",C143="",D143="",E143="",G143="",H143="",I143="",J143=""),"ناقص","OK"))</f>
        <v/>
      </c>
      <c r="P143" s="10" t="str">
        <f aca="false">IF(D143="","",B143&amp;" "&amp;C143&amp;" "&amp;D143&amp;" "&amp;E143&amp;" "&amp;F143&amp;" "&amp;G143)</f>
        <v/>
      </c>
    </row>
    <row r="144" customFormat="false" ht="15" hidden="false" customHeight="false" outlineLevel="0" collapsed="false">
      <c r="A144" s="10" t="s">
        <v>960</v>
      </c>
      <c r="B144" s="11"/>
      <c r="C144" s="11"/>
      <c r="D144" s="11"/>
      <c r="E144" s="11"/>
      <c r="F144" s="11"/>
      <c r="G144" s="11"/>
      <c r="H144" s="11"/>
      <c r="I144" s="11"/>
      <c r="J144" s="11"/>
      <c r="K144" s="12"/>
      <c r="L144" s="12"/>
      <c r="M144" s="11"/>
      <c r="N144" s="11"/>
      <c r="O144" s="10" t="str">
        <f aca="false">IF(COUNTA(B144:N144)=0,"",IF(OR(B144="",C144="",D144="",E144="",G144="",H144="",I144="",J144=""),"ناقص","OK"))</f>
        <v/>
      </c>
      <c r="P144" s="10" t="str">
        <f aca="false">IF(D144="","",B144&amp;" "&amp;C144&amp;" "&amp;D144&amp;" "&amp;E144&amp;" "&amp;F144&amp;" "&amp;G144)</f>
        <v/>
      </c>
    </row>
    <row r="145" customFormat="false" ht="15" hidden="false" customHeight="false" outlineLevel="0" collapsed="false">
      <c r="A145" s="10" t="s">
        <v>961</v>
      </c>
      <c r="B145" s="11"/>
      <c r="C145" s="11"/>
      <c r="D145" s="11"/>
      <c r="E145" s="11"/>
      <c r="F145" s="11"/>
      <c r="G145" s="11"/>
      <c r="H145" s="11"/>
      <c r="I145" s="11"/>
      <c r="J145" s="11"/>
      <c r="K145" s="12"/>
      <c r="L145" s="12"/>
      <c r="M145" s="11"/>
      <c r="N145" s="11"/>
      <c r="O145" s="10" t="str">
        <f aca="false">IF(COUNTA(B145:N145)=0,"",IF(OR(B145="",C145="",D145="",E145="",G145="",H145="",I145="",J145=""),"ناقص","OK"))</f>
        <v/>
      </c>
      <c r="P145" s="10" t="str">
        <f aca="false">IF(D145="","",B145&amp;" "&amp;C145&amp;" "&amp;D145&amp;" "&amp;E145&amp;" "&amp;F145&amp;" "&amp;G145)</f>
        <v/>
      </c>
    </row>
    <row r="146" customFormat="false" ht="15" hidden="false" customHeight="false" outlineLevel="0" collapsed="false">
      <c r="A146" s="10" t="s">
        <v>962</v>
      </c>
      <c r="B146" s="11"/>
      <c r="C146" s="11"/>
      <c r="D146" s="11"/>
      <c r="E146" s="11"/>
      <c r="F146" s="11"/>
      <c r="G146" s="11"/>
      <c r="H146" s="11"/>
      <c r="I146" s="11"/>
      <c r="J146" s="11"/>
      <c r="K146" s="12"/>
      <c r="L146" s="12"/>
      <c r="M146" s="11"/>
      <c r="N146" s="11"/>
      <c r="O146" s="10" t="str">
        <f aca="false">IF(COUNTA(B146:N146)=0,"",IF(OR(B146="",C146="",D146="",E146="",G146="",H146="",I146="",J146=""),"ناقص","OK"))</f>
        <v/>
      </c>
      <c r="P146" s="10" t="str">
        <f aca="false">IF(D146="","",B146&amp;" "&amp;C146&amp;" "&amp;D146&amp;" "&amp;E146&amp;" "&amp;F146&amp;" "&amp;G146)</f>
        <v/>
      </c>
    </row>
    <row r="147" customFormat="false" ht="15" hidden="false" customHeight="false" outlineLevel="0" collapsed="false">
      <c r="A147" s="10" t="s">
        <v>963</v>
      </c>
      <c r="B147" s="11"/>
      <c r="C147" s="11"/>
      <c r="D147" s="11"/>
      <c r="E147" s="11"/>
      <c r="F147" s="11"/>
      <c r="G147" s="11"/>
      <c r="H147" s="11"/>
      <c r="I147" s="11"/>
      <c r="J147" s="11"/>
      <c r="K147" s="12"/>
      <c r="L147" s="12"/>
      <c r="M147" s="11"/>
      <c r="N147" s="11"/>
      <c r="O147" s="10" t="str">
        <f aca="false">IF(COUNTA(B147:N147)=0,"",IF(OR(B147="",C147="",D147="",E147="",G147="",H147="",I147="",J147=""),"ناقص","OK"))</f>
        <v/>
      </c>
      <c r="P147" s="10" t="str">
        <f aca="false">IF(D147="","",B147&amp;" "&amp;C147&amp;" "&amp;D147&amp;" "&amp;E147&amp;" "&amp;F147&amp;" "&amp;G147)</f>
        <v/>
      </c>
    </row>
    <row r="148" customFormat="false" ht="15" hidden="false" customHeight="false" outlineLevel="0" collapsed="false">
      <c r="A148" s="10" t="s">
        <v>964</v>
      </c>
      <c r="B148" s="11"/>
      <c r="C148" s="11"/>
      <c r="D148" s="11"/>
      <c r="E148" s="11"/>
      <c r="F148" s="11"/>
      <c r="G148" s="11"/>
      <c r="H148" s="11"/>
      <c r="I148" s="11"/>
      <c r="J148" s="11"/>
      <c r="K148" s="12"/>
      <c r="L148" s="12"/>
      <c r="M148" s="11"/>
      <c r="N148" s="11"/>
      <c r="O148" s="10" t="str">
        <f aca="false">IF(COUNTA(B148:N148)=0,"",IF(OR(B148="",C148="",D148="",E148="",G148="",H148="",I148="",J148=""),"ناقص","OK"))</f>
        <v/>
      </c>
      <c r="P148" s="10" t="str">
        <f aca="false">IF(D148="","",B148&amp;" "&amp;C148&amp;" "&amp;D148&amp;" "&amp;E148&amp;" "&amp;F148&amp;" "&amp;G148)</f>
        <v/>
      </c>
    </row>
    <row r="149" customFormat="false" ht="15" hidden="false" customHeight="false" outlineLevel="0" collapsed="false">
      <c r="A149" s="10" t="s">
        <v>965</v>
      </c>
      <c r="B149" s="11"/>
      <c r="C149" s="11"/>
      <c r="D149" s="11"/>
      <c r="E149" s="11"/>
      <c r="F149" s="11"/>
      <c r="G149" s="11"/>
      <c r="H149" s="11"/>
      <c r="I149" s="11"/>
      <c r="J149" s="11"/>
      <c r="K149" s="12"/>
      <c r="L149" s="12"/>
      <c r="M149" s="11"/>
      <c r="N149" s="11"/>
      <c r="O149" s="10" t="str">
        <f aca="false">IF(COUNTA(B149:N149)=0,"",IF(OR(B149="",C149="",D149="",E149="",G149="",H149="",I149="",J149=""),"ناقص","OK"))</f>
        <v/>
      </c>
      <c r="P149" s="10" t="str">
        <f aca="false">IF(D149="","",B149&amp;" "&amp;C149&amp;" "&amp;D149&amp;" "&amp;E149&amp;" "&amp;F149&amp;" "&amp;G149)</f>
        <v/>
      </c>
    </row>
    <row r="150" customFormat="false" ht="15" hidden="false" customHeight="false" outlineLevel="0" collapsed="false">
      <c r="A150" s="10" t="s">
        <v>966</v>
      </c>
      <c r="B150" s="11"/>
      <c r="C150" s="11"/>
      <c r="D150" s="11"/>
      <c r="E150" s="11"/>
      <c r="F150" s="11"/>
      <c r="G150" s="11"/>
      <c r="H150" s="11"/>
      <c r="I150" s="11"/>
      <c r="J150" s="11"/>
      <c r="K150" s="12"/>
      <c r="L150" s="12"/>
      <c r="M150" s="11"/>
      <c r="N150" s="11"/>
      <c r="O150" s="10" t="str">
        <f aca="false">IF(COUNTA(B150:N150)=0,"",IF(OR(B150="",C150="",D150="",E150="",G150="",H150="",I150="",J150=""),"ناقص","OK"))</f>
        <v/>
      </c>
      <c r="P150" s="10" t="str">
        <f aca="false">IF(D150="","",B150&amp;" "&amp;C150&amp;" "&amp;D150&amp;" "&amp;E150&amp;" "&amp;F150&amp;" "&amp;G150)</f>
        <v/>
      </c>
    </row>
    <row r="151" customFormat="false" ht="15" hidden="false" customHeight="false" outlineLevel="0" collapsed="false">
      <c r="A151" s="10" t="s">
        <v>967</v>
      </c>
      <c r="B151" s="11"/>
      <c r="C151" s="11"/>
      <c r="D151" s="11"/>
      <c r="E151" s="11"/>
      <c r="F151" s="11"/>
      <c r="G151" s="11"/>
      <c r="H151" s="11"/>
      <c r="I151" s="11"/>
      <c r="J151" s="11"/>
      <c r="K151" s="12"/>
      <c r="L151" s="12"/>
      <c r="M151" s="11"/>
      <c r="N151" s="11"/>
      <c r="O151" s="10" t="str">
        <f aca="false">IF(COUNTA(B151:N151)=0,"",IF(OR(B151="",C151="",D151="",E151="",G151="",H151="",I151="",J151=""),"ناقص","OK"))</f>
        <v/>
      </c>
      <c r="P151" s="10" t="str">
        <f aca="false">IF(D151="","",B151&amp;" "&amp;C151&amp;" "&amp;D151&amp;" "&amp;E151&amp;" "&amp;F151&amp;" "&amp;G151)</f>
        <v/>
      </c>
    </row>
    <row r="152" customFormat="false" ht="15" hidden="false" customHeight="false" outlineLevel="0" collapsed="false">
      <c r="A152" s="10" t="s">
        <v>968</v>
      </c>
      <c r="B152" s="11"/>
      <c r="C152" s="11"/>
      <c r="D152" s="11"/>
      <c r="E152" s="11"/>
      <c r="F152" s="11"/>
      <c r="G152" s="11"/>
      <c r="H152" s="11"/>
      <c r="I152" s="11"/>
      <c r="J152" s="11"/>
      <c r="K152" s="12"/>
      <c r="L152" s="12"/>
      <c r="M152" s="11"/>
      <c r="N152" s="11"/>
      <c r="O152" s="10" t="str">
        <f aca="false">IF(COUNTA(B152:N152)=0,"",IF(OR(B152="",C152="",D152="",E152="",G152="",H152="",I152="",J152=""),"ناقص","OK"))</f>
        <v/>
      </c>
      <c r="P152" s="10" t="str">
        <f aca="false">IF(D152="","",B152&amp;" "&amp;C152&amp;" "&amp;D152&amp;" "&amp;E152&amp;" "&amp;F152&amp;" "&amp;G152)</f>
        <v/>
      </c>
    </row>
    <row r="153" customFormat="false" ht="15" hidden="false" customHeight="false" outlineLevel="0" collapsed="false">
      <c r="A153" s="10" t="s">
        <v>969</v>
      </c>
      <c r="B153" s="11"/>
      <c r="C153" s="11"/>
      <c r="D153" s="11"/>
      <c r="E153" s="11"/>
      <c r="F153" s="11"/>
      <c r="G153" s="11"/>
      <c r="H153" s="11"/>
      <c r="I153" s="11"/>
      <c r="J153" s="11"/>
      <c r="K153" s="12"/>
      <c r="L153" s="12"/>
      <c r="M153" s="11"/>
      <c r="N153" s="11"/>
      <c r="O153" s="10" t="str">
        <f aca="false">IF(COUNTA(B153:N153)=0,"",IF(OR(B153="",C153="",D153="",E153="",G153="",H153="",I153="",J153=""),"ناقص","OK"))</f>
        <v/>
      </c>
      <c r="P153" s="10" t="str">
        <f aca="false">IF(D153="","",B153&amp;" "&amp;C153&amp;" "&amp;D153&amp;" "&amp;E153&amp;" "&amp;F153&amp;" "&amp;G153)</f>
        <v/>
      </c>
    </row>
    <row r="154" customFormat="false" ht="15" hidden="false" customHeight="false" outlineLevel="0" collapsed="false">
      <c r="A154" s="10" t="s">
        <v>970</v>
      </c>
      <c r="B154" s="11"/>
      <c r="C154" s="11"/>
      <c r="D154" s="11"/>
      <c r="E154" s="11"/>
      <c r="F154" s="11"/>
      <c r="G154" s="11"/>
      <c r="H154" s="11"/>
      <c r="I154" s="11"/>
      <c r="J154" s="11"/>
      <c r="K154" s="12"/>
      <c r="L154" s="12"/>
      <c r="M154" s="11"/>
      <c r="N154" s="11"/>
      <c r="O154" s="10" t="str">
        <f aca="false">IF(COUNTA(B154:N154)=0,"",IF(OR(B154="",C154="",D154="",E154="",G154="",H154="",I154="",J154=""),"ناقص","OK"))</f>
        <v/>
      </c>
      <c r="P154" s="10" t="str">
        <f aca="false">IF(D154="","",B154&amp;" "&amp;C154&amp;" "&amp;D154&amp;" "&amp;E154&amp;" "&amp;F154&amp;" "&amp;G154)</f>
        <v/>
      </c>
    </row>
    <row r="155" customFormat="false" ht="15" hidden="false" customHeight="false" outlineLevel="0" collapsed="false">
      <c r="A155" s="10" t="s">
        <v>971</v>
      </c>
      <c r="B155" s="11"/>
      <c r="C155" s="11"/>
      <c r="D155" s="11"/>
      <c r="E155" s="11"/>
      <c r="F155" s="11"/>
      <c r="G155" s="11"/>
      <c r="H155" s="11"/>
      <c r="I155" s="11"/>
      <c r="J155" s="11"/>
      <c r="K155" s="12"/>
      <c r="L155" s="12"/>
      <c r="M155" s="11"/>
      <c r="N155" s="11"/>
      <c r="O155" s="10" t="str">
        <f aca="false">IF(COUNTA(B155:N155)=0,"",IF(OR(B155="",C155="",D155="",E155="",G155="",H155="",I155="",J155=""),"ناقص","OK"))</f>
        <v/>
      </c>
      <c r="P155" s="10" t="str">
        <f aca="false">IF(D155="","",B155&amp;" "&amp;C155&amp;" "&amp;D155&amp;" "&amp;E155&amp;" "&amp;F155&amp;" "&amp;G155)</f>
        <v/>
      </c>
    </row>
    <row r="156" customFormat="false" ht="15" hidden="false" customHeight="false" outlineLevel="0" collapsed="false">
      <c r="A156" s="10" t="s">
        <v>972</v>
      </c>
      <c r="B156" s="11"/>
      <c r="C156" s="11"/>
      <c r="D156" s="11"/>
      <c r="E156" s="11"/>
      <c r="F156" s="11"/>
      <c r="G156" s="11"/>
      <c r="H156" s="11"/>
      <c r="I156" s="11"/>
      <c r="J156" s="11"/>
      <c r="K156" s="12"/>
      <c r="L156" s="12"/>
      <c r="M156" s="11"/>
      <c r="N156" s="11"/>
      <c r="O156" s="10" t="str">
        <f aca="false">IF(COUNTA(B156:N156)=0,"",IF(OR(B156="",C156="",D156="",E156="",G156="",H156="",I156="",J156=""),"ناقص","OK"))</f>
        <v/>
      </c>
      <c r="P156" s="10" t="str">
        <f aca="false">IF(D156="","",B156&amp;" "&amp;C156&amp;" "&amp;D156&amp;" "&amp;E156&amp;" "&amp;F156&amp;" "&amp;G156)</f>
        <v/>
      </c>
    </row>
    <row r="157" customFormat="false" ht="15" hidden="false" customHeight="false" outlineLevel="0" collapsed="false">
      <c r="A157" s="10" t="s">
        <v>973</v>
      </c>
      <c r="B157" s="11"/>
      <c r="C157" s="11"/>
      <c r="D157" s="11"/>
      <c r="E157" s="11"/>
      <c r="F157" s="11"/>
      <c r="G157" s="11"/>
      <c r="H157" s="11"/>
      <c r="I157" s="11"/>
      <c r="J157" s="11"/>
      <c r="K157" s="12"/>
      <c r="L157" s="12"/>
      <c r="M157" s="11"/>
      <c r="N157" s="11"/>
      <c r="O157" s="10" t="str">
        <f aca="false">IF(COUNTA(B157:N157)=0,"",IF(OR(B157="",C157="",D157="",E157="",G157="",H157="",I157="",J157=""),"ناقص","OK"))</f>
        <v/>
      </c>
      <c r="P157" s="10" t="str">
        <f aca="false">IF(D157="","",B157&amp;" "&amp;C157&amp;" "&amp;D157&amp;" "&amp;E157&amp;" "&amp;F157&amp;" "&amp;G157)</f>
        <v/>
      </c>
    </row>
    <row r="158" customFormat="false" ht="15" hidden="false" customHeight="false" outlineLevel="0" collapsed="false">
      <c r="A158" s="10" t="s">
        <v>974</v>
      </c>
      <c r="B158" s="11"/>
      <c r="C158" s="11"/>
      <c r="D158" s="11"/>
      <c r="E158" s="11"/>
      <c r="F158" s="11"/>
      <c r="G158" s="11"/>
      <c r="H158" s="11"/>
      <c r="I158" s="11"/>
      <c r="J158" s="11"/>
      <c r="K158" s="12"/>
      <c r="L158" s="12"/>
      <c r="M158" s="11"/>
      <c r="N158" s="11"/>
      <c r="O158" s="10" t="str">
        <f aca="false">IF(COUNTA(B158:N158)=0,"",IF(OR(B158="",C158="",D158="",E158="",G158="",H158="",I158="",J158=""),"ناقص","OK"))</f>
        <v/>
      </c>
      <c r="P158" s="10" t="str">
        <f aca="false">IF(D158="","",B158&amp;" "&amp;C158&amp;" "&amp;D158&amp;" "&amp;E158&amp;" "&amp;F158&amp;" "&amp;G158)</f>
        <v/>
      </c>
    </row>
    <row r="159" customFormat="false" ht="15" hidden="false" customHeight="false" outlineLevel="0" collapsed="false">
      <c r="A159" s="10" t="s">
        <v>975</v>
      </c>
      <c r="B159" s="11"/>
      <c r="C159" s="11"/>
      <c r="D159" s="11"/>
      <c r="E159" s="11"/>
      <c r="F159" s="11"/>
      <c r="G159" s="11"/>
      <c r="H159" s="11"/>
      <c r="I159" s="11"/>
      <c r="J159" s="11"/>
      <c r="K159" s="12"/>
      <c r="L159" s="12"/>
      <c r="M159" s="11"/>
      <c r="N159" s="11"/>
      <c r="O159" s="10" t="str">
        <f aca="false">IF(COUNTA(B159:N159)=0,"",IF(OR(B159="",C159="",D159="",E159="",G159="",H159="",I159="",J159=""),"ناقص","OK"))</f>
        <v/>
      </c>
      <c r="P159" s="10" t="str">
        <f aca="false">IF(D159="","",B159&amp;" "&amp;C159&amp;" "&amp;D159&amp;" "&amp;E159&amp;" "&amp;F159&amp;" "&amp;G159)</f>
        <v/>
      </c>
    </row>
    <row r="160" customFormat="false" ht="15" hidden="false" customHeight="false" outlineLevel="0" collapsed="false">
      <c r="A160" s="10" t="s">
        <v>976</v>
      </c>
      <c r="B160" s="11"/>
      <c r="C160" s="11"/>
      <c r="D160" s="11"/>
      <c r="E160" s="11"/>
      <c r="F160" s="11"/>
      <c r="G160" s="11"/>
      <c r="H160" s="11"/>
      <c r="I160" s="11"/>
      <c r="J160" s="11"/>
      <c r="K160" s="12"/>
      <c r="L160" s="12"/>
      <c r="M160" s="11"/>
      <c r="N160" s="11"/>
      <c r="O160" s="10" t="str">
        <f aca="false">IF(COUNTA(B160:N160)=0,"",IF(OR(B160="",C160="",D160="",E160="",G160="",H160="",I160="",J160=""),"ناقص","OK"))</f>
        <v/>
      </c>
      <c r="P160" s="10" t="str">
        <f aca="false">IF(D160="","",B160&amp;" "&amp;C160&amp;" "&amp;D160&amp;" "&amp;E160&amp;" "&amp;F160&amp;" "&amp;G160)</f>
        <v/>
      </c>
    </row>
    <row r="161" customFormat="false" ht="15" hidden="false" customHeight="false" outlineLevel="0" collapsed="false">
      <c r="A161" s="10" t="s">
        <v>977</v>
      </c>
      <c r="B161" s="11"/>
      <c r="C161" s="11"/>
      <c r="D161" s="11"/>
      <c r="E161" s="11"/>
      <c r="F161" s="11"/>
      <c r="G161" s="11"/>
      <c r="H161" s="11"/>
      <c r="I161" s="11"/>
      <c r="J161" s="11"/>
      <c r="K161" s="12"/>
      <c r="L161" s="12"/>
      <c r="M161" s="11"/>
      <c r="N161" s="11"/>
      <c r="O161" s="10" t="str">
        <f aca="false">IF(COUNTA(B161:N161)=0,"",IF(OR(B161="",C161="",D161="",E161="",G161="",H161="",I161="",J161=""),"ناقص","OK"))</f>
        <v/>
      </c>
      <c r="P161" s="10" t="str">
        <f aca="false">IF(D161="","",B161&amp;" "&amp;C161&amp;" "&amp;D161&amp;" "&amp;E161&amp;" "&amp;F161&amp;" "&amp;G161)</f>
        <v/>
      </c>
    </row>
    <row r="162" customFormat="false" ht="15" hidden="false" customHeight="false" outlineLevel="0" collapsed="false">
      <c r="A162" s="10" t="s">
        <v>978</v>
      </c>
      <c r="B162" s="11"/>
      <c r="C162" s="11"/>
      <c r="D162" s="11"/>
      <c r="E162" s="11"/>
      <c r="F162" s="11"/>
      <c r="G162" s="11"/>
      <c r="H162" s="11"/>
      <c r="I162" s="11"/>
      <c r="J162" s="11"/>
      <c r="K162" s="12"/>
      <c r="L162" s="12"/>
      <c r="M162" s="11"/>
      <c r="N162" s="11"/>
      <c r="O162" s="10" t="str">
        <f aca="false">IF(COUNTA(B162:N162)=0,"",IF(OR(B162="",C162="",D162="",E162="",G162="",H162="",I162="",J162=""),"ناقص","OK"))</f>
        <v/>
      </c>
      <c r="P162" s="10" t="str">
        <f aca="false">IF(D162="","",B162&amp;" "&amp;C162&amp;" "&amp;D162&amp;" "&amp;E162&amp;" "&amp;F162&amp;" "&amp;G162)</f>
        <v/>
      </c>
    </row>
    <row r="163" customFormat="false" ht="15" hidden="false" customHeight="false" outlineLevel="0" collapsed="false">
      <c r="A163" s="10" t="s">
        <v>979</v>
      </c>
      <c r="B163" s="11"/>
      <c r="C163" s="11"/>
      <c r="D163" s="11"/>
      <c r="E163" s="11"/>
      <c r="F163" s="11"/>
      <c r="G163" s="11"/>
      <c r="H163" s="11"/>
      <c r="I163" s="11"/>
      <c r="J163" s="11"/>
      <c r="K163" s="12"/>
      <c r="L163" s="12"/>
      <c r="M163" s="11"/>
      <c r="N163" s="11"/>
      <c r="O163" s="10" t="str">
        <f aca="false">IF(COUNTA(B163:N163)=0,"",IF(OR(B163="",C163="",D163="",E163="",G163="",H163="",I163="",J163=""),"ناقص","OK"))</f>
        <v/>
      </c>
      <c r="P163" s="10" t="str">
        <f aca="false">IF(D163="","",B163&amp;" "&amp;C163&amp;" "&amp;D163&amp;" "&amp;E163&amp;" "&amp;F163&amp;" "&amp;G163)</f>
        <v/>
      </c>
    </row>
    <row r="164" customFormat="false" ht="15" hidden="false" customHeight="false" outlineLevel="0" collapsed="false">
      <c r="A164" s="10" t="s">
        <v>980</v>
      </c>
      <c r="B164" s="11"/>
      <c r="C164" s="11"/>
      <c r="D164" s="11"/>
      <c r="E164" s="11"/>
      <c r="F164" s="11"/>
      <c r="G164" s="11"/>
      <c r="H164" s="11"/>
      <c r="I164" s="11"/>
      <c r="J164" s="11"/>
      <c r="K164" s="12"/>
      <c r="L164" s="12"/>
      <c r="M164" s="11"/>
      <c r="N164" s="11"/>
      <c r="O164" s="10" t="str">
        <f aca="false">IF(COUNTA(B164:N164)=0,"",IF(OR(B164="",C164="",D164="",E164="",G164="",H164="",I164="",J164=""),"ناقص","OK"))</f>
        <v/>
      </c>
      <c r="P164" s="10" t="str">
        <f aca="false">IF(D164="","",B164&amp;" "&amp;C164&amp;" "&amp;D164&amp;" "&amp;E164&amp;" "&amp;F164&amp;" "&amp;G164)</f>
        <v/>
      </c>
    </row>
    <row r="165" customFormat="false" ht="15" hidden="false" customHeight="false" outlineLevel="0" collapsed="false">
      <c r="A165" s="10" t="s">
        <v>981</v>
      </c>
      <c r="B165" s="11"/>
      <c r="C165" s="11"/>
      <c r="D165" s="11"/>
      <c r="E165" s="11"/>
      <c r="F165" s="11"/>
      <c r="G165" s="11"/>
      <c r="H165" s="11"/>
      <c r="I165" s="11"/>
      <c r="J165" s="11"/>
      <c r="K165" s="12"/>
      <c r="L165" s="12"/>
      <c r="M165" s="11"/>
      <c r="N165" s="11"/>
      <c r="O165" s="10" t="str">
        <f aca="false">IF(COUNTA(B165:N165)=0,"",IF(OR(B165="",C165="",D165="",E165="",G165="",H165="",I165="",J165=""),"ناقص","OK"))</f>
        <v/>
      </c>
      <c r="P165" s="10" t="str">
        <f aca="false">IF(D165="","",B165&amp;" "&amp;C165&amp;" "&amp;D165&amp;" "&amp;E165&amp;" "&amp;F165&amp;" "&amp;G165)</f>
        <v/>
      </c>
    </row>
    <row r="166" customFormat="false" ht="15" hidden="false" customHeight="false" outlineLevel="0" collapsed="false">
      <c r="A166" s="10" t="s">
        <v>982</v>
      </c>
      <c r="B166" s="11"/>
      <c r="C166" s="11"/>
      <c r="D166" s="11"/>
      <c r="E166" s="11"/>
      <c r="F166" s="11"/>
      <c r="G166" s="11"/>
      <c r="H166" s="11"/>
      <c r="I166" s="11"/>
      <c r="J166" s="11"/>
      <c r="K166" s="12"/>
      <c r="L166" s="12"/>
      <c r="M166" s="11"/>
      <c r="N166" s="11"/>
      <c r="O166" s="10" t="str">
        <f aca="false">IF(COUNTA(B166:N166)=0,"",IF(OR(B166="",C166="",D166="",E166="",G166="",H166="",I166="",J166=""),"ناقص","OK"))</f>
        <v/>
      </c>
      <c r="P166" s="10" t="str">
        <f aca="false">IF(D166="","",B166&amp;" "&amp;C166&amp;" "&amp;D166&amp;" "&amp;E166&amp;" "&amp;F166&amp;" "&amp;G166)</f>
        <v/>
      </c>
    </row>
    <row r="167" customFormat="false" ht="15" hidden="false" customHeight="false" outlineLevel="0" collapsed="false">
      <c r="A167" s="10" t="s">
        <v>983</v>
      </c>
      <c r="B167" s="11"/>
      <c r="C167" s="11"/>
      <c r="D167" s="11"/>
      <c r="E167" s="11"/>
      <c r="F167" s="11"/>
      <c r="G167" s="11"/>
      <c r="H167" s="11"/>
      <c r="I167" s="11"/>
      <c r="J167" s="11"/>
      <c r="K167" s="12"/>
      <c r="L167" s="12"/>
      <c r="M167" s="11"/>
      <c r="N167" s="11"/>
      <c r="O167" s="10" t="str">
        <f aca="false">IF(COUNTA(B167:N167)=0,"",IF(OR(B167="",C167="",D167="",E167="",G167="",H167="",I167="",J167=""),"ناقص","OK"))</f>
        <v/>
      </c>
      <c r="P167" s="10" t="str">
        <f aca="false">IF(D167="","",B167&amp;" "&amp;C167&amp;" "&amp;D167&amp;" "&amp;E167&amp;" "&amp;F167&amp;" "&amp;G167)</f>
        <v/>
      </c>
    </row>
    <row r="168" customFormat="false" ht="15" hidden="false" customHeight="false" outlineLevel="0" collapsed="false">
      <c r="A168" s="10" t="s">
        <v>984</v>
      </c>
      <c r="B168" s="11"/>
      <c r="C168" s="11"/>
      <c r="D168" s="11"/>
      <c r="E168" s="11"/>
      <c r="F168" s="11"/>
      <c r="G168" s="11"/>
      <c r="H168" s="11"/>
      <c r="I168" s="11"/>
      <c r="J168" s="11"/>
      <c r="K168" s="12"/>
      <c r="L168" s="12"/>
      <c r="M168" s="11"/>
      <c r="N168" s="11"/>
      <c r="O168" s="10" t="str">
        <f aca="false">IF(COUNTA(B168:N168)=0,"",IF(OR(B168="",C168="",D168="",E168="",G168="",H168="",I168="",J168=""),"ناقص","OK"))</f>
        <v/>
      </c>
      <c r="P168" s="10" t="str">
        <f aca="false">IF(D168="","",B168&amp;" "&amp;C168&amp;" "&amp;D168&amp;" "&amp;E168&amp;" "&amp;F168&amp;" "&amp;G168)</f>
        <v/>
      </c>
    </row>
    <row r="169" customFormat="false" ht="15" hidden="false" customHeight="false" outlineLevel="0" collapsed="false">
      <c r="A169" s="10" t="s">
        <v>985</v>
      </c>
      <c r="B169" s="11"/>
      <c r="C169" s="11"/>
      <c r="D169" s="11"/>
      <c r="E169" s="11"/>
      <c r="F169" s="11"/>
      <c r="G169" s="11"/>
      <c r="H169" s="11"/>
      <c r="I169" s="11"/>
      <c r="J169" s="11"/>
      <c r="K169" s="12"/>
      <c r="L169" s="12"/>
      <c r="M169" s="11"/>
      <c r="N169" s="11"/>
      <c r="O169" s="10" t="str">
        <f aca="false">IF(COUNTA(B169:N169)=0,"",IF(OR(B169="",C169="",D169="",E169="",G169="",H169="",I169="",J169=""),"ناقص","OK"))</f>
        <v/>
      </c>
      <c r="P169" s="10" t="str">
        <f aca="false">IF(D169="","",B169&amp;" "&amp;C169&amp;" "&amp;D169&amp;" "&amp;E169&amp;" "&amp;F169&amp;" "&amp;G169)</f>
        <v/>
      </c>
    </row>
    <row r="170" customFormat="false" ht="15" hidden="false" customHeight="false" outlineLevel="0" collapsed="false">
      <c r="A170" s="10" t="s">
        <v>986</v>
      </c>
      <c r="B170" s="11"/>
      <c r="C170" s="11"/>
      <c r="D170" s="11"/>
      <c r="E170" s="11"/>
      <c r="F170" s="11"/>
      <c r="G170" s="11"/>
      <c r="H170" s="11"/>
      <c r="I170" s="11"/>
      <c r="J170" s="11"/>
      <c r="K170" s="12"/>
      <c r="L170" s="12"/>
      <c r="M170" s="11"/>
      <c r="N170" s="11"/>
      <c r="O170" s="10" t="str">
        <f aca="false">IF(COUNTA(B170:N170)=0,"",IF(OR(B170="",C170="",D170="",E170="",G170="",H170="",I170="",J170=""),"ناقص","OK"))</f>
        <v/>
      </c>
      <c r="P170" s="10" t="str">
        <f aca="false">IF(D170="","",B170&amp;" "&amp;C170&amp;" "&amp;D170&amp;" "&amp;E170&amp;" "&amp;F170&amp;" "&amp;G170)</f>
        <v/>
      </c>
    </row>
    <row r="171" customFormat="false" ht="15" hidden="false" customHeight="false" outlineLevel="0" collapsed="false">
      <c r="A171" s="10" t="s">
        <v>987</v>
      </c>
      <c r="B171" s="11"/>
      <c r="C171" s="11"/>
      <c r="D171" s="11"/>
      <c r="E171" s="11"/>
      <c r="F171" s="11"/>
      <c r="G171" s="11"/>
      <c r="H171" s="11"/>
      <c r="I171" s="11"/>
      <c r="J171" s="11"/>
      <c r="K171" s="12"/>
      <c r="L171" s="12"/>
      <c r="M171" s="11"/>
      <c r="N171" s="11"/>
      <c r="O171" s="10" t="str">
        <f aca="false">IF(COUNTA(B171:N171)=0,"",IF(OR(B171="",C171="",D171="",E171="",G171="",H171="",I171="",J171=""),"ناقص","OK"))</f>
        <v/>
      </c>
      <c r="P171" s="10" t="str">
        <f aca="false">IF(D171="","",B171&amp;" "&amp;C171&amp;" "&amp;D171&amp;" "&amp;E171&amp;" "&amp;F171&amp;" "&amp;G171)</f>
        <v/>
      </c>
    </row>
    <row r="172" customFormat="false" ht="15" hidden="false" customHeight="false" outlineLevel="0" collapsed="false">
      <c r="A172" s="10" t="s">
        <v>988</v>
      </c>
      <c r="B172" s="11"/>
      <c r="C172" s="11"/>
      <c r="D172" s="11"/>
      <c r="E172" s="11"/>
      <c r="F172" s="11"/>
      <c r="G172" s="11"/>
      <c r="H172" s="11"/>
      <c r="I172" s="11"/>
      <c r="J172" s="11"/>
      <c r="K172" s="12"/>
      <c r="L172" s="12"/>
      <c r="M172" s="11"/>
      <c r="N172" s="11"/>
      <c r="O172" s="10" t="str">
        <f aca="false">IF(COUNTA(B172:N172)=0,"",IF(OR(B172="",C172="",D172="",E172="",G172="",H172="",I172="",J172=""),"ناقص","OK"))</f>
        <v/>
      </c>
      <c r="P172" s="10" t="str">
        <f aca="false">IF(D172="","",B172&amp;" "&amp;C172&amp;" "&amp;D172&amp;" "&amp;E172&amp;" "&amp;F172&amp;" "&amp;G172)</f>
        <v/>
      </c>
    </row>
    <row r="173" customFormat="false" ht="15" hidden="false" customHeight="false" outlineLevel="0" collapsed="false">
      <c r="A173" s="10" t="s">
        <v>989</v>
      </c>
      <c r="B173" s="11"/>
      <c r="C173" s="11"/>
      <c r="D173" s="11"/>
      <c r="E173" s="11"/>
      <c r="F173" s="11"/>
      <c r="G173" s="11"/>
      <c r="H173" s="11"/>
      <c r="I173" s="11"/>
      <c r="J173" s="11"/>
      <c r="K173" s="12"/>
      <c r="L173" s="12"/>
      <c r="M173" s="11"/>
      <c r="N173" s="11"/>
      <c r="O173" s="10" t="str">
        <f aca="false">IF(COUNTA(B173:N173)=0,"",IF(OR(B173="",C173="",D173="",E173="",G173="",H173="",I173="",J173=""),"ناقص","OK"))</f>
        <v/>
      </c>
      <c r="P173" s="10" t="str">
        <f aca="false">IF(D173="","",B173&amp;" "&amp;C173&amp;" "&amp;D173&amp;" "&amp;E173&amp;" "&amp;F173&amp;" "&amp;G173)</f>
        <v/>
      </c>
    </row>
    <row r="174" customFormat="false" ht="15" hidden="false" customHeight="false" outlineLevel="0" collapsed="false">
      <c r="A174" s="10" t="s">
        <v>990</v>
      </c>
      <c r="B174" s="11"/>
      <c r="C174" s="11"/>
      <c r="D174" s="11"/>
      <c r="E174" s="11"/>
      <c r="F174" s="11"/>
      <c r="G174" s="11"/>
      <c r="H174" s="11"/>
      <c r="I174" s="11"/>
      <c r="J174" s="11"/>
      <c r="K174" s="12"/>
      <c r="L174" s="12"/>
      <c r="M174" s="11"/>
      <c r="N174" s="11"/>
      <c r="O174" s="10" t="str">
        <f aca="false">IF(COUNTA(B174:N174)=0,"",IF(OR(B174="",C174="",D174="",E174="",G174="",H174="",I174="",J174=""),"ناقص","OK"))</f>
        <v/>
      </c>
      <c r="P174" s="10" t="str">
        <f aca="false">IF(D174="","",B174&amp;" "&amp;C174&amp;" "&amp;D174&amp;" "&amp;E174&amp;" "&amp;F174&amp;" "&amp;G174)</f>
        <v/>
      </c>
    </row>
    <row r="175" customFormat="false" ht="15" hidden="false" customHeight="false" outlineLevel="0" collapsed="false">
      <c r="A175" s="10" t="s">
        <v>991</v>
      </c>
      <c r="B175" s="11"/>
      <c r="C175" s="11"/>
      <c r="D175" s="11"/>
      <c r="E175" s="11"/>
      <c r="F175" s="11"/>
      <c r="G175" s="11"/>
      <c r="H175" s="11"/>
      <c r="I175" s="11"/>
      <c r="J175" s="11"/>
      <c r="K175" s="12"/>
      <c r="L175" s="12"/>
      <c r="M175" s="11"/>
      <c r="N175" s="11"/>
      <c r="O175" s="10" t="str">
        <f aca="false">IF(COUNTA(B175:N175)=0,"",IF(OR(B175="",C175="",D175="",E175="",G175="",H175="",I175="",J175=""),"ناقص","OK"))</f>
        <v/>
      </c>
      <c r="P175" s="10" t="str">
        <f aca="false">IF(D175="","",B175&amp;" "&amp;C175&amp;" "&amp;D175&amp;" "&amp;E175&amp;" "&amp;F175&amp;" "&amp;G175)</f>
        <v/>
      </c>
    </row>
    <row r="176" customFormat="false" ht="15" hidden="false" customHeight="false" outlineLevel="0" collapsed="false">
      <c r="A176" s="10" t="s">
        <v>992</v>
      </c>
      <c r="B176" s="11"/>
      <c r="C176" s="11"/>
      <c r="D176" s="11"/>
      <c r="E176" s="11"/>
      <c r="F176" s="11"/>
      <c r="G176" s="11"/>
      <c r="H176" s="11"/>
      <c r="I176" s="11"/>
      <c r="J176" s="11"/>
      <c r="K176" s="12"/>
      <c r="L176" s="12"/>
      <c r="M176" s="11"/>
      <c r="N176" s="11"/>
      <c r="O176" s="10" t="str">
        <f aca="false">IF(COUNTA(B176:N176)=0,"",IF(OR(B176="",C176="",D176="",E176="",G176="",H176="",I176="",J176=""),"ناقص","OK"))</f>
        <v/>
      </c>
      <c r="P176" s="10" t="str">
        <f aca="false">IF(D176="","",B176&amp;" "&amp;C176&amp;" "&amp;D176&amp;" "&amp;E176&amp;" "&amp;F176&amp;" "&amp;G176)</f>
        <v/>
      </c>
    </row>
    <row r="177" customFormat="false" ht="15" hidden="false" customHeight="false" outlineLevel="0" collapsed="false">
      <c r="A177" s="10" t="s">
        <v>993</v>
      </c>
      <c r="B177" s="11"/>
      <c r="C177" s="11"/>
      <c r="D177" s="11"/>
      <c r="E177" s="11"/>
      <c r="F177" s="11"/>
      <c r="G177" s="11"/>
      <c r="H177" s="11"/>
      <c r="I177" s="11"/>
      <c r="J177" s="11"/>
      <c r="K177" s="12"/>
      <c r="L177" s="12"/>
      <c r="M177" s="11"/>
      <c r="N177" s="11"/>
      <c r="O177" s="10" t="str">
        <f aca="false">IF(COUNTA(B177:N177)=0,"",IF(OR(B177="",C177="",D177="",E177="",G177="",H177="",I177="",J177=""),"ناقص","OK"))</f>
        <v/>
      </c>
      <c r="P177" s="10" t="str">
        <f aca="false">IF(D177="","",B177&amp;" "&amp;C177&amp;" "&amp;D177&amp;" "&amp;E177&amp;" "&amp;F177&amp;" "&amp;G177)</f>
        <v/>
      </c>
    </row>
    <row r="178" customFormat="false" ht="15" hidden="false" customHeight="false" outlineLevel="0" collapsed="false">
      <c r="A178" s="10" t="s">
        <v>994</v>
      </c>
      <c r="B178" s="11"/>
      <c r="C178" s="11"/>
      <c r="D178" s="11"/>
      <c r="E178" s="11"/>
      <c r="F178" s="11"/>
      <c r="G178" s="11"/>
      <c r="H178" s="11"/>
      <c r="I178" s="11"/>
      <c r="J178" s="11"/>
      <c r="K178" s="12"/>
      <c r="L178" s="12"/>
      <c r="M178" s="11"/>
      <c r="N178" s="11"/>
      <c r="O178" s="10" t="str">
        <f aca="false">IF(COUNTA(B178:N178)=0,"",IF(OR(B178="",C178="",D178="",E178="",G178="",H178="",I178="",J178=""),"ناقص","OK"))</f>
        <v/>
      </c>
      <c r="P178" s="10" t="str">
        <f aca="false">IF(D178="","",B178&amp;" "&amp;C178&amp;" "&amp;D178&amp;" "&amp;E178&amp;" "&amp;F178&amp;" "&amp;G178)</f>
        <v/>
      </c>
    </row>
    <row r="179" customFormat="false" ht="15" hidden="false" customHeight="false" outlineLevel="0" collapsed="false">
      <c r="A179" s="10" t="s">
        <v>995</v>
      </c>
      <c r="B179" s="11"/>
      <c r="C179" s="11"/>
      <c r="D179" s="11"/>
      <c r="E179" s="11"/>
      <c r="F179" s="11"/>
      <c r="G179" s="11"/>
      <c r="H179" s="11"/>
      <c r="I179" s="11"/>
      <c r="J179" s="11"/>
      <c r="K179" s="12"/>
      <c r="L179" s="12"/>
      <c r="M179" s="11"/>
      <c r="N179" s="11"/>
      <c r="O179" s="10" t="str">
        <f aca="false">IF(COUNTA(B179:N179)=0,"",IF(OR(B179="",C179="",D179="",E179="",G179="",H179="",I179="",J179=""),"ناقص","OK"))</f>
        <v/>
      </c>
      <c r="P179" s="10" t="str">
        <f aca="false">IF(D179="","",B179&amp;" "&amp;C179&amp;" "&amp;D179&amp;" "&amp;E179&amp;" "&amp;F179&amp;" "&amp;G179)</f>
        <v/>
      </c>
    </row>
    <row r="180" customFormat="false" ht="15" hidden="false" customHeight="false" outlineLevel="0" collapsed="false">
      <c r="A180" s="10" t="s">
        <v>996</v>
      </c>
      <c r="B180" s="11"/>
      <c r="C180" s="11"/>
      <c r="D180" s="11"/>
      <c r="E180" s="11"/>
      <c r="F180" s="11"/>
      <c r="G180" s="11"/>
      <c r="H180" s="11"/>
      <c r="I180" s="11"/>
      <c r="J180" s="11"/>
      <c r="K180" s="12"/>
      <c r="L180" s="12"/>
      <c r="M180" s="11"/>
      <c r="N180" s="11"/>
      <c r="O180" s="10" t="str">
        <f aca="false">IF(COUNTA(B180:N180)=0,"",IF(OR(B180="",C180="",D180="",E180="",G180="",H180="",I180="",J180=""),"ناقص","OK"))</f>
        <v/>
      </c>
      <c r="P180" s="10" t="str">
        <f aca="false">IF(D180="","",B180&amp;" "&amp;C180&amp;" "&amp;D180&amp;" "&amp;E180&amp;" "&amp;F180&amp;" "&amp;G180)</f>
        <v/>
      </c>
    </row>
    <row r="181" customFormat="false" ht="15" hidden="false" customHeight="false" outlineLevel="0" collapsed="false">
      <c r="A181" s="10" t="s">
        <v>997</v>
      </c>
      <c r="B181" s="11"/>
      <c r="C181" s="11"/>
      <c r="D181" s="11"/>
      <c r="E181" s="11"/>
      <c r="F181" s="11"/>
      <c r="G181" s="11"/>
      <c r="H181" s="11"/>
      <c r="I181" s="11"/>
      <c r="J181" s="11"/>
      <c r="K181" s="12"/>
      <c r="L181" s="12"/>
      <c r="M181" s="11"/>
      <c r="N181" s="11"/>
      <c r="O181" s="10" t="str">
        <f aca="false">IF(COUNTA(B181:N181)=0,"",IF(OR(B181="",C181="",D181="",E181="",G181="",H181="",I181="",J181=""),"ناقص","OK"))</f>
        <v/>
      </c>
      <c r="P181" s="10" t="str">
        <f aca="false">IF(D181="","",B181&amp;" "&amp;C181&amp;" "&amp;D181&amp;" "&amp;E181&amp;" "&amp;F181&amp;" "&amp;G181)</f>
        <v/>
      </c>
    </row>
    <row r="182" customFormat="false" ht="15" hidden="false" customHeight="false" outlineLevel="0" collapsed="false">
      <c r="A182" s="10" t="s">
        <v>998</v>
      </c>
      <c r="B182" s="11"/>
      <c r="C182" s="11"/>
      <c r="D182" s="11"/>
      <c r="E182" s="11"/>
      <c r="F182" s="11"/>
      <c r="G182" s="11"/>
      <c r="H182" s="11"/>
      <c r="I182" s="11"/>
      <c r="J182" s="11"/>
      <c r="K182" s="12"/>
      <c r="L182" s="12"/>
      <c r="M182" s="11"/>
      <c r="N182" s="11"/>
      <c r="O182" s="10" t="str">
        <f aca="false">IF(COUNTA(B182:N182)=0,"",IF(OR(B182="",C182="",D182="",E182="",G182="",H182="",I182="",J182=""),"ناقص","OK"))</f>
        <v/>
      </c>
      <c r="P182" s="10" t="str">
        <f aca="false">IF(D182="","",B182&amp;" "&amp;C182&amp;" "&amp;D182&amp;" "&amp;E182&amp;" "&amp;F182&amp;" "&amp;G182)</f>
        <v/>
      </c>
    </row>
    <row r="183" customFormat="false" ht="15" hidden="false" customHeight="false" outlineLevel="0" collapsed="false">
      <c r="A183" s="10" t="s">
        <v>999</v>
      </c>
      <c r="B183" s="11"/>
      <c r="C183" s="11"/>
      <c r="D183" s="11"/>
      <c r="E183" s="11"/>
      <c r="F183" s="11"/>
      <c r="G183" s="11"/>
      <c r="H183" s="11"/>
      <c r="I183" s="11"/>
      <c r="J183" s="11"/>
      <c r="K183" s="12"/>
      <c r="L183" s="12"/>
      <c r="M183" s="11"/>
      <c r="N183" s="11"/>
      <c r="O183" s="10" t="str">
        <f aca="false">IF(COUNTA(B183:N183)=0,"",IF(OR(B183="",C183="",D183="",E183="",G183="",H183="",I183="",J183=""),"ناقص","OK"))</f>
        <v/>
      </c>
      <c r="P183" s="10" t="str">
        <f aca="false">IF(D183="","",B183&amp;" "&amp;C183&amp;" "&amp;D183&amp;" "&amp;E183&amp;" "&amp;F183&amp;" "&amp;G183)</f>
        <v/>
      </c>
    </row>
    <row r="184" customFormat="false" ht="15" hidden="false" customHeight="false" outlineLevel="0" collapsed="false">
      <c r="A184" s="10" t="s">
        <v>1000</v>
      </c>
      <c r="B184" s="11"/>
      <c r="C184" s="11"/>
      <c r="D184" s="11"/>
      <c r="E184" s="11"/>
      <c r="F184" s="11"/>
      <c r="G184" s="11"/>
      <c r="H184" s="11"/>
      <c r="I184" s="11"/>
      <c r="J184" s="11"/>
      <c r="K184" s="12"/>
      <c r="L184" s="12"/>
      <c r="M184" s="11"/>
      <c r="N184" s="11"/>
      <c r="O184" s="10" t="str">
        <f aca="false">IF(COUNTA(B184:N184)=0,"",IF(OR(B184="",C184="",D184="",E184="",G184="",H184="",I184="",J184=""),"ناقص","OK"))</f>
        <v/>
      </c>
      <c r="P184" s="10" t="str">
        <f aca="false">IF(D184="","",B184&amp;" "&amp;C184&amp;" "&amp;D184&amp;" "&amp;E184&amp;" "&amp;F184&amp;" "&amp;G184)</f>
        <v/>
      </c>
    </row>
    <row r="185" customFormat="false" ht="15" hidden="false" customHeight="false" outlineLevel="0" collapsed="false">
      <c r="A185" s="10" t="s">
        <v>1001</v>
      </c>
      <c r="B185" s="11"/>
      <c r="C185" s="11"/>
      <c r="D185" s="11"/>
      <c r="E185" s="11"/>
      <c r="F185" s="11"/>
      <c r="G185" s="11"/>
      <c r="H185" s="11"/>
      <c r="I185" s="11"/>
      <c r="J185" s="11"/>
      <c r="K185" s="12"/>
      <c r="L185" s="12"/>
      <c r="M185" s="11"/>
      <c r="N185" s="11"/>
      <c r="O185" s="10" t="str">
        <f aca="false">IF(COUNTA(B185:N185)=0,"",IF(OR(B185="",C185="",D185="",E185="",G185="",H185="",I185="",J185=""),"ناقص","OK"))</f>
        <v/>
      </c>
      <c r="P185" s="10" t="str">
        <f aca="false">IF(D185="","",B185&amp;" "&amp;C185&amp;" "&amp;D185&amp;" "&amp;E185&amp;" "&amp;F185&amp;" "&amp;G185)</f>
        <v/>
      </c>
    </row>
    <row r="186" customFormat="false" ht="15" hidden="false" customHeight="false" outlineLevel="0" collapsed="false">
      <c r="A186" s="10" t="s">
        <v>1002</v>
      </c>
      <c r="B186" s="11"/>
      <c r="C186" s="11"/>
      <c r="D186" s="11"/>
      <c r="E186" s="11"/>
      <c r="F186" s="11"/>
      <c r="G186" s="11"/>
      <c r="H186" s="11"/>
      <c r="I186" s="11"/>
      <c r="J186" s="11"/>
      <c r="K186" s="12"/>
      <c r="L186" s="12"/>
      <c r="M186" s="11"/>
      <c r="N186" s="11"/>
      <c r="O186" s="10" t="str">
        <f aca="false">IF(COUNTA(B186:N186)=0,"",IF(OR(B186="",C186="",D186="",E186="",G186="",H186="",I186="",J186=""),"ناقص","OK"))</f>
        <v/>
      </c>
      <c r="P186" s="10" t="str">
        <f aca="false">IF(D186="","",B186&amp;" "&amp;C186&amp;" "&amp;D186&amp;" "&amp;E186&amp;" "&amp;F186&amp;" "&amp;G186)</f>
        <v/>
      </c>
    </row>
    <row r="187" customFormat="false" ht="15" hidden="false" customHeight="false" outlineLevel="0" collapsed="false">
      <c r="A187" s="10" t="s">
        <v>1003</v>
      </c>
      <c r="B187" s="11"/>
      <c r="C187" s="11"/>
      <c r="D187" s="11"/>
      <c r="E187" s="11"/>
      <c r="F187" s="11"/>
      <c r="G187" s="11"/>
      <c r="H187" s="11"/>
      <c r="I187" s="11"/>
      <c r="J187" s="11"/>
      <c r="K187" s="12"/>
      <c r="L187" s="12"/>
      <c r="M187" s="11"/>
      <c r="N187" s="11"/>
      <c r="O187" s="10" t="str">
        <f aca="false">IF(COUNTA(B187:N187)=0,"",IF(OR(B187="",C187="",D187="",E187="",G187="",H187="",I187="",J187=""),"ناقص","OK"))</f>
        <v/>
      </c>
      <c r="P187" s="10" t="str">
        <f aca="false">IF(D187="","",B187&amp;" "&amp;C187&amp;" "&amp;D187&amp;" "&amp;E187&amp;" "&amp;F187&amp;" "&amp;G187)</f>
        <v/>
      </c>
    </row>
    <row r="188" customFormat="false" ht="15" hidden="false" customHeight="false" outlineLevel="0" collapsed="false">
      <c r="A188" s="10" t="s">
        <v>1004</v>
      </c>
      <c r="B188" s="11"/>
      <c r="C188" s="11"/>
      <c r="D188" s="11"/>
      <c r="E188" s="11"/>
      <c r="F188" s="11"/>
      <c r="G188" s="11"/>
      <c r="H188" s="11"/>
      <c r="I188" s="11"/>
      <c r="J188" s="11"/>
      <c r="K188" s="12"/>
      <c r="L188" s="12"/>
      <c r="M188" s="11"/>
      <c r="N188" s="11"/>
      <c r="O188" s="10" t="str">
        <f aca="false">IF(COUNTA(B188:N188)=0,"",IF(OR(B188="",C188="",D188="",E188="",G188="",H188="",I188="",J188=""),"ناقص","OK"))</f>
        <v/>
      </c>
      <c r="P188" s="10" t="str">
        <f aca="false">IF(D188="","",B188&amp;" "&amp;C188&amp;" "&amp;D188&amp;" "&amp;E188&amp;" "&amp;F188&amp;" "&amp;G188)</f>
        <v/>
      </c>
    </row>
    <row r="189" customFormat="false" ht="15" hidden="false" customHeight="false" outlineLevel="0" collapsed="false">
      <c r="A189" s="10" t="s">
        <v>1005</v>
      </c>
      <c r="B189" s="11"/>
      <c r="C189" s="11"/>
      <c r="D189" s="11"/>
      <c r="E189" s="11"/>
      <c r="F189" s="11"/>
      <c r="G189" s="11"/>
      <c r="H189" s="11"/>
      <c r="I189" s="11"/>
      <c r="J189" s="11"/>
      <c r="K189" s="12"/>
      <c r="L189" s="12"/>
      <c r="M189" s="11"/>
      <c r="N189" s="11"/>
      <c r="O189" s="10" t="str">
        <f aca="false">IF(COUNTA(B189:N189)=0,"",IF(OR(B189="",C189="",D189="",E189="",G189="",H189="",I189="",J189=""),"ناقص","OK"))</f>
        <v/>
      </c>
      <c r="P189" s="10" t="str">
        <f aca="false">IF(D189="","",B189&amp;" "&amp;C189&amp;" "&amp;D189&amp;" "&amp;E189&amp;" "&amp;F189&amp;" "&amp;G189)</f>
        <v/>
      </c>
    </row>
    <row r="190" customFormat="false" ht="15" hidden="false" customHeight="false" outlineLevel="0" collapsed="false">
      <c r="A190" s="10" t="s">
        <v>1006</v>
      </c>
      <c r="B190" s="11"/>
      <c r="C190" s="11"/>
      <c r="D190" s="11"/>
      <c r="E190" s="11"/>
      <c r="F190" s="11"/>
      <c r="G190" s="11"/>
      <c r="H190" s="11"/>
      <c r="I190" s="11"/>
      <c r="J190" s="11"/>
      <c r="K190" s="12"/>
      <c r="L190" s="12"/>
      <c r="M190" s="11"/>
      <c r="N190" s="11"/>
      <c r="O190" s="10" t="str">
        <f aca="false">IF(COUNTA(B190:N190)=0,"",IF(OR(B190="",C190="",D190="",E190="",G190="",H190="",I190="",J190=""),"ناقص","OK"))</f>
        <v/>
      </c>
      <c r="P190" s="10" t="str">
        <f aca="false">IF(D190="","",B190&amp;" "&amp;C190&amp;" "&amp;D190&amp;" "&amp;E190&amp;" "&amp;F190&amp;" "&amp;G190)</f>
        <v/>
      </c>
    </row>
    <row r="191" customFormat="false" ht="15" hidden="false" customHeight="false" outlineLevel="0" collapsed="false">
      <c r="A191" s="10" t="s">
        <v>1007</v>
      </c>
      <c r="B191" s="11"/>
      <c r="C191" s="11"/>
      <c r="D191" s="11"/>
      <c r="E191" s="11"/>
      <c r="F191" s="11"/>
      <c r="G191" s="11"/>
      <c r="H191" s="11"/>
      <c r="I191" s="11"/>
      <c r="J191" s="11"/>
      <c r="K191" s="12"/>
      <c r="L191" s="12"/>
      <c r="M191" s="11"/>
      <c r="N191" s="11"/>
      <c r="O191" s="10" t="str">
        <f aca="false">IF(COUNTA(B191:N191)=0,"",IF(OR(B191="",C191="",D191="",E191="",G191="",H191="",I191="",J191=""),"ناقص","OK"))</f>
        <v/>
      </c>
      <c r="P191" s="10" t="str">
        <f aca="false">IF(D191="","",B191&amp;" "&amp;C191&amp;" "&amp;D191&amp;" "&amp;E191&amp;" "&amp;F191&amp;" "&amp;G191)</f>
        <v/>
      </c>
    </row>
    <row r="192" customFormat="false" ht="15" hidden="false" customHeight="false" outlineLevel="0" collapsed="false">
      <c r="A192" s="10" t="s">
        <v>1008</v>
      </c>
      <c r="B192" s="11"/>
      <c r="C192" s="11"/>
      <c r="D192" s="11"/>
      <c r="E192" s="11"/>
      <c r="F192" s="11"/>
      <c r="G192" s="11"/>
      <c r="H192" s="11"/>
      <c r="I192" s="11"/>
      <c r="J192" s="11"/>
      <c r="K192" s="12"/>
      <c r="L192" s="12"/>
      <c r="M192" s="11"/>
      <c r="N192" s="11"/>
      <c r="O192" s="10" t="str">
        <f aca="false">IF(COUNTA(B192:N192)=0,"",IF(OR(B192="",C192="",D192="",E192="",G192="",H192="",I192="",J192=""),"ناقص","OK"))</f>
        <v/>
      </c>
      <c r="P192" s="10" t="str">
        <f aca="false">IF(D192="","",B192&amp;" "&amp;C192&amp;" "&amp;D192&amp;" "&amp;E192&amp;" "&amp;F192&amp;" "&amp;G192)</f>
        <v/>
      </c>
    </row>
    <row r="193" customFormat="false" ht="15" hidden="false" customHeight="false" outlineLevel="0" collapsed="false">
      <c r="A193" s="10" t="s">
        <v>1009</v>
      </c>
      <c r="B193" s="11"/>
      <c r="C193" s="11"/>
      <c r="D193" s="11"/>
      <c r="E193" s="11"/>
      <c r="F193" s="11"/>
      <c r="G193" s="11"/>
      <c r="H193" s="11"/>
      <c r="I193" s="11"/>
      <c r="J193" s="11"/>
      <c r="K193" s="12"/>
      <c r="L193" s="12"/>
      <c r="M193" s="11"/>
      <c r="N193" s="11"/>
      <c r="O193" s="10" t="str">
        <f aca="false">IF(COUNTA(B193:N193)=0,"",IF(OR(B193="",C193="",D193="",E193="",G193="",H193="",I193="",J193=""),"ناقص","OK"))</f>
        <v/>
      </c>
      <c r="P193" s="10" t="str">
        <f aca="false">IF(D193="","",B193&amp;" "&amp;C193&amp;" "&amp;D193&amp;" "&amp;E193&amp;" "&amp;F193&amp;" "&amp;G193)</f>
        <v/>
      </c>
    </row>
    <row r="194" customFormat="false" ht="15" hidden="false" customHeight="false" outlineLevel="0" collapsed="false">
      <c r="A194" s="10" t="s">
        <v>1010</v>
      </c>
      <c r="B194" s="11"/>
      <c r="C194" s="11"/>
      <c r="D194" s="11"/>
      <c r="E194" s="11"/>
      <c r="F194" s="11"/>
      <c r="G194" s="11"/>
      <c r="H194" s="11"/>
      <c r="I194" s="11"/>
      <c r="J194" s="11"/>
      <c r="K194" s="12"/>
      <c r="L194" s="12"/>
      <c r="M194" s="11"/>
      <c r="N194" s="11"/>
      <c r="O194" s="10" t="str">
        <f aca="false">IF(COUNTA(B194:N194)=0,"",IF(OR(B194="",C194="",D194="",E194="",G194="",H194="",I194="",J194=""),"ناقص","OK"))</f>
        <v/>
      </c>
      <c r="P194" s="10" t="str">
        <f aca="false">IF(D194="","",B194&amp;" "&amp;C194&amp;" "&amp;D194&amp;" "&amp;E194&amp;" "&amp;F194&amp;" "&amp;G194)</f>
        <v/>
      </c>
    </row>
    <row r="195" customFormat="false" ht="15" hidden="false" customHeight="false" outlineLevel="0" collapsed="false">
      <c r="A195" s="10" t="s">
        <v>1011</v>
      </c>
      <c r="B195" s="11"/>
      <c r="C195" s="11"/>
      <c r="D195" s="11"/>
      <c r="E195" s="11"/>
      <c r="F195" s="11"/>
      <c r="G195" s="11"/>
      <c r="H195" s="11"/>
      <c r="I195" s="11"/>
      <c r="J195" s="11"/>
      <c r="K195" s="12"/>
      <c r="L195" s="12"/>
      <c r="M195" s="11"/>
      <c r="N195" s="11"/>
      <c r="O195" s="10" t="str">
        <f aca="false">IF(COUNTA(B195:N195)=0,"",IF(OR(B195="",C195="",D195="",E195="",G195="",H195="",I195="",J195=""),"ناقص","OK"))</f>
        <v/>
      </c>
      <c r="P195" s="10" t="str">
        <f aca="false">IF(D195="","",B195&amp;" "&amp;C195&amp;" "&amp;D195&amp;" "&amp;E195&amp;" "&amp;F195&amp;" "&amp;G195)</f>
        <v/>
      </c>
    </row>
    <row r="196" customFormat="false" ht="15" hidden="false" customHeight="false" outlineLevel="0" collapsed="false">
      <c r="A196" s="10" t="s">
        <v>1012</v>
      </c>
      <c r="B196" s="11"/>
      <c r="C196" s="11"/>
      <c r="D196" s="11"/>
      <c r="E196" s="11"/>
      <c r="F196" s="11"/>
      <c r="G196" s="11"/>
      <c r="H196" s="11"/>
      <c r="I196" s="11"/>
      <c r="J196" s="11"/>
      <c r="K196" s="12"/>
      <c r="L196" s="12"/>
      <c r="M196" s="11"/>
      <c r="N196" s="11"/>
      <c r="O196" s="10" t="str">
        <f aca="false">IF(COUNTA(B196:N196)=0,"",IF(OR(B196="",C196="",D196="",E196="",G196="",H196="",I196="",J196=""),"ناقص","OK"))</f>
        <v/>
      </c>
      <c r="P196" s="10" t="str">
        <f aca="false">IF(D196="","",B196&amp;" "&amp;C196&amp;" "&amp;D196&amp;" "&amp;E196&amp;" "&amp;F196&amp;" "&amp;G196)</f>
        <v/>
      </c>
    </row>
    <row r="197" customFormat="false" ht="15" hidden="false" customHeight="false" outlineLevel="0" collapsed="false">
      <c r="A197" s="10" t="s">
        <v>1013</v>
      </c>
      <c r="B197" s="11"/>
      <c r="C197" s="11"/>
      <c r="D197" s="11"/>
      <c r="E197" s="11"/>
      <c r="F197" s="11"/>
      <c r="G197" s="11"/>
      <c r="H197" s="11"/>
      <c r="I197" s="11"/>
      <c r="J197" s="11"/>
      <c r="K197" s="12"/>
      <c r="L197" s="12"/>
      <c r="M197" s="11"/>
      <c r="N197" s="11"/>
      <c r="O197" s="10" t="str">
        <f aca="false">IF(COUNTA(B197:N197)=0,"",IF(OR(B197="",C197="",D197="",E197="",G197="",H197="",I197="",J197=""),"ناقص","OK"))</f>
        <v/>
      </c>
      <c r="P197" s="10" t="str">
        <f aca="false">IF(D197="","",B197&amp;" "&amp;C197&amp;" "&amp;D197&amp;" "&amp;E197&amp;" "&amp;F197&amp;" "&amp;G197)</f>
        <v/>
      </c>
    </row>
    <row r="198" customFormat="false" ht="15" hidden="false" customHeight="false" outlineLevel="0" collapsed="false">
      <c r="A198" s="10" t="s">
        <v>1014</v>
      </c>
      <c r="B198" s="11"/>
      <c r="C198" s="11"/>
      <c r="D198" s="11"/>
      <c r="E198" s="11"/>
      <c r="F198" s="11"/>
      <c r="G198" s="11"/>
      <c r="H198" s="11"/>
      <c r="I198" s="11"/>
      <c r="J198" s="11"/>
      <c r="K198" s="12"/>
      <c r="L198" s="12"/>
      <c r="M198" s="11"/>
      <c r="N198" s="11"/>
      <c r="O198" s="10" t="str">
        <f aca="false">IF(COUNTA(B198:N198)=0,"",IF(OR(B198="",C198="",D198="",E198="",G198="",H198="",I198="",J198=""),"ناقص","OK"))</f>
        <v/>
      </c>
      <c r="P198" s="10" t="str">
        <f aca="false">IF(D198="","",B198&amp;" "&amp;C198&amp;" "&amp;D198&amp;" "&amp;E198&amp;" "&amp;F198&amp;" "&amp;G198)</f>
        <v/>
      </c>
    </row>
    <row r="199" customFormat="false" ht="15" hidden="false" customHeight="false" outlineLevel="0" collapsed="false">
      <c r="A199" s="10" t="s">
        <v>1015</v>
      </c>
      <c r="B199" s="11"/>
      <c r="C199" s="11"/>
      <c r="D199" s="11"/>
      <c r="E199" s="11"/>
      <c r="F199" s="11"/>
      <c r="G199" s="11"/>
      <c r="H199" s="11"/>
      <c r="I199" s="11"/>
      <c r="J199" s="11"/>
      <c r="K199" s="12"/>
      <c r="L199" s="12"/>
      <c r="M199" s="11"/>
      <c r="N199" s="11"/>
      <c r="O199" s="10" t="str">
        <f aca="false">IF(COUNTA(B199:N199)=0,"",IF(OR(B199="",C199="",D199="",E199="",G199="",H199="",I199="",J199=""),"ناقص","OK"))</f>
        <v/>
      </c>
      <c r="P199" s="10" t="str">
        <f aca="false">IF(D199="","",B199&amp;" "&amp;C199&amp;" "&amp;D199&amp;" "&amp;E199&amp;" "&amp;F199&amp;" "&amp;G199)</f>
        <v/>
      </c>
    </row>
    <row r="200" customFormat="false" ht="15" hidden="false" customHeight="false" outlineLevel="0" collapsed="false">
      <c r="A200" s="10" t="s">
        <v>1016</v>
      </c>
      <c r="B200" s="11"/>
      <c r="C200" s="11"/>
      <c r="D200" s="11"/>
      <c r="E200" s="11"/>
      <c r="F200" s="11"/>
      <c r="G200" s="11"/>
      <c r="H200" s="11"/>
      <c r="I200" s="11"/>
      <c r="J200" s="11"/>
      <c r="K200" s="12"/>
      <c r="L200" s="12"/>
      <c r="M200" s="11"/>
      <c r="N200" s="11"/>
      <c r="O200" s="10" t="str">
        <f aca="false">IF(COUNTA(B200:N200)=0,"",IF(OR(B200="",C200="",D200="",E200="",G200="",H200="",I200="",J200=""),"ناقص","OK"))</f>
        <v/>
      </c>
      <c r="P200" s="10" t="str">
        <f aca="false">IF(D200="","",B200&amp;" "&amp;C200&amp;" "&amp;D200&amp;" "&amp;E200&amp;" "&amp;F200&amp;" "&amp;G200)</f>
        <v/>
      </c>
    </row>
    <row r="201" customFormat="false" ht="15" hidden="false" customHeight="false" outlineLevel="0" collapsed="false">
      <c r="A201" s="10" t="s">
        <v>1017</v>
      </c>
      <c r="B201" s="11"/>
      <c r="C201" s="11"/>
      <c r="D201" s="11"/>
      <c r="E201" s="11"/>
      <c r="F201" s="11"/>
      <c r="G201" s="11"/>
      <c r="H201" s="11"/>
      <c r="I201" s="11"/>
      <c r="J201" s="11"/>
      <c r="K201" s="12"/>
      <c r="L201" s="12"/>
      <c r="M201" s="11"/>
      <c r="N201" s="11"/>
      <c r="O201" s="10" t="str">
        <f aca="false">IF(COUNTA(B201:N201)=0,"",IF(OR(B201="",C201="",D201="",E201="",G201="",H201="",I201="",J201=""),"ناقص","OK"))</f>
        <v/>
      </c>
      <c r="P201" s="10" t="str">
        <f aca="false">IF(D201="","",B201&amp;" "&amp;C201&amp;" "&amp;D201&amp;" "&amp;E201&amp;" "&amp;F201&amp;" "&amp;G201)</f>
        <v/>
      </c>
    </row>
    <row r="202" customFormat="false" ht="15" hidden="false" customHeight="false" outlineLevel="0" collapsed="false">
      <c r="A202" s="10" t="s">
        <v>1018</v>
      </c>
      <c r="B202" s="11"/>
      <c r="C202" s="11"/>
      <c r="D202" s="11"/>
      <c r="E202" s="11"/>
      <c r="F202" s="11"/>
      <c r="G202" s="11"/>
      <c r="H202" s="11"/>
      <c r="I202" s="11"/>
      <c r="J202" s="11"/>
      <c r="K202" s="12"/>
      <c r="L202" s="12"/>
      <c r="M202" s="11"/>
      <c r="N202" s="11"/>
      <c r="O202" s="10" t="str">
        <f aca="false">IF(COUNTA(B202:N202)=0,"",IF(OR(B202="",C202="",D202="",E202="",G202="",H202="",I202="",J202=""),"ناقص","OK"))</f>
        <v/>
      </c>
      <c r="P202" s="10" t="str">
        <f aca="false">IF(D202="","",B202&amp;" "&amp;C202&amp;" "&amp;D202&amp;" "&amp;E202&amp;" "&amp;F202&amp;" "&amp;G202)</f>
        <v/>
      </c>
    </row>
    <row r="203" customFormat="false" ht="15" hidden="false" customHeight="false" outlineLevel="0" collapsed="false">
      <c r="A203" s="10" t="s">
        <v>1019</v>
      </c>
      <c r="B203" s="11"/>
      <c r="C203" s="11"/>
      <c r="D203" s="11"/>
      <c r="E203" s="11"/>
      <c r="F203" s="11"/>
      <c r="G203" s="11"/>
      <c r="H203" s="11"/>
      <c r="I203" s="11"/>
      <c r="J203" s="11"/>
      <c r="K203" s="12"/>
      <c r="L203" s="12"/>
      <c r="M203" s="11"/>
      <c r="N203" s="11"/>
      <c r="O203" s="10" t="str">
        <f aca="false">IF(COUNTA(B203:N203)=0,"",IF(OR(B203="",C203="",D203="",E203="",G203="",H203="",I203="",J203=""),"ناقص","OK"))</f>
        <v/>
      </c>
      <c r="P203" s="10" t="str">
        <f aca="false">IF(D203="","",B203&amp;" "&amp;C203&amp;" "&amp;D203&amp;" "&amp;E203&amp;" "&amp;F203&amp;" "&amp;G203)</f>
        <v/>
      </c>
    </row>
    <row r="204" customFormat="false" ht="15" hidden="false" customHeight="false" outlineLevel="0" collapsed="false">
      <c r="A204" s="10" t="s">
        <v>1020</v>
      </c>
      <c r="B204" s="11"/>
      <c r="C204" s="11"/>
      <c r="D204" s="11"/>
      <c r="E204" s="11"/>
      <c r="F204" s="11"/>
      <c r="G204" s="11"/>
      <c r="H204" s="11"/>
      <c r="I204" s="11"/>
      <c r="J204" s="11"/>
      <c r="K204" s="12"/>
      <c r="L204" s="12"/>
      <c r="M204" s="11"/>
      <c r="N204" s="11"/>
      <c r="O204" s="10" t="str">
        <f aca="false">IF(COUNTA(B204:N204)=0,"",IF(OR(B204="",C204="",D204="",E204="",G204="",H204="",I204="",J204=""),"ناقص","OK"))</f>
        <v/>
      </c>
      <c r="P204" s="10" t="str">
        <f aca="false">IF(D204="","",B204&amp;" "&amp;C204&amp;" "&amp;D204&amp;" "&amp;E204&amp;" "&amp;F204&amp;" "&amp;G204)</f>
        <v/>
      </c>
    </row>
    <row r="205" customFormat="false" ht="15" hidden="false" customHeight="false" outlineLevel="0" collapsed="false">
      <c r="A205" s="10" t="s">
        <v>1021</v>
      </c>
      <c r="B205" s="11"/>
      <c r="C205" s="11"/>
      <c r="D205" s="11"/>
      <c r="E205" s="11"/>
      <c r="F205" s="11"/>
      <c r="G205" s="11"/>
      <c r="H205" s="11"/>
      <c r="I205" s="11"/>
      <c r="J205" s="11"/>
      <c r="K205" s="12"/>
      <c r="L205" s="12"/>
      <c r="M205" s="11"/>
      <c r="N205" s="11"/>
      <c r="O205" s="10" t="str">
        <f aca="false">IF(COUNTA(B205:N205)=0,"",IF(OR(B205="",C205="",D205="",E205="",G205="",H205="",I205="",J205=""),"ناقص","OK"))</f>
        <v/>
      </c>
      <c r="P205" s="10" t="str">
        <f aca="false">IF(D205="","",B205&amp;" "&amp;C205&amp;" "&amp;D205&amp;" "&amp;E205&amp;" "&amp;F205&amp;" "&amp;G205)</f>
        <v/>
      </c>
    </row>
    <row r="206" customFormat="false" ht="15" hidden="false" customHeight="false" outlineLevel="0" collapsed="false">
      <c r="A206" s="10" t="s">
        <v>1022</v>
      </c>
      <c r="B206" s="11"/>
      <c r="C206" s="11"/>
      <c r="D206" s="11"/>
      <c r="E206" s="11"/>
      <c r="F206" s="11"/>
      <c r="G206" s="11"/>
      <c r="H206" s="11"/>
      <c r="I206" s="11"/>
      <c r="J206" s="11"/>
      <c r="K206" s="12"/>
      <c r="L206" s="12"/>
      <c r="M206" s="11"/>
      <c r="N206" s="11"/>
      <c r="O206" s="10" t="str">
        <f aca="false">IF(COUNTA(B206:N206)=0,"",IF(OR(B206="",C206="",D206="",E206="",G206="",H206="",I206="",J206=""),"ناقص","OK"))</f>
        <v/>
      </c>
      <c r="P206" s="10" t="str">
        <f aca="false">IF(D206="","",B206&amp;" "&amp;C206&amp;" "&amp;D206&amp;" "&amp;E206&amp;" "&amp;F206&amp;" "&amp;G206)</f>
        <v/>
      </c>
    </row>
    <row r="207" customFormat="false" ht="15" hidden="false" customHeight="false" outlineLevel="0" collapsed="false">
      <c r="A207" s="10" t="s">
        <v>1023</v>
      </c>
      <c r="B207" s="11"/>
      <c r="C207" s="11"/>
      <c r="D207" s="11"/>
      <c r="E207" s="11"/>
      <c r="F207" s="11"/>
      <c r="G207" s="11"/>
      <c r="H207" s="11"/>
      <c r="I207" s="11"/>
      <c r="J207" s="11"/>
      <c r="K207" s="12"/>
      <c r="L207" s="12"/>
      <c r="M207" s="11"/>
      <c r="N207" s="11"/>
      <c r="O207" s="10" t="str">
        <f aca="false">IF(COUNTA(B207:N207)=0,"",IF(OR(B207="",C207="",D207="",E207="",G207="",H207="",I207="",J207=""),"ناقص","OK"))</f>
        <v/>
      </c>
      <c r="P207" s="10" t="str">
        <f aca="false">IF(D207="","",B207&amp;" "&amp;C207&amp;" "&amp;D207&amp;" "&amp;E207&amp;" "&amp;F207&amp;" "&amp;G207)</f>
        <v/>
      </c>
    </row>
    <row r="208" customFormat="false" ht="15" hidden="false" customHeight="false" outlineLevel="0" collapsed="false">
      <c r="A208" s="10" t="s">
        <v>1024</v>
      </c>
      <c r="B208" s="11"/>
      <c r="C208" s="11"/>
      <c r="D208" s="11"/>
      <c r="E208" s="11"/>
      <c r="F208" s="11"/>
      <c r="G208" s="11"/>
      <c r="H208" s="11"/>
      <c r="I208" s="11"/>
      <c r="J208" s="11"/>
      <c r="K208" s="12"/>
      <c r="L208" s="12"/>
      <c r="M208" s="11"/>
      <c r="N208" s="11"/>
      <c r="O208" s="10" t="str">
        <f aca="false">IF(COUNTA(B208:N208)=0,"",IF(OR(B208="",C208="",D208="",E208="",G208="",H208="",I208="",J208=""),"ناقص","OK"))</f>
        <v/>
      </c>
      <c r="P208" s="10" t="str">
        <f aca="false">IF(D208="","",B208&amp;" "&amp;C208&amp;" "&amp;D208&amp;" "&amp;E208&amp;" "&amp;F208&amp;" "&amp;G208)</f>
        <v/>
      </c>
    </row>
    <row r="209" customFormat="false" ht="15" hidden="false" customHeight="false" outlineLevel="0" collapsed="false">
      <c r="A209" s="10" t="s">
        <v>1025</v>
      </c>
      <c r="B209" s="11"/>
      <c r="C209" s="11"/>
      <c r="D209" s="11"/>
      <c r="E209" s="11"/>
      <c r="F209" s="11"/>
      <c r="G209" s="11"/>
      <c r="H209" s="11"/>
      <c r="I209" s="11"/>
      <c r="J209" s="11"/>
      <c r="K209" s="12"/>
      <c r="L209" s="12"/>
      <c r="M209" s="11"/>
      <c r="N209" s="11"/>
      <c r="O209" s="10" t="str">
        <f aca="false">IF(COUNTA(B209:N209)=0,"",IF(OR(B209="",C209="",D209="",E209="",G209="",H209="",I209="",J209=""),"ناقص","OK"))</f>
        <v/>
      </c>
      <c r="P209" s="10" t="str">
        <f aca="false">IF(D209="","",B209&amp;" "&amp;C209&amp;" "&amp;D209&amp;" "&amp;E209&amp;" "&amp;F209&amp;" "&amp;G209)</f>
        <v/>
      </c>
    </row>
    <row r="210" customFormat="false" ht="15" hidden="false" customHeight="false" outlineLevel="0" collapsed="false">
      <c r="A210" s="10" t="s">
        <v>1026</v>
      </c>
      <c r="B210" s="11"/>
      <c r="C210" s="11"/>
      <c r="D210" s="11"/>
      <c r="E210" s="11"/>
      <c r="F210" s="11"/>
      <c r="G210" s="11"/>
      <c r="H210" s="11"/>
      <c r="I210" s="11"/>
      <c r="J210" s="11"/>
      <c r="K210" s="12"/>
      <c r="L210" s="12"/>
      <c r="M210" s="11"/>
      <c r="N210" s="11"/>
      <c r="O210" s="10" t="str">
        <f aca="false">IF(COUNTA(B210:N210)=0,"",IF(OR(B210="",C210="",D210="",E210="",G210="",H210="",I210="",J210=""),"ناقص","OK"))</f>
        <v/>
      </c>
      <c r="P210" s="10" t="str">
        <f aca="false">IF(D210="","",B210&amp;" "&amp;C210&amp;" "&amp;D210&amp;" "&amp;E210&amp;" "&amp;F210&amp;" "&amp;G210)</f>
        <v/>
      </c>
    </row>
    <row r="211" customFormat="false" ht="15" hidden="false" customHeight="false" outlineLevel="0" collapsed="false">
      <c r="A211" s="10" t="s">
        <v>1027</v>
      </c>
      <c r="B211" s="11"/>
      <c r="C211" s="11"/>
      <c r="D211" s="11"/>
      <c r="E211" s="11"/>
      <c r="F211" s="11"/>
      <c r="G211" s="11"/>
      <c r="H211" s="11"/>
      <c r="I211" s="11"/>
      <c r="J211" s="11"/>
      <c r="K211" s="12"/>
      <c r="L211" s="12"/>
      <c r="M211" s="11"/>
      <c r="N211" s="11"/>
      <c r="O211" s="10" t="str">
        <f aca="false">IF(COUNTA(B211:N211)=0,"",IF(OR(B211="",C211="",D211="",E211="",G211="",H211="",I211="",J211=""),"ناقص","OK"))</f>
        <v/>
      </c>
      <c r="P211" s="10" t="str">
        <f aca="false">IF(D211="","",B211&amp;" "&amp;C211&amp;" "&amp;D211&amp;" "&amp;E211&amp;" "&amp;F211&amp;" "&amp;G211)</f>
        <v/>
      </c>
    </row>
    <row r="212" customFormat="false" ht="15" hidden="false" customHeight="false" outlineLevel="0" collapsed="false">
      <c r="A212" s="10" t="s">
        <v>1028</v>
      </c>
      <c r="B212" s="11"/>
      <c r="C212" s="11"/>
      <c r="D212" s="11"/>
      <c r="E212" s="11"/>
      <c r="F212" s="11"/>
      <c r="G212" s="11"/>
      <c r="H212" s="11"/>
      <c r="I212" s="11"/>
      <c r="J212" s="11"/>
      <c r="K212" s="12"/>
      <c r="L212" s="12"/>
      <c r="M212" s="11"/>
      <c r="N212" s="11"/>
      <c r="O212" s="10" t="str">
        <f aca="false">IF(COUNTA(B212:N212)=0,"",IF(OR(B212="",C212="",D212="",E212="",G212="",H212="",I212="",J212=""),"ناقص","OK"))</f>
        <v/>
      </c>
      <c r="P212" s="10" t="str">
        <f aca="false">IF(D212="","",B212&amp;" "&amp;C212&amp;" "&amp;D212&amp;" "&amp;E212&amp;" "&amp;F212&amp;" "&amp;G212)</f>
        <v/>
      </c>
    </row>
    <row r="213" customFormat="false" ht="15" hidden="false" customHeight="false" outlineLevel="0" collapsed="false">
      <c r="A213" s="10" t="s">
        <v>1029</v>
      </c>
      <c r="B213" s="11"/>
      <c r="C213" s="11"/>
      <c r="D213" s="11"/>
      <c r="E213" s="11"/>
      <c r="F213" s="11"/>
      <c r="G213" s="11"/>
      <c r="H213" s="11"/>
      <c r="I213" s="11"/>
      <c r="J213" s="11"/>
      <c r="K213" s="12"/>
      <c r="L213" s="12"/>
      <c r="M213" s="11"/>
      <c r="N213" s="11"/>
      <c r="O213" s="10" t="str">
        <f aca="false">IF(COUNTA(B213:N213)=0,"",IF(OR(B213="",C213="",D213="",E213="",G213="",H213="",I213="",J213=""),"ناقص","OK"))</f>
        <v/>
      </c>
      <c r="P213" s="10" t="str">
        <f aca="false">IF(D213="","",B213&amp;" "&amp;C213&amp;" "&amp;D213&amp;" "&amp;E213&amp;" "&amp;F213&amp;" "&amp;G213)</f>
        <v/>
      </c>
    </row>
    <row r="214" customFormat="false" ht="15" hidden="false" customHeight="false" outlineLevel="0" collapsed="false">
      <c r="A214" s="10" t="s">
        <v>1030</v>
      </c>
      <c r="B214" s="11"/>
      <c r="C214" s="11"/>
      <c r="D214" s="11"/>
      <c r="E214" s="11"/>
      <c r="F214" s="11"/>
      <c r="G214" s="11"/>
      <c r="H214" s="11"/>
      <c r="I214" s="11"/>
      <c r="J214" s="11"/>
      <c r="K214" s="12"/>
      <c r="L214" s="12"/>
      <c r="M214" s="11"/>
      <c r="N214" s="11"/>
      <c r="O214" s="10" t="str">
        <f aca="false">IF(COUNTA(B214:N214)=0,"",IF(OR(B214="",C214="",D214="",E214="",G214="",H214="",I214="",J214=""),"ناقص","OK"))</f>
        <v/>
      </c>
      <c r="P214" s="10" t="str">
        <f aca="false">IF(D214="","",B214&amp;" "&amp;C214&amp;" "&amp;D214&amp;" "&amp;E214&amp;" "&amp;F214&amp;" "&amp;G214)</f>
        <v/>
      </c>
    </row>
    <row r="215" customFormat="false" ht="15" hidden="false" customHeight="false" outlineLevel="0" collapsed="false">
      <c r="A215" s="10" t="s">
        <v>1031</v>
      </c>
      <c r="B215" s="11"/>
      <c r="C215" s="11"/>
      <c r="D215" s="11"/>
      <c r="E215" s="11"/>
      <c r="F215" s="11"/>
      <c r="G215" s="11"/>
      <c r="H215" s="11"/>
      <c r="I215" s="11"/>
      <c r="J215" s="11"/>
      <c r="K215" s="12"/>
      <c r="L215" s="12"/>
      <c r="M215" s="11"/>
      <c r="N215" s="11"/>
      <c r="O215" s="10" t="str">
        <f aca="false">IF(COUNTA(B215:N215)=0,"",IF(OR(B215="",C215="",D215="",E215="",G215="",H215="",I215="",J215=""),"ناقص","OK"))</f>
        <v/>
      </c>
      <c r="P215" s="10" t="str">
        <f aca="false">IF(D215="","",B215&amp;" "&amp;C215&amp;" "&amp;D215&amp;" "&amp;E215&amp;" "&amp;F215&amp;" "&amp;G215)</f>
        <v/>
      </c>
    </row>
    <row r="216" customFormat="false" ht="15" hidden="false" customHeight="false" outlineLevel="0" collapsed="false">
      <c r="A216" s="10" t="s">
        <v>1032</v>
      </c>
      <c r="B216" s="11"/>
      <c r="C216" s="11"/>
      <c r="D216" s="11"/>
      <c r="E216" s="11"/>
      <c r="F216" s="11"/>
      <c r="G216" s="11"/>
      <c r="H216" s="11"/>
      <c r="I216" s="11"/>
      <c r="J216" s="11"/>
      <c r="K216" s="12"/>
      <c r="L216" s="12"/>
      <c r="M216" s="11"/>
      <c r="N216" s="11"/>
      <c r="O216" s="10" t="str">
        <f aca="false">IF(COUNTA(B216:N216)=0,"",IF(OR(B216="",C216="",D216="",E216="",G216="",H216="",I216="",J216=""),"ناقص","OK"))</f>
        <v/>
      </c>
      <c r="P216" s="10" t="str">
        <f aca="false">IF(D216="","",B216&amp;" "&amp;C216&amp;" "&amp;D216&amp;" "&amp;E216&amp;" "&amp;F216&amp;" "&amp;G216)</f>
        <v/>
      </c>
    </row>
    <row r="217" customFormat="false" ht="15" hidden="false" customHeight="false" outlineLevel="0" collapsed="false">
      <c r="A217" s="10" t="s">
        <v>1033</v>
      </c>
      <c r="B217" s="11"/>
      <c r="C217" s="11"/>
      <c r="D217" s="11"/>
      <c r="E217" s="11"/>
      <c r="F217" s="11"/>
      <c r="G217" s="11"/>
      <c r="H217" s="11"/>
      <c r="I217" s="11"/>
      <c r="J217" s="11"/>
      <c r="K217" s="12"/>
      <c r="L217" s="12"/>
      <c r="M217" s="11"/>
      <c r="N217" s="11"/>
      <c r="O217" s="10" t="str">
        <f aca="false">IF(COUNTA(B217:N217)=0,"",IF(OR(B217="",C217="",D217="",E217="",G217="",H217="",I217="",J217=""),"ناقص","OK"))</f>
        <v/>
      </c>
      <c r="P217" s="10" t="str">
        <f aca="false">IF(D217="","",B217&amp;" "&amp;C217&amp;" "&amp;D217&amp;" "&amp;E217&amp;" "&amp;F217&amp;" "&amp;G217)</f>
        <v/>
      </c>
    </row>
    <row r="218" customFormat="false" ht="15" hidden="false" customHeight="false" outlineLevel="0" collapsed="false">
      <c r="A218" s="10" t="s">
        <v>1034</v>
      </c>
      <c r="B218" s="11"/>
      <c r="C218" s="11"/>
      <c r="D218" s="11"/>
      <c r="E218" s="11"/>
      <c r="F218" s="11"/>
      <c r="G218" s="11"/>
      <c r="H218" s="11"/>
      <c r="I218" s="11"/>
      <c r="J218" s="11"/>
      <c r="K218" s="12"/>
      <c r="L218" s="12"/>
      <c r="M218" s="11"/>
      <c r="N218" s="11"/>
      <c r="O218" s="10" t="str">
        <f aca="false">IF(COUNTA(B218:N218)=0,"",IF(OR(B218="",C218="",D218="",E218="",G218="",H218="",I218="",J218=""),"ناقص","OK"))</f>
        <v/>
      </c>
      <c r="P218" s="10" t="str">
        <f aca="false">IF(D218="","",B218&amp;" "&amp;C218&amp;" "&amp;D218&amp;" "&amp;E218&amp;" "&amp;F218&amp;" "&amp;G218)</f>
        <v/>
      </c>
    </row>
    <row r="219" customFormat="false" ht="15" hidden="false" customHeight="false" outlineLevel="0" collapsed="false">
      <c r="A219" s="10" t="s">
        <v>1035</v>
      </c>
      <c r="B219" s="11"/>
      <c r="C219" s="11"/>
      <c r="D219" s="11"/>
      <c r="E219" s="11"/>
      <c r="F219" s="11"/>
      <c r="G219" s="11"/>
      <c r="H219" s="11"/>
      <c r="I219" s="11"/>
      <c r="J219" s="11"/>
      <c r="K219" s="12"/>
      <c r="L219" s="12"/>
      <c r="M219" s="11"/>
      <c r="N219" s="11"/>
      <c r="O219" s="10" t="str">
        <f aca="false">IF(COUNTA(B219:N219)=0,"",IF(OR(B219="",C219="",D219="",E219="",G219="",H219="",I219="",J219=""),"ناقص","OK"))</f>
        <v/>
      </c>
      <c r="P219" s="10" t="str">
        <f aca="false">IF(D219="","",B219&amp;" "&amp;C219&amp;" "&amp;D219&amp;" "&amp;E219&amp;" "&amp;F219&amp;" "&amp;G219)</f>
        <v/>
      </c>
    </row>
    <row r="220" customFormat="false" ht="15" hidden="false" customHeight="false" outlineLevel="0" collapsed="false">
      <c r="A220" s="10" t="s">
        <v>1036</v>
      </c>
      <c r="B220" s="11"/>
      <c r="C220" s="11"/>
      <c r="D220" s="11"/>
      <c r="E220" s="11"/>
      <c r="F220" s="11"/>
      <c r="G220" s="11"/>
      <c r="H220" s="11"/>
      <c r="I220" s="11"/>
      <c r="J220" s="11"/>
      <c r="K220" s="12"/>
      <c r="L220" s="12"/>
      <c r="M220" s="11"/>
      <c r="N220" s="11"/>
      <c r="O220" s="10" t="str">
        <f aca="false">IF(COUNTA(B220:N220)=0,"",IF(OR(B220="",C220="",D220="",E220="",G220="",H220="",I220="",J220=""),"ناقص","OK"))</f>
        <v/>
      </c>
      <c r="P220" s="10" t="str">
        <f aca="false">IF(D220="","",B220&amp;" "&amp;C220&amp;" "&amp;D220&amp;" "&amp;E220&amp;" "&amp;F220&amp;" "&amp;G220)</f>
        <v/>
      </c>
    </row>
    <row r="221" customFormat="false" ht="15" hidden="false" customHeight="false" outlineLevel="0" collapsed="false">
      <c r="A221" s="10" t="s">
        <v>1037</v>
      </c>
      <c r="B221" s="11"/>
      <c r="C221" s="11"/>
      <c r="D221" s="11"/>
      <c r="E221" s="11"/>
      <c r="F221" s="11"/>
      <c r="G221" s="11"/>
      <c r="H221" s="11"/>
      <c r="I221" s="11"/>
      <c r="J221" s="11"/>
      <c r="K221" s="12"/>
      <c r="L221" s="12"/>
      <c r="M221" s="11"/>
      <c r="N221" s="11"/>
      <c r="O221" s="10" t="str">
        <f aca="false">IF(COUNTA(B221:N221)=0,"",IF(OR(B221="",C221="",D221="",E221="",G221="",H221="",I221="",J221=""),"ناقص","OK"))</f>
        <v/>
      </c>
      <c r="P221" s="10" t="str">
        <f aca="false">IF(D221="","",B221&amp;" "&amp;C221&amp;" "&amp;D221&amp;" "&amp;E221&amp;" "&amp;F221&amp;" "&amp;G221)</f>
        <v/>
      </c>
    </row>
    <row r="222" customFormat="false" ht="15" hidden="false" customHeight="false" outlineLevel="0" collapsed="false">
      <c r="A222" s="10" t="s">
        <v>1038</v>
      </c>
      <c r="B222" s="11"/>
      <c r="C222" s="11"/>
      <c r="D222" s="11"/>
      <c r="E222" s="11"/>
      <c r="F222" s="11"/>
      <c r="G222" s="11"/>
      <c r="H222" s="11"/>
      <c r="I222" s="11"/>
      <c r="J222" s="11"/>
      <c r="K222" s="12"/>
      <c r="L222" s="12"/>
      <c r="M222" s="11"/>
      <c r="N222" s="11"/>
      <c r="O222" s="10" t="str">
        <f aca="false">IF(COUNTA(B222:N222)=0,"",IF(OR(B222="",C222="",D222="",E222="",G222="",H222="",I222="",J222=""),"ناقص","OK"))</f>
        <v/>
      </c>
      <c r="P222" s="10" t="str">
        <f aca="false">IF(D222="","",B222&amp;" "&amp;C222&amp;" "&amp;D222&amp;" "&amp;E222&amp;" "&amp;F222&amp;" "&amp;G222)</f>
        <v/>
      </c>
    </row>
    <row r="223" customFormat="false" ht="15" hidden="false" customHeight="false" outlineLevel="0" collapsed="false">
      <c r="A223" s="10" t="s">
        <v>1039</v>
      </c>
      <c r="B223" s="11"/>
      <c r="C223" s="11"/>
      <c r="D223" s="11"/>
      <c r="E223" s="11"/>
      <c r="F223" s="11"/>
      <c r="G223" s="11"/>
      <c r="H223" s="11"/>
      <c r="I223" s="11"/>
      <c r="J223" s="11"/>
      <c r="K223" s="12"/>
      <c r="L223" s="12"/>
      <c r="M223" s="11"/>
      <c r="N223" s="11"/>
      <c r="O223" s="10" t="str">
        <f aca="false">IF(COUNTA(B223:N223)=0,"",IF(OR(B223="",C223="",D223="",E223="",G223="",H223="",I223="",J223=""),"ناقص","OK"))</f>
        <v/>
      </c>
      <c r="P223" s="10" t="str">
        <f aca="false">IF(D223="","",B223&amp;" "&amp;C223&amp;" "&amp;D223&amp;" "&amp;E223&amp;" "&amp;F223&amp;" "&amp;G223)</f>
        <v/>
      </c>
    </row>
    <row r="224" customFormat="false" ht="15" hidden="false" customHeight="false" outlineLevel="0" collapsed="false">
      <c r="A224" s="10" t="s">
        <v>1040</v>
      </c>
      <c r="B224" s="11"/>
      <c r="C224" s="11"/>
      <c r="D224" s="11"/>
      <c r="E224" s="11"/>
      <c r="F224" s="11"/>
      <c r="G224" s="11"/>
      <c r="H224" s="11"/>
      <c r="I224" s="11"/>
      <c r="J224" s="11"/>
      <c r="K224" s="12"/>
      <c r="L224" s="12"/>
      <c r="M224" s="11"/>
      <c r="N224" s="11"/>
      <c r="O224" s="10" t="str">
        <f aca="false">IF(COUNTA(B224:N224)=0,"",IF(OR(B224="",C224="",D224="",E224="",G224="",H224="",I224="",J224=""),"ناقص","OK"))</f>
        <v/>
      </c>
      <c r="P224" s="10" t="str">
        <f aca="false">IF(D224="","",B224&amp;" "&amp;C224&amp;" "&amp;D224&amp;" "&amp;E224&amp;" "&amp;F224&amp;" "&amp;G224)</f>
        <v/>
      </c>
    </row>
    <row r="225" customFormat="false" ht="15" hidden="false" customHeight="false" outlineLevel="0" collapsed="false">
      <c r="A225" s="10" t="s">
        <v>1041</v>
      </c>
      <c r="B225" s="11"/>
      <c r="C225" s="11"/>
      <c r="D225" s="11"/>
      <c r="E225" s="11"/>
      <c r="F225" s="11"/>
      <c r="G225" s="11"/>
      <c r="H225" s="11"/>
      <c r="I225" s="11"/>
      <c r="J225" s="11"/>
      <c r="K225" s="12"/>
      <c r="L225" s="12"/>
      <c r="M225" s="11"/>
      <c r="N225" s="11"/>
      <c r="O225" s="10" t="str">
        <f aca="false">IF(COUNTA(B225:N225)=0,"",IF(OR(B225="",C225="",D225="",E225="",G225="",H225="",I225="",J225=""),"ناقص","OK"))</f>
        <v/>
      </c>
      <c r="P225" s="10" t="str">
        <f aca="false">IF(D225="","",B225&amp;" "&amp;C225&amp;" "&amp;D225&amp;" "&amp;E225&amp;" "&amp;F225&amp;" "&amp;G225)</f>
        <v/>
      </c>
    </row>
    <row r="226" customFormat="false" ht="15" hidden="false" customHeight="false" outlineLevel="0" collapsed="false">
      <c r="A226" s="10" t="s">
        <v>1042</v>
      </c>
      <c r="B226" s="11"/>
      <c r="C226" s="11"/>
      <c r="D226" s="11"/>
      <c r="E226" s="11"/>
      <c r="F226" s="11"/>
      <c r="G226" s="11"/>
      <c r="H226" s="11"/>
      <c r="I226" s="11"/>
      <c r="J226" s="11"/>
      <c r="K226" s="12"/>
      <c r="L226" s="12"/>
      <c r="M226" s="11"/>
      <c r="N226" s="11"/>
      <c r="O226" s="10" t="str">
        <f aca="false">IF(COUNTA(B226:N226)=0,"",IF(OR(B226="",C226="",D226="",E226="",G226="",H226="",I226="",J226=""),"ناقص","OK"))</f>
        <v/>
      </c>
      <c r="P226" s="10" t="str">
        <f aca="false">IF(D226="","",B226&amp;" "&amp;C226&amp;" "&amp;D226&amp;" "&amp;E226&amp;" "&amp;F226&amp;" "&amp;G226)</f>
        <v/>
      </c>
    </row>
    <row r="227" customFormat="false" ht="15" hidden="false" customHeight="false" outlineLevel="0" collapsed="false">
      <c r="A227" s="10" t="s">
        <v>1043</v>
      </c>
      <c r="B227" s="11"/>
      <c r="C227" s="11"/>
      <c r="D227" s="11"/>
      <c r="E227" s="11"/>
      <c r="F227" s="11"/>
      <c r="G227" s="11"/>
      <c r="H227" s="11"/>
      <c r="I227" s="11"/>
      <c r="J227" s="11"/>
      <c r="K227" s="12"/>
      <c r="L227" s="12"/>
      <c r="M227" s="11"/>
      <c r="N227" s="11"/>
      <c r="O227" s="10" t="str">
        <f aca="false">IF(COUNTA(B227:N227)=0,"",IF(OR(B227="",C227="",D227="",E227="",G227="",H227="",I227="",J227=""),"ناقص","OK"))</f>
        <v/>
      </c>
      <c r="P227" s="10" t="str">
        <f aca="false">IF(D227="","",B227&amp;" "&amp;C227&amp;" "&amp;D227&amp;" "&amp;E227&amp;" "&amp;F227&amp;" "&amp;G227)</f>
        <v/>
      </c>
    </row>
    <row r="228" customFormat="false" ht="15" hidden="false" customHeight="false" outlineLevel="0" collapsed="false">
      <c r="A228" s="10" t="s">
        <v>1044</v>
      </c>
      <c r="B228" s="11"/>
      <c r="C228" s="11"/>
      <c r="D228" s="11"/>
      <c r="E228" s="11"/>
      <c r="F228" s="11"/>
      <c r="G228" s="11"/>
      <c r="H228" s="11"/>
      <c r="I228" s="11"/>
      <c r="J228" s="11"/>
      <c r="K228" s="12"/>
      <c r="L228" s="12"/>
      <c r="M228" s="11"/>
      <c r="N228" s="11"/>
      <c r="O228" s="10" t="str">
        <f aca="false">IF(COUNTA(B228:N228)=0,"",IF(OR(B228="",C228="",D228="",E228="",G228="",H228="",I228="",J228=""),"ناقص","OK"))</f>
        <v/>
      </c>
      <c r="P228" s="10" t="str">
        <f aca="false">IF(D228="","",B228&amp;" "&amp;C228&amp;" "&amp;D228&amp;" "&amp;E228&amp;" "&amp;F228&amp;" "&amp;G228)</f>
        <v/>
      </c>
    </row>
    <row r="229" customFormat="false" ht="15" hidden="false" customHeight="false" outlineLevel="0" collapsed="false">
      <c r="A229" s="10" t="s">
        <v>1045</v>
      </c>
      <c r="B229" s="11"/>
      <c r="C229" s="11"/>
      <c r="D229" s="11"/>
      <c r="E229" s="11"/>
      <c r="F229" s="11"/>
      <c r="G229" s="11"/>
      <c r="H229" s="11"/>
      <c r="I229" s="11"/>
      <c r="J229" s="11"/>
      <c r="K229" s="12"/>
      <c r="L229" s="12"/>
      <c r="M229" s="11"/>
      <c r="N229" s="11"/>
      <c r="O229" s="10" t="str">
        <f aca="false">IF(COUNTA(B229:N229)=0,"",IF(OR(B229="",C229="",D229="",E229="",G229="",H229="",I229="",J229=""),"ناقص","OK"))</f>
        <v/>
      </c>
      <c r="P229" s="10" t="str">
        <f aca="false">IF(D229="","",B229&amp;" "&amp;C229&amp;" "&amp;D229&amp;" "&amp;E229&amp;" "&amp;F229&amp;" "&amp;G229)</f>
        <v/>
      </c>
    </row>
    <row r="230" customFormat="false" ht="15" hidden="false" customHeight="false" outlineLevel="0" collapsed="false">
      <c r="A230" s="10" t="s">
        <v>1046</v>
      </c>
      <c r="B230" s="11"/>
      <c r="C230" s="11"/>
      <c r="D230" s="11"/>
      <c r="E230" s="11"/>
      <c r="F230" s="11"/>
      <c r="G230" s="11"/>
      <c r="H230" s="11"/>
      <c r="I230" s="11"/>
      <c r="J230" s="11"/>
      <c r="K230" s="12"/>
      <c r="L230" s="12"/>
      <c r="M230" s="11"/>
      <c r="N230" s="11"/>
      <c r="O230" s="10" t="str">
        <f aca="false">IF(COUNTA(B230:N230)=0,"",IF(OR(B230="",C230="",D230="",E230="",G230="",H230="",I230="",J230=""),"ناقص","OK"))</f>
        <v/>
      </c>
      <c r="P230" s="10" t="str">
        <f aca="false">IF(D230="","",B230&amp;" "&amp;C230&amp;" "&amp;D230&amp;" "&amp;E230&amp;" "&amp;F230&amp;" "&amp;G230)</f>
        <v/>
      </c>
    </row>
    <row r="231" customFormat="false" ht="15" hidden="false" customHeight="false" outlineLevel="0" collapsed="false">
      <c r="A231" s="10" t="s">
        <v>1047</v>
      </c>
      <c r="B231" s="11"/>
      <c r="C231" s="11"/>
      <c r="D231" s="11"/>
      <c r="E231" s="11"/>
      <c r="F231" s="11"/>
      <c r="G231" s="11"/>
      <c r="H231" s="11"/>
      <c r="I231" s="11"/>
      <c r="J231" s="11"/>
      <c r="K231" s="12"/>
      <c r="L231" s="12"/>
      <c r="M231" s="11"/>
      <c r="N231" s="11"/>
      <c r="O231" s="10" t="str">
        <f aca="false">IF(COUNTA(B231:N231)=0,"",IF(OR(B231="",C231="",D231="",E231="",G231="",H231="",I231="",J231=""),"ناقص","OK"))</f>
        <v/>
      </c>
      <c r="P231" s="10" t="str">
        <f aca="false">IF(D231="","",B231&amp;" "&amp;C231&amp;" "&amp;D231&amp;" "&amp;E231&amp;" "&amp;F231&amp;" "&amp;G231)</f>
        <v/>
      </c>
    </row>
    <row r="232" customFormat="false" ht="15" hidden="false" customHeight="false" outlineLevel="0" collapsed="false">
      <c r="A232" s="10" t="s">
        <v>1048</v>
      </c>
      <c r="B232" s="11"/>
      <c r="C232" s="11"/>
      <c r="D232" s="11"/>
      <c r="E232" s="11"/>
      <c r="F232" s="11"/>
      <c r="G232" s="11"/>
      <c r="H232" s="11"/>
      <c r="I232" s="11"/>
      <c r="J232" s="11"/>
      <c r="K232" s="12"/>
      <c r="L232" s="12"/>
      <c r="M232" s="11"/>
      <c r="N232" s="11"/>
      <c r="O232" s="10" t="str">
        <f aca="false">IF(COUNTA(B232:N232)=0,"",IF(OR(B232="",C232="",D232="",E232="",G232="",H232="",I232="",J232=""),"ناقص","OK"))</f>
        <v/>
      </c>
      <c r="P232" s="10" t="str">
        <f aca="false">IF(D232="","",B232&amp;" "&amp;C232&amp;" "&amp;D232&amp;" "&amp;E232&amp;" "&amp;F232&amp;" "&amp;G232)</f>
        <v/>
      </c>
    </row>
    <row r="233" customFormat="false" ht="15" hidden="false" customHeight="false" outlineLevel="0" collapsed="false">
      <c r="A233" s="10" t="s">
        <v>1049</v>
      </c>
      <c r="B233" s="11"/>
      <c r="C233" s="11"/>
      <c r="D233" s="11"/>
      <c r="E233" s="11"/>
      <c r="F233" s="11"/>
      <c r="G233" s="11"/>
      <c r="H233" s="11"/>
      <c r="I233" s="11"/>
      <c r="J233" s="11"/>
      <c r="K233" s="12"/>
      <c r="L233" s="12"/>
      <c r="M233" s="11"/>
      <c r="N233" s="11"/>
      <c r="O233" s="10" t="str">
        <f aca="false">IF(COUNTA(B233:N233)=0,"",IF(OR(B233="",C233="",D233="",E233="",G233="",H233="",I233="",J233=""),"ناقص","OK"))</f>
        <v/>
      </c>
      <c r="P233" s="10" t="str">
        <f aca="false">IF(D233="","",B233&amp;" "&amp;C233&amp;" "&amp;D233&amp;" "&amp;E233&amp;" "&amp;F233&amp;" "&amp;G233)</f>
        <v/>
      </c>
    </row>
    <row r="234" customFormat="false" ht="15" hidden="false" customHeight="false" outlineLevel="0" collapsed="false">
      <c r="A234" s="10" t="s">
        <v>1050</v>
      </c>
      <c r="B234" s="11"/>
      <c r="C234" s="11"/>
      <c r="D234" s="11"/>
      <c r="E234" s="11"/>
      <c r="F234" s="11"/>
      <c r="G234" s="11"/>
      <c r="H234" s="11"/>
      <c r="I234" s="11"/>
      <c r="J234" s="11"/>
      <c r="K234" s="12"/>
      <c r="L234" s="12"/>
      <c r="M234" s="11"/>
      <c r="N234" s="11"/>
      <c r="O234" s="10" t="str">
        <f aca="false">IF(COUNTA(B234:N234)=0,"",IF(OR(B234="",C234="",D234="",E234="",G234="",H234="",I234="",J234=""),"ناقص","OK"))</f>
        <v/>
      </c>
      <c r="P234" s="10" t="str">
        <f aca="false">IF(D234="","",B234&amp;" "&amp;C234&amp;" "&amp;D234&amp;" "&amp;E234&amp;" "&amp;F234&amp;" "&amp;G234)</f>
        <v/>
      </c>
    </row>
    <row r="235" customFormat="false" ht="15" hidden="false" customHeight="false" outlineLevel="0" collapsed="false">
      <c r="A235" s="10" t="s">
        <v>1051</v>
      </c>
      <c r="B235" s="11"/>
      <c r="C235" s="11"/>
      <c r="D235" s="11"/>
      <c r="E235" s="11"/>
      <c r="F235" s="11"/>
      <c r="G235" s="11"/>
      <c r="H235" s="11"/>
      <c r="I235" s="11"/>
      <c r="J235" s="11"/>
      <c r="K235" s="12"/>
      <c r="L235" s="12"/>
      <c r="M235" s="11"/>
      <c r="N235" s="11"/>
      <c r="O235" s="10" t="str">
        <f aca="false">IF(COUNTA(B235:N235)=0,"",IF(OR(B235="",C235="",D235="",E235="",G235="",H235="",I235="",J235=""),"ناقص","OK"))</f>
        <v/>
      </c>
      <c r="P235" s="10" t="str">
        <f aca="false">IF(D235="","",B235&amp;" "&amp;C235&amp;" "&amp;D235&amp;" "&amp;E235&amp;" "&amp;F235&amp;" "&amp;G235)</f>
        <v/>
      </c>
    </row>
    <row r="236" customFormat="false" ht="15" hidden="false" customHeight="false" outlineLevel="0" collapsed="false">
      <c r="A236" s="10" t="s">
        <v>1052</v>
      </c>
      <c r="B236" s="11"/>
      <c r="C236" s="11"/>
      <c r="D236" s="11"/>
      <c r="E236" s="11"/>
      <c r="F236" s="11"/>
      <c r="G236" s="11"/>
      <c r="H236" s="11"/>
      <c r="I236" s="11"/>
      <c r="J236" s="11"/>
      <c r="K236" s="12"/>
      <c r="L236" s="12"/>
      <c r="M236" s="11"/>
      <c r="N236" s="11"/>
      <c r="O236" s="10" t="str">
        <f aca="false">IF(COUNTA(B236:N236)=0,"",IF(OR(B236="",C236="",D236="",E236="",G236="",H236="",I236="",J236=""),"ناقص","OK"))</f>
        <v/>
      </c>
      <c r="P236" s="10" t="str">
        <f aca="false">IF(D236="","",B236&amp;" "&amp;C236&amp;" "&amp;D236&amp;" "&amp;E236&amp;" "&amp;F236&amp;" "&amp;G236)</f>
        <v/>
      </c>
    </row>
    <row r="237" customFormat="false" ht="15" hidden="false" customHeight="false" outlineLevel="0" collapsed="false">
      <c r="A237" s="10" t="s">
        <v>1053</v>
      </c>
      <c r="B237" s="11"/>
      <c r="C237" s="11"/>
      <c r="D237" s="11"/>
      <c r="E237" s="11"/>
      <c r="F237" s="11"/>
      <c r="G237" s="11"/>
      <c r="H237" s="11"/>
      <c r="I237" s="11"/>
      <c r="J237" s="11"/>
      <c r="K237" s="12"/>
      <c r="L237" s="12"/>
      <c r="M237" s="11"/>
      <c r="N237" s="11"/>
      <c r="O237" s="10" t="str">
        <f aca="false">IF(COUNTA(B237:N237)=0,"",IF(OR(B237="",C237="",D237="",E237="",G237="",H237="",I237="",J237=""),"ناقص","OK"))</f>
        <v/>
      </c>
      <c r="P237" s="10" t="str">
        <f aca="false">IF(D237="","",B237&amp;" "&amp;C237&amp;" "&amp;D237&amp;" "&amp;E237&amp;" "&amp;F237&amp;" "&amp;G237)</f>
        <v/>
      </c>
    </row>
    <row r="238" customFormat="false" ht="15" hidden="false" customHeight="false" outlineLevel="0" collapsed="false">
      <c r="A238" s="10" t="s">
        <v>1054</v>
      </c>
      <c r="B238" s="11"/>
      <c r="C238" s="11"/>
      <c r="D238" s="11"/>
      <c r="E238" s="11"/>
      <c r="F238" s="11"/>
      <c r="G238" s="11"/>
      <c r="H238" s="11"/>
      <c r="I238" s="11"/>
      <c r="J238" s="11"/>
      <c r="K238" s="12"/>
      <c r="L238" s="12"/>
      <c r="M238" s="11"/>
      <c r="N238" s="11"/>
      <c r="O238" s="10" t="str">
        <f aca="false">IF(COUNTA(B238:N238)=0,"",IF(OR(B238="",C238="",D238="",E238="",G238="",H238="",I238="",J238=""),"ناقص","OK"))</f>
        <v/>
      </c>
      <c r="P238" s="10" t="str">
        <f aca="false">IF(D238="","",B238&amp;" "&amp;C238&amp;" "&amp;D238&amp;" "&amp;E238&amp;" "&amp;F238&amp;" "&amp;G238)</f>
        <v/>
      </c>
    </row>
    <row r="239" customFormat="false" ht="15" hidden="false" customHeight="false" outlineLevel="0" collapsed="false">
      <c r="A239" s="10" t="s">
        <v>1055</v>
      </c>
      <c r="B239" s="11"/>
      <c r="C239" s="11"/>
      <c r="D239" s="11"/>
      <c r="E239" s="11"/>
      <c r="F239" s="11"/>
      <c r="G239" s="11"/>
      <c r="H239" s="11"/>
      <c r="I239" s="11"/>
      <c r="J239" s="11"/>
      <c r="K239" s="12"/>
      <c r="L239" s="12"/>
      <c r="M239" s="11"/>
      <c r="N239" s="11"/>
      <c r="O239" s="10" t="str">
        <f aca="false">IF(COUNTA(B239:N239)=0,"",IF(OR(B239="",C239="",D239="",E239="",G239="",H239="",I239="",J239=""),"ناقص","OK"))</f>
        <v/>
      </c>
      <c r="P239" s="10" t="str">
        <f aca="false">IF(D239="","",B239&amp;" "&amp;C239&amp;" "&amp;D239&amp;" "&amp;E239&amp;" "&amp;F239&amp;" "&amp;G239)</f>
        <v/>
      </c>
    </row>
    <row r="240" customFormat="false" ht="15" hidden="false" customHeight="false" outlineLevel="0" collapsed="false">
      <c r="A240" s="10" t="s">
        <v>1056</v>
      </c>
      <c r="B240" s="11"/>
      <c r="C240" s="11"/>
      <c r="D240" s="11"/>
      <c r="E240" s="11"/>
      <c r="F240" s="11"/>
      <c r="G240" s="11"/>
      <c r="H240" s="11"/>
      <c r="I240" s="11"/>
      <c r="J240" s="11"/>
      <c r="K240" s="12"/>
      <c r="L240" s="12"/>
      <c r="M240" s="11"/>
      <c r="N240" s="11"/>
      <c r="O240" s="10" t="str">
        <f aca="false">IF(COUNTA(B240:N240)=0,"",IF(OR(B240="",C240="",D240="",E240="",G240="",H240="",I240="",J240=""),"ناقص","OK"))</f>
        <v/>
      </c>
      <c r="P240" s="10" t="str">
        <f aca="false">IF(D240="","",B240&amp;" "&amp;C240&amp;" "&amp;D240&amp;" "&amp;E240&amp;" "&amp;F240&amp;" "&amp;G240)</f>
        <v/>
      </c>
    </row>
    <row r="241" customFormat="false" ht="15" hidden="false" customHeight="false" outlineLevel="0" collapsed="false">
      <c r="A241" s="10" t="s">
        <v>1057</v>
      </c>
      <c r="B241" s="11"/>
      <c r="C241" s="11"/>
      <c r="D241" s="11"/>
      <c r="E241" s="11"/>
      <c r="F241" s="11"/>
      <c r="G241" s="11"/>
      <c r="H241" s="11"/>
      <c r="I241" s="11"/>
      <c r="J241" s="11"/>
      <c r="K241" s="12"/>
      <c r="L241" s="12"/>
      <c r="M241" s="11"/>
      <c r="N241" s="11"/>
      <c r="O241" s="10" t="str">
        <f aca="false">IF(COUNTA(B241:N241)=0,"",IF(OR(B241="",C241="",D241="",E241="",G241="",H241="",I241="",J241=""),"ناقص","OK"))</f>
        <v/>
      </c>
      <c r="P241" s="10" t="str">
        <f aca="false">IF(D241="","",B241&amp;" "&amp;C241&amp;" "&amp;D241&amp;" "&amp;E241&amp;" "&amp;F241&amp;" "&amp;G241)</f>
        <v/>
      </c>
    </row>
    <row r="242" customFormat="false" ht="15" hidden="false" customHeight="false" outlineLevel="0" collapsed="false">
      <c r="A242" s="10" t="s">
        <v>1058</v>
      </c>
      <c r="B242" s="11"/>
      <c r="C242" s="11"/>
      <c r="D242" s="11"/>
      <c r="E242" s="11"/>
      <c r="F242" s="11"/>
      <c r="G242" s="11"/>
      <c r="H242" s="11"/>
      <c r="I242" s="11"/>
      <c r="J242" s="11"/>
      <c r="K242" s="12"/>
      <c r="L242" s="12"/>
      <c r="M242" s="11"/>
      <c r="N242" s="11"/>
      <c r="O242" s="10" t="str">
        <f aca="false">IF(COUNTA(B242:N242)=0,"",IF(OR(B242="",C242="",D242="",E242="",G242="",H242="",I242="",J242=""),"ناقص","OK"))</f>
        <v/>
      </c>
      <c r="P242" s="10" t="str">
        <f aca="false">IF(D242="","",B242&amp;" "&amp;C242&amp;" "&amp;D242&amp;" "&amp;E242&amp;" "&amp;F242&amp;" "&amp;G242)</f>
        <v/>
      </c>
    </row>
    <row r="243" customFormat="false" ht="15" hidden="false" customHeight="false" outlineLevel="0" collapsed="false">
      <c r="A243" s="10" t="s">
        <v>1059</v>
      </c>
      <c r="B243" s="11"/>
      <c r="C243" s="11"/>
      <c r="D243" s="11"/>
      <c r="E243" s="11"/>
      <c r="F243" s="11"/>
      <c r="G243" s="11"/>
      <c r="H243" s="11"/>
      <c r="I243" s="11"/>
      <c r="J243" s="11"/>
      <c r="K243" s="12"/>
      <c r="L243" s="12"/>
      <c r="M243" s="11"/>
      <c r="N243" s="11"/>
      <c r="O243" s="10" t="str">
        <f aca="false">IF(COUNTA(B243:N243)=0,"",IF(OR(B243="",C243="",D243="",E243="",G243="",H243="",I243="",J243=""),"ناقص","OK"))</f>
        <v/>
      </c>
      <c r="P243" s="10" t="str">
        <f aca="false">IF(D243="","",B243&amp;" "&amp;C243&amp;" "&amp;D243&amp;" "&amp;E243&amp;" "&amp;F243&amp;" "&amp;G243)</f>
        <v/>
      </c>
    </row>
    <row r="244" customFormat="false" ht="15" hidden="false" customHeight="false" outlineLevel="0" collapsed="false">
      <c r="A244" s="10" t="s">
        <v>1060</v>
      </c>
      <c r="B244" s="11"/>
      <c r="C244" s="11"/>
      <c r="D244" s="11"/>
      <c r="E244" s="11"/>
      <c r="F244" s="11"/>
      <c r="G244" s="11"/>
      <c r="H244" s="11"/>
      <c r="I244" s="11"/>
      <c r="J244" s="11"/>
      <c r="K244" s="12"/>
      <c r="L244" s="12"/>
      <c r="M244" s="11"/>
      <c r="N244" s="11"/>
      <c r="O244" s="10" t="str">
        <f aca="false">IF(COUNTA(B244:N244)=0,"",IF(OR(B244="",C244="",D244="",E244="",G244="",H244="",I244="",J244=""),"ناقص","OK"))</f>
        <v/>
      </c>
      <c r="P244" s="10" t="str">
        <f aca="false">IF(D244="","",B244&amp;" "&amp;C244&amp;" "&amp;D244&amp;" "&amp;E244&amp;" "&amp;F244&amp;" "&amp;G244)</f>
        <v/>
      </c>
    </row>
    <row r="245" customFormat="false" ht="15" hidden="false" customHeight="false" outlineLevel="0" collapsed="false">
      <c r="A245" s="10" t="s">
        <v>1061</v>
      </c>
      <c r="B245" s="11"/>
      <c r="C245" s="11"/>
      <c r="D245" s="11"/>
      <c r="E245" s="11"/>
      <c r="F245" s="11"/>
      <c r="G245" s="11"/>
      <c r="H245" s="11"/>
      <c r="I245" s="11"/>
      <c r="J245" s="11"/>
      <c r="K245" s="12"/>
      <c r="L245" s="12"/>
      <c r="M245" s="11"/>
      <c r="N245" s="11"/>
      <c r="O245" s="10" t="str">
        <f aca="false">IF(COUNTA(B245:N245)=0,"",IF(OR(B245="",C245="",D245="",E245="",G245="",H245="",I245="",J245=""),"ناقص","OK"))</f>
        <v/>
      </c>
      <c r="P245" s="10" t="str">
        <f aca="false">IF(D245="","",B245&amp;" "&amp;C245&amp;" "&amp;D245&amp;" "&amp;E245&amp;" "&amp;F245&amp;" "&amp;G245)</f>
        <v/>
      </c>
    </row>
    <row r="246" customFormat="false" ht="15" hidden="false" customHeight="false" outlineLevel="0" collapsed="false">
      <c r="A246" s="10" t="s">
        <v>1062</v>
      </c>
      <c r="B246" s="11"/>
      <c r="C246" s="11"/>
      <c r="D246" s="11"/>
      <c r="E246" s="11"/>
      <c r="F246" s="11"/>
      <c r="G246" s="11"/>
      <c r="H246" s="11"/>
      <c r="I246" s="11"/>
      <c r="J246" s="11"/>
      <c r="K246" s="12"/>
      <c r="L246" s="12"/>
      <c r="M246" s="11"/>
      <c r="N246" s="11"/>
      <c r="O246" s="10" t="str">
        <f aca="false">IF(COUNTA(B246:N246)=0,"",IF(OR(B246="",C246="",D246="",E246="",G246="",H246="",I246="",J246=""),"ناقص","OK"))</f>
        <v/>
      </c>
      <c r="P246" s="10" t="str">
        <f aca="false">IF(D246="","",B246&amp;" "&amp;C246&amp;" "&amp;D246&amp;" "&amp;E246&amp;" "&amp;F246&amp;" "&amp;G246)</f>
        <v/>
      </c>
    </row>
    <row r="247" customFormat="false" ht="15" hidden="false" customHeight="false" outlineLevel="0" collapsed="false">
      <c r="A247" s="10" t="s">
        <v>1063</v>
      </c>
      <c r="B247" s="11"/>
      <c r="C247" s="11"/>
      <c r="D247" s="11"/>
      <c r="E247" s="11"/>
      <c r="F247" s="11"/>
      <c r="G247" s="11"/>
      <c r="H247" s="11"/>
      <c r="I247" s="11"/>
      <c r="J247" s="11"/>
      <c r="K247" s="12"/>
      <c r="L247" s="12"/>
      <c r="M247" s="11"/>
      <c r="N247" s="11"/>
      <c r="O247" s="10" t="str">
        <f aca="false">IF(COUNTA(B247:N247)=0,"",IF(OR(B247="",C247="",D247="",E247="",G247="",H247="",I247="",J247=""),"ناقص","OK"))</f>
        <v/>
      </c>
      <c r="P247" s="10" t="str">
        <f aca="false">IF(D247="","",B247&amp;" "&amp;C247&amp;" "&amp;D247&amp;" "&amp;E247&amp;" "&amp;F247&amp;" "&amp;G247)</f>
        <v/>
      </c>
    </row>
    <row r="248" customFormat="false" ht="15" hidden="false" customHeight="false" outlineLevel="0" collapsed="false">
      <c r="A248" s="10" t="s">
        <v>1064</v>
      </c>
      <c r="B248" s="11"/>
      <c r="C248" s="11"/>
      <c r="D248" s="11"/>
      <c r="E248" s="11"/>
      <c r="F248" s="11"/>
      <c r="G248" s="11"/>
      <c r="H248" s="11"/>
      <c r="I248" s="11"/>
      <c r="J248" s="11"/>
      <c r="K248" s="12"/>
      <c r="L248" s="12"/>
      <c r="M248" s="11"/>
      <c r="N248" s="11"/>
      <c r="O248" s="10" t="str">
        <f aca="false">IF(COUNTA(B248:N248)=0,"",IF(OR(B248="",C248="",D248="",E248="",G248="",H248="",I248="",J248=""),"ناقص","OK"))</f>
        <v/>
      </c>
      <c r="P248" s="10" t="str">
        <f aca="false">IF(D248="","",B248&amp;" "&amp;C248&amp;" "&amp;D248&amp;" "&amp;E248&amp;" "&amp;F248&amp;" "&amp;G248)</f>
        <v/>
      </c>
    </row>
    <row r="249" customFormat="false" ht="15" hidden="false" customHeight="false" outlineLevel="0" collapsed="false">
      <c r="A249" s="10" t="s">
        <v>1065</v>
      </c>
      <c r="B249" s="11"/>
      <c r="C249" s="11"/>
      <c r="D249" s="11"/>
      <c r="E249" s="11"/>
      <c r="F249" s="11"/>
      <c r="G249" s="11"/>
      <c r="H249" s="11"/>
      <c r="I249" s="11"/>
      <c r="J249" s="11"/>
      <c r="K249" s="12"/>
      <c r="L249" s="12"/>
      <c r="M249" s="11"/>
      <c r="N249" s="11"/>
      <c r="O249" s="10" t="str">
        <f aca="false">IF(COUNTA(B249:N249)=0,"",IF(OR(B249="",C249="",D249="",E249="",G249="",H249="",I249="",J249=""),"ناقص","OK"))</f>
        <v/>
      </c>
      <c r="P249" s="10" t="str">
        <f aca="false">IF(D249="","",B249&amp;" "&amp;C249&amp;" "&amp;D249&amp;" "&amp;E249&amp;" "&amp;F249&amp;" "&amp;G249)</f>
        <v/>
      </c>
    </row>
    <row r="250" customFormat="false" ht="15" hidden="false" customHeight="false" outlineLevel="0" collapsed="false">
      <c r="A250" s="10" t="s">
        <v>1066</v>
      </c>
      <c r="B250" s="11"/>
      <c r="C250" s="11"/>
      <c r="D250" s="11"/>
      <c r="E250" s="11"/>
      <c r="F250" s="11"/>
      <c r="G250" s="11"/>
      <c r="H250" s="11"/>
      <c r="I250" s="11"/>
      <c r="J250" s="11"/>
      <c r="K250" s="12"/>
      <c r="L250" s="12"/>
      <c r="M250" s="11"/>
      <c r="N250" s="11"/>
      <c r="O250" s="10" t="str">
        <f aca="false">IF(COUNTA(B250:N250)=0,"",IF(OR(B250="",C250="",D250="",E250="",G250="",H250="",I250="",J250=""),"ناقص","OK"))</f>
        <v/>
      </c>
      <c r="P250" s="10" t="str">
        <f aca="false">IF(D250="","",B250&amp;" "&amp;C250&amp;" "&amp;D250&amp;" "&amp;E250&amp;" "&amp;F250&amp;" "&amp;G250)</f>
        <v/>
      </c>
    </row>
    <row r="251" customFormat="false" ht="15" hidden="false" customHeight="false" outlineLevel="0" collapsed="false">
      <c r="A251" s="10" t="s">
        <v>1067</v>
      </c>
      <c r="B251" s="11"/>
      <c r="C251" s="11"/>
      <c r="D251" s="11"/>
      <c r="E251" s="11"/>
      <c r="F251" s="11"/>
      <c r="G251" s="11"/>
      <c r="H251" s="11"/>
      <c r="I251" s="11"/>
      <c r="J251" s="11"/>
      <c r="K251" s="12"/>
      <c r="L251" s="12"/>
      <c r="M251" s="11"/>
      <c r="N251" s="11"/>
      <c r="O251" s="10" t="str">
        <f aca="false">IF(COUNTA(B251:N251)=0,"",IF(OR(B251="",C251="",D251="",E251="",G251="",H251="",I251="",J251=""),"ناقص","OK"))</f>
        <v/>
      </c>
      <c r="P251" s="10" t="str">
        <f aca="false">IF(D251="","",B251&amp;" "&amp;C251&amp;" "&amp;D251&amp;" "&amp;E251&amp;" "&amp;F251&amp;" "&amp;G251)</f>
        <v/>
      </c>
    </row>
    <row r="252" customFormat="false" ht="15" hidden="false" customHeight="false" outlineLevel="0" collapsed="false">
      <c r="A252" s="10" t="s">
        <v>1068</v>
      </c>
      <c r="B252" s="11"/>
      <c r="C252" s="11"/>
      <c r="D252" s="11"/>
      <c r="E252" s="11"/>
      <c r="F252" s="11"/>
      <c r="G252" s="11"/>
      <c r="H252" s="11"/>
      <c r="I252" s="11"/>
      <c r="J252" s="11"/>
      <c r="K252" s="12"/>
      <c r="L252" s="12"/>
      <c r="M252" s="11"/>
      <c r="N252" s="11"/>
      <c r="O252" s="10" t="str">
        <f aca="false">IF(COUNTA(B252:N252)=0,"",IF(OR(B252="",C252="",D252="",E252="",G252="",H252="",I252="",J252=""),"ناقص","OK"))</f>
        <v/>
      </c>
      <c r="P252" s="10" t="str">
        <f aca="false">IF(D252="","",B252&amp;" "&amp;C252&amp;" "&amp;D252&amp;" "&amp;E252&amp;" "&amp;F252&amp;" "&amp;G252)</f>
        <v/>
      </c>
    </row>
    <row r="253" customFormat="false" ht="15" hidden="false" customHeight="false" outlineLevel="0" collapsed="false">
      <c r="A253" s="10" t="s">
        <v>1069</v>
      </c>
      <c r="B253" s="11"/>
      <c r="C253" s="11"/>
      <c r="D253" s="11"/>
      <c r="E253" s="11"/>
      <c r="F253" s="11"/>
      <c r="G253" s="11"/>
      <c r="H253" s="11"/>
      <c r="I253" s="11"/>
      <c r="J253" s="11"/>
      <c r="K253" s="12"/>
      <c r="L253" s="12"/>
      <c r="M253" s="11"/>
      <c r="N253" s="11"/>
      <c r="O253" s="10" t="str">
        <f aca="false">IF(COUNTA(B253:N253)=0,"",IF(OR(B253="",C253="",D253="",E253="",G253="",H253="",I253="",J253=""),"ناقص","OK"))</f>
        <v/>
      </c>
      <c r="P253" s="10" t="str">
        <f aca="false">IF(D253="","",B253&amp;" "&amp;C253&amp;" "&amp;D253&amp;" "&amp;E253&amp;" "&amp;F253&amp;" "&amp;G253)</f>
        <v/>
      </c>
    </row>
    <row r="254" customFormat="false" ht="15" hidden="false" customHeight="false" outlineLevel="0" collapsed="false">
      <c r="A254" s="10" t="s">
        <v>1070</v>
      </c>
      <c r="B254" s="11"/>
      <c r="C254" s="11"/>
      <c r="D254" s="11"/>
      <c r="E254" s="11"/>
      <c r="F254" s="11"/>
      <c r="G254" s="11"/>
      <c r="H254" s="11"/>
      <c r="I254" s="11"/>
      <c r="J254" s="11"/>
      <c r="K254" s="12"/>
      <c r="L254" s="12"/>
      <c r="M254" s="11"/>
      <c r="N254" s="11"/>
      <c r="O254" s="10" t="str">
        <f aca="false">IF(COUNTA(B254:N254)=0,"",IF(OR(B254="",C254="",D254="",E254="",G254="",H254="",I254="",J254=""),"ناقص","OK"))</f>
        <v/>
      </c>
      <c r="P254" s="10" t="str">
        <f aca="false">IF(D254="","",B254&amp;" "&amp;C254&amp;" "&amp;D254&amp;" "&amp;E254&amp;" "&amp;F254&amp;" "&amp;G254)</f>
        <v/>
      </c>
    </row>
    <row r="255" customFormat="false" ht="15" hidden="false" customHeight="false" outlineLevel="0" collapsed="false">
      <c r="A255" s="10" t="s">
        <v>1071</v>
      </c>
      <c r="B255" s="11"/>
      <c r="C255" s="11"/>
      <c r="D255" s="11"/>
      <c r="E255" s="11"/>
      <c r="F255" s="11"/>
      <c r="G255" s="11"/>
      <c r="H255" s="11"/>
      <c r="I255" s="11"/>
      <c r="J255" s="11"/>
      <c r="K255" s="12"/>
      <c r="L255" s="12"/>
      <c r="M255" s="11"/>
      <c r="N255" s="11"/>
      <c r="O255" s="10" t="str">
        <f aca="false">IF(COUNTA(B255:N255)=0,"",IF(OR(B255="",C255="",D255="",E255="",G255="",H255="",I255="",J255=""),"ناقص","OK"))</f>
        <v/>
      </c>
      <c r="P255" s="10" t="str">
        <f aca="false">IF(D255="","",B255&amp;" "&amp;C255&amp;" "&amp;D255&amp;" "&amp;E255&amp;" "&amp;F255&amp;" "&amp;G255)</f>
        <v/>
      </c>
    </row>
    <row r="256" customFormat="false" ht="15" hidden="false" customHeight="false" outlineLevel="0" collapsed="false">
      <c r="A256" s="10" t="s">
        <v>1072</v>
      </c>
      <c r="B256" s="11"/>
      <c r="C256" s="11"/>
      <c r="D256" s="11"/>
      <c r="E256" s="11"/>
      <c r="F256" s="11"/>
      <c r="G256" s="11"/>
      <c r="H256" s="11"/>
      <c r="I256" s="11"/>
      <c r="J256" s="11"/>
      <c r="K256" s="12"/>
      <c r="L256" s="12"/>
      <c r="M256" s="11"/>
      <c r="N256" s="11"/>
      <c r="O256" s="10" t="str">
        <f aca="false">IF(COUNTA(B256:N256)=0,"",IF(OR(B256="",C256="",D256="",E256="",G256="",H256="",I256="",J256=""),"ناقص","OK"))</f>
        <v/>
      </c>
      <c r="P256" s="10" t="str">
        <f aca="false">IF(D256="","",B256&amp;" "&amp;C256&amp;" "&amp;D256&amp;" "&amp;E256&amp;" "&amp;F256&amp;" "&amp;G256)</f>
        <v/>
      </c>
    </row>
    <row r="257" customFormat="false" ht="15" hidden="false" customHeight="false" outlineLevel="0" collapsed="false">
      <c r="A257" s="10" t="s">
        <v>1073</v>
      </c>
      <c r="B257" s="11"/>
      <c r="C257" s="11"/>
      <c r="D257" s="11"/>
      <c r="E257" s="11"/>
      <c r="F257" s="11"/>
      <c r="G257" s="11"/>
      <c r="H257" s="11"/>
      <c r="I257" s="11"/>
      <c r="J257" s="11"/>
      <c r="K257" s="12"/>
      <c r="L257" s="12"/>
      <c r="M257" s="11"/>
      <c r="N257" s="11"/>
      <c r="O257" s="10" t="str">
        <f aca="false">IF(COUNTA(B257:N257)=0,"",IF(OR(B257="",C257="",D257="",E257="",G257="",H257="",I257="",J257=""),"ناقص","OK"))</f>
        <v/>
      </c>
      <c r="P257" s="10" t="str">
        <f aca="false">IF(D257="","",B257&amp;" "&amp;C257&amp;" "&amp;D257&amp;" "&amp;E257&amp;" "&amp;F257&amp;" "&amp;G257)</f>
        <v/>
      </c>
    </row>
    <row r="258" customFormat="false" ht="15" hidden="false" customHeight="false" outlineLevel="0" collapsed="false">
      <c r="A258" s="10" t="s">
        <v>1074</v>
      </c>
      <c r="B258" s="11"/>
      <c r="C258" s="11"/>
      <c r="D258" s="11"/>
      <c r="E258" s="11"/>
      <c r="F258" s="11"/>
      <c r="G258" s="11"/>
      <c r="H258" s="11"/>
      <c r="I258" s="11"/>
      <c r="J258" s="11"/>
      <c r="K258" s="12"/>
      <c r="L258" s="12"/>
      <c r="M258" s="11"/>
      <c r="N258" s="11"/>
      <c r="O258" s="10" t="str">
        <f aca="false">IF(COUNTA(B258:N258)=0,"",IF(OR(B258="",C258="",D258="",E258="",G258="",H258="",I258="",J258=""),"ناقص","OK"))</f>
        <v/>
      </c>
      <c r="P258" s="10" t="str">
        <f aca="false">IF(D258="","",B258&amp;" "&amp;C258&amp;" "&amp;D258&amp;" "&amp;E258&amp;" "&amp;F258&amp;" "&amp;G258)</f>
        <v/>
      </c>
    </row>
    <row r="259" customFormat="false" ht="15" hidden="false" customHeight="false" outlineLevel="0" collapsed="false">
      <c r="A259" s="10" t="s">
        <v>1075</v>
      </c>
      <c r="B259" s="11"/>
      <c r="C259" s="11"/>
      <c r="D259" s="11"/>
      <c r="E259" s="11"/>
      <c r="F259" s="11"/>
      <c r="G259" s="11"/>
      <c r="H259" s="11"/>
      <c r="I259" s="11"/>
      <c r="J259" s="11"/>
      <c r="K259" s="12"/>
      <c r="L259" s="12"/>
      <c r="M259" s="11"/>
      <c r="N259" s="11"/>
      <c r="O259" s="10" t="str">
        <f aca="false">IF(COUNTA(B259:N259)=0,"",IF(OR(B259="",C259="",D259="",E259="",G259="",H259="",I259="",J259=""),"ناقص","OK"))</f>
        <v/>
      </c>
      <c r="P259" s="10" t="str">
        <f aca="false">IF(D259="","",B259&amp;" "&amp;C259&amp;" "&amp;D259&amp;" "&amp;E259&amp;" "&amp;F259&amp;" "&amp;G259)</f>
        <v/>
      </c>
    </row>
    <row r="260" customFormat="false" ht="15" hidden="false" customHeight="false" outlineLevel="0" collapsed="false">
      <c r="A260" s="10" t="s">
        <v>1076</v>
      </c>
      <c r="B260" s="11"/>
      <c r="C260" s="11"/>
      <c r="D260" s="11"/>
      <c r="E260" s="11"/>
      <c r="F260" s="11"/>
      <c r="G260" s="11"/>
      <c r="H260" s="11"/>
      <c r="I260" s="11"/>
      <c r="J260" s="11"/>
      <c r="K260" s="12"/>
      <c r="L260" s="12"/>
      <c r="M260" s="11"/>
      <c r="N260" s="11"/>
      <c r="O260" s="10" t="str">
        <f aca="false">IF(COUNTA(B260:N260)=0,"",IF(OR(B260="",C260="",D260="",E260="",G260="",H260="",I260="",J260=""),"ناقص","OK"))</f>
        <v/>
      </c>
      <c r="P260" s="10" t="str">
        <f aca="false">IF(D260="","",B260&amp;" "&amp;C260&amp;" "&amp;D260&amp;" "&amp;E260&amp;" "&amp;F260&amp;" "&amp;G260)</f>
        <v/>
      </c>
    </row>
    <row r="261" customFormat="false" ht="15" hidden="false" customHeight="false" outlineLevel="0" collapsed="false">
      <c r="A261" s="10" t="s">
        <v>1077</v>
      </c>
      <c r="B261" s="11"/>
      <c r="C261" s="11"/>
      <c r="D261" s="11"/>
      <c r="E261" s="11"/>
      <c r="F261" s="11"/>
      <c r="G261" s="11"/>
      <c r="H261" s="11"/>
      <c r="I261" s="11"/>
      <c r="J261" s="11"/>
      <c r="K261" s="12"/>
      <c r="L261" s="12"/>
      <c r="M261" s="11"/>
      <c r="N261" s="11"/>
      <c r="O261" s="10" t="str">
        <f aca="false">IF(COUNTA(B261:N261)=0,"",IF(OR(B261="",C261="",D261="",E261="",G261="",H261="",I261="",J261=""),"ناقص","OK"))</f>
        <v/>
      </c>
      <c r="P261" s="10" t="str">
        <f aca="false">IF(D261="","",B261&amp;" "&amp;C261&amp;" "&amp;D261&amp;" "&amp;E261&amp;" "&amp;F261&amp;" "&amp;G261)</f>
        <v/>
      </c>
    </row>
    <row r="262" customFormat="false" ht="15" hidden="false" customHeight="false" outlineLevel="0" collapsed="false">
      <c r="A262" s="10" t="s">
        <v>1078</v>
      </c>
      <c r="B262" s="11"/>
      <c r="C262" s="11"/>
      <c r="D262" s="11"/>
      <c r="E262" s="11"/>
      <c r="F262" s="11"/>
      <c r="G262" s="11"/>
      <c r="H262" s="11"/>
      <c r="I262" s="11"/>
      <c r="J262" s="11"/>
      <c r="K262" s="12"/>
      <c r="L262" s="12"/>
      <c r="M262" s="11"/>
      <c r="N262" s="11"/>
      <c r="O262" s="10" t="str">
        <f aca="false">IF(COUNTA(B262:N262)=0,"",IF(OR(B262="",C262="",D262="",E262="",G262="",H262="",I262="",J262=""),"ناقص","OK"))</f>
        <v/>
      </c>
      <c r="P262" s="10" t="str">
        <f aca="false">IF(D262="","",B262&amp;" "&amp;C262&amp;" "&amp;D262&amp;" "&amp;E262&amp;" "&amp;F262&amp;" "&amp;G262)</f>
        <v/>
      </c>
    </row>
    <row r="263" customFormat="false" ht="15" hidden="false" customHeight="false" outlineLevel="0" collapsed="false">
      <c r="A263" s="10" t="s">
        <v>1079</v>
      </c>
      <c r="B263" s="11"/>
      <c r="C263" s="11"/>
      <c r="D263" s="11"/>
      <c r="E263" s="11"/>
      <c r="F263" s="11"/>
      <c r="G263" s="11"/>
      <c r="H263" s="11"/>
      <c r="I263" s="11"/>
      <c r="J263" s="11"/>
      <c r="K263" s="12"/>
      <c r="L263" s="12"/>
      <c r="M263" s="11"/>
      <c r="N263" s="11"/>
      <c r="O263" s="10" t="str">
        <f aca="false">IF(COUNTA(B263:N263)=0,"",IF(OR(B263="",C263="",D263="",E263="",G263="",H263="",I263="",J263=""),"ناقص","OK"))</f>
        <v/>
      </c>
      <c r="P263" s="10" t="str">
        <f aca="false">IF(D263="","",B263&amp;" "&amp;C263&amp;" "&amp;D263&amp;" "&amp;E263&amp;" "&amp;F263&amp;" "&amp;G263)</f>
        <v/>
      </c>
    </row>
    <row r="264" customFormat="false" ht="15" hidden="false" customHeight="false" outlineLevel="0" collapsed="false">
      <c r="A264" s="10" t="s">
        <v>1080</v>
      </c>
      <c r="B264" s="11"/>
      <c r="C264" s="11"/>
      <c r="D264" s="11"/>
      <c r="E264" s="11"/>
      <c r="F264" s="11"/>
      <c r="G264" s="11"/>
      <c r="H264" s="11"/>
      <c r="I264" s="11"/>
      <c r="J264" s="11"/>
      <c r="K264" s="12"/>
      <c r="L264" s="12"/>
      <c r="M264" s="11"/>
      <c r="N264" s="11"/>
      <c r="O264" s="10" t="str">
        <f aca="false">IF(COUNTA(B264:N264)=0,"",IF(OR(B264="",C264="",D264="",E264="",G264="",H264="",I264="",J264=""),"ناقص","OK"))</f>
        <v/>
      </c>
      <c r="P264" s="10" t="str">
        <f aca="false">IF(D264="","",B264&amp;" "&amp;C264&amp;" "&amp;D264&amp;" "&amp;E264&amp;" "&amp;F264&amp;" "&amp;G264)</f>
        <v/>
      </c>
    </row>
    <row r="265" customFormat="false" ht="15" hidden="false" customHeight="false" outlineLevel="0" collapsed="false">
      <c r="A265" s="10" t="s">
        <v>1081</v>
      </c>
      <c r="B265" s="11"/>
      <c r="C265" s="11"/>
      <c r="D265" s="11"/>
      <c r="E265" s="11"/>
      <c r="F265" s="11"/>
      <c r="G265" s="11"/>
      <c r="H265" s="11"/>
      <c r="I265" s="11"/>
      <c r="J265" s="11"/>
      <c r="K265" s="12"/>
      <c r="L265" s="12"/>
      <c r="M265" s="11"/>
      <c r="N265" s="11"/>
      <c r="O265" s="10" t="str">
        <f aca="false">IF(COUNTA(B265:N265)=0,"",IF(OR(B265="",C265="",D265="",E265="",G265="",H265="",I265="",J265=""),"ناقص","OK"))</f>
        <v/>
      </c>
      <c r="P265" s="10" t="str">
        <f aca="false">IF(D265="","",B265&amp;" "&amp;C265&amp;" "&amp;D265&amp;" "&amp;E265&amp;" "&amp;F265&amp;" "&amp;G265)</f>
        <v/>
      </c>
    </row>
    <row r="266" customFormat="false" ht="15" hidden="false" customHeight="false" outlineLevel="0" collapsed="false">
      <c r="A266" s="10" t="s">
        <v>1082</v>
      </c>
      <c r="B266" s="11"/>
      <c r="C266" s="11"/>
      <c r="D266" s="11"/>
      <c r="E266" s="11"/>
      <c r="F266" s="11"/>
      <c r="G266" s="11"/>
      <c r="H266" s="11"/>
      <c r="I266" s="11"/>
      <c r="J266" s="11"/>
      <c r="K266" s="12"/>
      <c r="L266" s="12"/>
      <c r="M266" s="11"/>
      <c r="N266" s="11"/>
      <c r="O266" s="10" t="str">
        <f aca="false">IF(COUNTA(B266:N266)=0,"",IF(OR(B266="",C266="",D266="",E266="",G266="",H266="",I266="",J266=""),"ناقص","OK"))</f>
        <v/>
      </c>
      <c r="P266" s="10" t="str">
        <f aca="false">IF(D266="","",B266&amp;" "&amp;C266&amp;" "&amp;D266&amp;" "&amp;E266&amp;" "&amp;F266&amp;" "&amp;G266)</f>
        <v/>
      </c>
    </row>
    <row r="267" customFormat="false" ht="15" hidden="false" customHeight="false" outlineLevel="0" collapsed="false">
      <c r="A267" s="10" t="s">
        <v>1083</v>
      </c>
      <c r="B267" s="11"/>
      <c r="C267" s="11"/>
      <c r="D267" s="11"/>
      <c r="E267" s="11"/>
      <c r="F267" s="11"/>
      <c r="G267" s="11"/>
      <c r="H267" s="11"/>
      <c r="I267" s="11"/>
      <c r="J267" s="11"/>
      <c r="K267" s="12"/>
      <c r="L267" s="12"/>
      <c r="M267" s="11"/>
      <c r="N267" s="11"/>
      <c r="O267" s="10" t="str">
        <f aca="false">IF(COUNTA(B267:N267)=0,"",IF(OR(B267="",C267="",D267="",E267="",G267="",H267="",I267="",J267=""),"ناقص","OK"))</f>
        <v/>
      </c>
      <c r="P267" s="10" t="str">
        <f aca="false">IF(D267="","",B267&amp;" "&amp;C267&amp;" "&amp;D267&amp;" "&amp;E267&amp;" "&amp;F267&amp;" "&amp;G267)</f>
        <v/>
      </c>
    </row>
    <row r="268" customFormat="false" ht="15" hidden="false" customHeight="false" outlineLevel="0" collapsed="false">
      <c r="A268" s="10" t="s">
        <v>1084</v>
      </c>
      <c r="B268" s="11"/>
      <c r="C268" s="11"/>
      <c r="D268" s="11"/>
      <c r="E268" s="11"/>
      <c r="F268" s="11"/>
      <c r="G268" s="11"/>
      <c r="H268" s="11"/>
      <c r="I268" s="11"/>
      <c r="J268" s="11"/>
      <c r="K268" s="12"/>
      <c r="L268" s="12"/>
      <c r="M268" s="11"/>
      <c r="N268" s="11"/>
      <c r="O268" s="10" t="str">
        <f aca="false">IF(COUNTA(B268:N268)=0,"",IF(OR(B268="",C268="",D268="",E268="",G268="",H268="",I268="",J268=""),"ناقص","OK"))</f>
        <v/>
      </c>
      <c r="P268" s="10" t="str">
        <f aca="false">IF(D268="","",B268&amp;" "&amp;C268&amp;" "&amp;D268&amp;" "&amp;E268&amp;" "&amp;F268&amp;" "&amp;G268)</f>
        <v/>
      </c>
    </row>
    <row r="269" customFormat="false" ht="15" hidden="false" customHeight="false" outlineLevel="0" collapsed="false">
      <c r="A269" s="10" t="s">
        <v>1085</v>
      </c>
      <c r="B269" s="11"/>
      <c r="C269" s="11"/>
      <c r="D269" s="11"/>
      <c r="E269" s="11"/>
      <c r="F269" s="11"/>
      <c r="G269" s="11"/>
      <c r="H269" s="11"/>
      <c r="I269" s="11"/>
      <c r="J269" s="11"/>
      <c r="K269" s="12"/>
      <c r="L269" s="12"/>
      <c r="M269" s="11"/>
      <c r="N269" s="11"/>
      <c r="O269" s="10" t="str">
        <f aca="false">IF(COUNTA(B269:N269)=0,"",IF(OR(B269="",C269="",D269="",E269="",G269="",H269="",I269="",J269=""),"ناقص","OK"))</f>
        <v/>
      </c>
      <c r="P269" s="10" t="str">
        <f aca="false">IF(D269="","",B269&amp;" "&amp;C269&amp;" "&amp;D269&amp;" "&amp;E269&amp;" "&amp;F269&amp;" "&amp;G269)</f>
        <v/>
      </c>
    </row>
    <row r="270" customFormat="false" ht="15" hidden="false" customHeight="false" outlineLevel="0" collapsed="false">
      <c r="A270" s="10" t="s">
        <v>1086</v>
      </c>
      <c r="B270" s="11"/>
      <c r="C270" s="11"/>
      <c r="D270" s="11"/>
      <c r="E270" s="11"/>
      <c r="F270" s="11"/>
      <c r="G270" s="11"/>
      <c r="H270" s="11"/>
      <c r="I270" s="11"/>
      <c r="J270" s="11"/>
      <c r="K270" s="12"/>
      <c r="L270" s="12"/>
      <c r="M270" s="11"/>
      <c r="N270" s="11"/>
      <c r="O270" s="10" t="str">
        <f aca="false">IF(COUNTA(B270:N270)=0,"",IF(OR(B270="",C270="",D270="",E270="",G270="",H270="",I270="",J270=""),"ناقص","OK"))</f>
        <v/>
      </c>
      <c r="P270" s="10" t="str">
        <f aca="false">IF(D270="","",B270&amp;" "&amp;C270&amp;" "&amp;D270&amp;" "&amp;E270&amp;" "&amp;F270&amp;" "&amp;G270)</f>
        <v/>
      </c>
    </row>
    <row r="271" customFormat="false" ht="15" hidden="false" customHeight="false" outlineLevel="0" collapsed="false">
      <c r="A271" s="10" t="s">
        <v>1087</v>
      </c>
      <c r="B271" s="11"/>
      <c r="C271" s="11"/>
      <c r="D271" s="11"/>
      <c r="E271" s="11"/>
      <c r="F271" s="11"/>
      <c r="G271" s="11"/>
      <c r="H271" s="11"/>
      <c r="I271" s="11"/>
      <c r="J271" s="11"/>
      <c r="K271" s="12"/>
      <c r="L271" s="12"/>
      <c r="M271" s="11"/>
      <c r="N271" s="11"/>
      <c r="O271" s="10" t="str">
        <f aca="false">IF(COUNTA(B271:N271)=0,"",IF(OR(B271="",C271="",D271="",E271="",G271="",H271="",I271="",J271=""),"ناقص","OK"))</f>
        <v/>
      </c>
      <c r="P271" s="10" t="str">
        <f aca="false">IF(D271="","",B271&amp;" "&amp;C271&amp;" "&amp;D271&amp;" "&amp;E271&amp;" "&amp;F271&amp;" "&amp;G271)</f>
        <v/>
      </c>
    </row>
    <row r="272" customFormat="false" ht="15" hidden="false" customHeight="false" outlineLevel="0" collapsed="false">
      <c r="A272" s="10" t="s">
        <v>1088</v>
      </c>
      <c r="B272" s="11"/>
      <c r="C272" s="11"/>
      <c r="D272" s="11"/>
      <c r="E272" s="11"/>
      <c r="F272" s="11"/>
      <c r="G272" s="11"/>
      <c r="H272" s="11"/>
      <c r="I272" s="11"/>
      <c r="J272" s="11"/>
      <c r="K272" s="12"/>
      <c r="L272" s="12"/>
      <c r="M272" s="11"/>
      <c r="N272" s="11"/>
      <c r="O272" s="10" t="str">
        <f aca="false">IF(COUNTA(B272:N272)=0,"",IF(OR(B272="",C272="",D272="",E272="",G272="",H272="",I272="",J272=""),"ناقص","OK"))</f>
        <v/>
      </c>
      <c r="P272" s="10" t="str">
        <f aca="false">IF(D272="","",B272&amp;" "&amp;C272&amp;" "&amp;D272&amp;" "&amp;E272&amp;" "&amp;F272&amp;" "&amp;G272)</f>
        <v/>
      </c>
    </row>
    <row r="273" customFormat="false" ht="15" hidden="false" customHeight="false" outlineLevel="0" collapsed="false">
      <c r="A273" s="10" t="s">
        <v>1089</v>
      </c>
      <c r="B273" s="11"/>
      <c r="C273" s="11"/>
      <c r="D273" s="11"/>
      <c r="E273" s="11"/>
      <c r="F273" s="11"/>
      <c r="G273" s="11"/>
      <c r="H273" s="11"/>
      <c r="I273" s="11"/>
      <c r="J273" s="11"/>
      <c r="K273" s="12"/>
      <c r="L273" s="12"/>
      <c r="M273" s="11"/>
      <c r="N273" s="11"/>
      <c r="O273" s="10" t="str">
        <f aca="false">IF(COUNTA(B273:N273)=0,"",IF(OR(B273="",C273="",D273="",E273="",G273="",H273="",I273="",J273=""),"ناقص","OK"))</f>
        <v/>
      </c>
      <c r="P273" s="10" t="str">
        <f aca="false">IF(D273="","",B273&amp;" "&amp;C273&amp;" "&amp;D273&amp;" "&amp;E273&amp;" "&amp;F273&amp;" "&amp;G273)</f>
        <v/>
      </c>
    </row>
    <row r="274" customFormat="false" ht="15" hidden="false" customHeight="false" outlineLevel="0" collapsed="false">
      <c r="A274" s="10" t="s">
        <v>1090</v>
      </c>
      <c r="B274" s="11"/>
      <c r="C274" s="11"/>
      <c r="D274" s="11"/>
      <c r="E274" s="11"/>
      <c r="F274" s="11"/>
      <c r="G274" s="11"/>
      <c r="H274" s="11"/>
      <c r="I274" s="11"/>
      <c r="J274" s="11"/>
      <c r="K274" s="12"/>
      <c r="L274" s="12"/>
      <c r="M274" s="11"/>
      <c r="N274" s="11"/>
      <c r="O274" s="10" t="str">
        <f aca="false">IF(COUNTA(B274:N274)=0,"",IF(OR(B274="",C274="",D274="",E274="",G274="",H274="",I274="",J274=""),"ناقص","OK"))</f>
        <v/>
      </c>
      <c r="P274" s="10" t="str">
        <f aca="false">IF(D274="","",B274&amp;" "&amp;C274&amp;" "&amp;D274&amp;" "&amp;E274&amp;" "&amp;F274&amp;" "&amp;G274)</f>
        <v/>
      </c>
    </row>
    <row r="275" customFormat="false" ht="15" hidden="false" customHeight="false" outlineLevel="0" collapsed="false">
      <c r="A275" s="10" t="s">
        <v>1091</v>
      </c>
      <c r="B275" s="11"/>
      <c r="C275" s="11"/>
      <c r="D275" s="11"/>
      <c r="E275" s="11"/>
      <c r="F275" s="11"/>
      <c r="G275" s="11"/>
      <c r="H275" s="11"/>
      <c r="I275" s="11"/>
      <c r="J275" s="11"/>
      <c r="K275" s="12"/>
      <c r="L275" s="12"/>
      <c r="M275" s="11"/>
      <c r="N275" s="11"/>
      <c r="O275" s="10" t="str">
        <f aca="false">IF(COUNTA(B275:N275)=0,"",IF(OR(B275="",C275="",D275="",E275="",G275="",H275="",I275="",J275=""),"ناقص","OK"))</f>
        <v/>
      </c>
      <c r="P275" s="10" t="str">
        <f aca="false">IF(D275="","",B275&amp;" "&amp;C275&amp;" "&amp;D275&amp;" "&amp;E275&amp;" "&amp;F275&amp;" "&amp;G275)</f>
        <v/>
      </c>
    </row>
    <row r="276" customFormat="false" ht="15" hidden="false" customHeight="false" outlineLevel="0" collapsed="false">
      <c r="A276" s="10" t="s">
        <v>1092</v>
      </c>
      <c r="B276" s="11"/>
      <c r="C276" s="11"/>
      <c r="D276" s="11"/>
      <c r="E276" s="11"/>
      <c r="F276" s="11"/>
      <c r="G276" s="11"/>
      <c r="H276" s="11"/>
      <c r="I276" s="11"/>
      <c r="J276" s="11"/>
      <c r="K276" s="12"/>
      <c r="L276" s="12"/>
      <c r="M276" s="11"/>
      <c r="N276" s="11"/>
      <c r="O276" s="10" t="str">
        <f aca="false">IF(COUNTA(B276:N276)=0,"",IF(OR(B276="",C276="",D276="",E276="",G276="",H276="",I276="",J276=""),"ناقص","OK"))</f>
        <v/>
      </c>
      <c r="P276" s="10" t="str">
        <f aca="false">IF(D276="","",B276&amp;" "&amp;C276&amp;" "&amp;D276&amp;" "&amp;E276&amp;" "&amp;F276&amp;" "&amp;G276)</f>
        <v/>
      </c>
    </row>
    <row r="277" customFormat="false" ht="15" hidden="false" customHeight="false" outlineLevel="0" collapsed="false">
      <c r="A277" s="10" t="s">
        <v>1093</v>
      </c>
      <c r="B277" s="11"/>
      <c r="C277" s="11"/>
      <c r="D277" s="11"/>
      <c r="E277" s="11"/>
      <c r="F277" s="11"/>
      <c r="G277" s="11"/>
      <c r="H277" s="11"/>
      <c r="I277" s="11"/>
      <c r="J277" s="11"/>
      <c r="K277" s="12"/>
      <c r="L277" s="12"/>
      <c r="M277" s="11"/>
      <c r="N277" s="11"/>
      <c r="O277" s="10" t="str">
        <f aca="false">IF(COUNTA(B277:N277)=0,"",IF(OR(B277="",C277="",D277="",E277="",G277="",H277="",I277="",J277=""),"ناقص","OK"))</f>
        <v/>
      </c>
      <c r="P277" s="10" t="str">
        <f aca="false">IF(D277="","",B277&amp;" "&amp;C277&amp;" "&amp;D277&amp;" "&amp;E277&amp;" "&amp;F277&amp;" "&amp;G277)</f>
        <v/>
      </c>
    </row>
    <row r="278" customFormat="false" ht="15" hidden="false" customHeight="false" outlineLevel="0" collapsed="false">
      <c r="A278" s="10" t="s">
        <v>1094</v>
      </c>
      <c r="B278" s="11"/>
      <c r="C278" s="11"/>
      <c r="D278" s="11"/>
      <c r="E278" s="11"/>
      <c r="F278" s="11"/>
      <c r="G278" s="11"/>
      <c r="H278" s="11"/>
      <c r="I278" s="11"/>
      <c r="J278" s="11"/>
      <c r="K278" s="12"/>
      <c r="L278" s="12"/>
      <c r="M278" s="11"/>
      <c r="N278" s="11"/>
      <c r="O278" s="10" t="str">
        <f aca="false">IF(COUNTA(B278:N278)=0,"",IF(OR(B278="",C278="",D278="",E278="",G278="",H278="",I278="",J278=""),"ناقص","OK"))</f>
        <v/>
      </c>
      <c r="P278" s="10" t="str">
        <f aca="false">IF(D278="","",B278&amp;" "&amp;C278&amp;" "&amp;D278&amp;" "&amp;E278&amp;" "&amp;F278&amp;" "&amp;G278)</f>
        <v/>
      </c>
    </row>
    <row r="279" customFormat="false" ht="15" hidden="false" customHeight="false" outlineLevel="0" collapsed="false">
      <c r="A279" s="10" t="s">
        <v>1095</v>
      </c>
      <c r="B279" s="11"/>
      <c r="C279" s="11"/>
      <c r="D279" s="11"/>
      <c r="E279" s="11"/>
      <c r="F279" s="11"/>
      <c r="G279" s="11"/>
      <c r="H279" s="11"/>
      <c r="I279" s="11"/>
      <c r="J279" s="11"/>
      <c r="K279" s="12"/>
      <c r="L279" s="12"/>
      <c r="M279" s="11"/>
      <c r="N279" s="11"/>
      <c r="O279" s="10" t="str">
        <f aca="false">IF(COUNTA(B279:N279)=0,"",IF(OR(B279="",C279="",D279="",E279="",G279="",H279="",I279="",J279=""),"ناقص","OK"))</f>
        <v/>
      </c>
      <c r="P279" s="10" t="str">
        <f aca="false">IF(D279="","",B279&amp;" "&amp;C279&amp;" "&amp;D279&amp;" "&amp;E279&amp;" "&amp;F279&amp;" "&amp;G279)</f>
        <v/>
      </c>
    </row>
    <row r="280" customFormat="false" ht="15" hidden="false" customHeight="false" outlineLevel="0" collapsed="false">
      <c r="A280" s="10" t="s">
        <v>1096</v>
      </c>
      <c r="B280" s="11"/>
      <c r="C280" s="11"/>
      <c r="D280" s="11"/>
      <c r="E280" s="11"/>
      <c r="F280" s="11"/>
      <c r="G280" s="11"/>
      <c r="H280" s="11"/>
      <c r="I280" s="11"/>
      <c r="J280" s="11"/>
      <c r="K280" s="12"/>
      <c r="L280" s="12"/>
      <c r="M280" s="11"/>
      <c r="N280" s="11"/>
      <c r="O280" s="10" t="str">
        <f aca="false">IF(COUNTA(B280:N280)=0,"",IF(OR(B280="",C280="",D280="",E280="",G280="",H280="",I280="",J280=""),"ناقص","OK"))</f>
        <v/>
      </c>
      <c r="P280" s="10" t="str">
        <f aca="false">IF(D280="","",B280&amp;" "&amp;C280&amp;" "&amp;D280&amp;" "&amp;E280&amp;" "&amp;F280&amp;" "&amp;G280)</f>
        <v/>
      </c>
    </row>
    <row r="281" customFormat="false" ht="15" hidden="false" customHeight="false" outlineLevel="0" collapsed="false">
      <c r="A281" s="10" t="s">
        <v>1097</v>
      </c>
      <c r="B281" s="11"/>
      <c r="C281" s="11"/>
      <c r="D281" s="11"/>
      <c r="E281" s="11"/>
      <c r="F281" s="11"/>
      <c r="G281" s="11"/>
      <c r="H281" s="11"/>
      <c r="I281" s="11"/>
      <c r="J281" s="11"/>
      <c r="K281" s="12"/>
      <c r="L281" s="12"/>
      <c r="M281" s="11"/>
      <c r="N281" s="11"/>
      <c r="O281" s="10" t="str">
        <f aca="false">IF(COUNTA(B281:N281)=0,"",IF(OR(B281="",C281="",D281="",E281="",G281="",H281="",I281="",J281=""),"ناقص","OK"))</f>
        <v/>
      </c>
      <c r="P281" s="10" t="str">
        <f aca="false">IF(D281="","",B281&amp;" "&amp;C281&amp;" "&amp;D281&amp;" "&amp;E281&amp;" "&amp;F281&amp;" "&amp;G281)</f>
        <v/>
      </c>
    </row>
    <row r="282" customFormat="false" ht="15" hidden="false" customHeight="false" outlineLevel="0" collapsed="false">
      <c r="A282" s="10" t="s">
        <v>1098</v>
      </c>
      <c r="B282" s="11"/>
      <c r="C282" s="11"/>
      <c r="D282" s="11"/>
      <c r="E282" s="11"/>
      <c r="F282" s="11"/>
      <c r="G282" s="11"/>
      <c r="H282" s="11"/>
      <c r="I282" s="11"/>
      <c r="J282" s="11"/>
      <c r="K282" s="12"/>
      <c r="L282" s="12"/>
      <c r="M282" s="11"/>
      <c r="N282" s="11"/>
      <c r="O282" s="10" t="str">
        <f aca="false">IF(COUNTA(B282:N282)=0,"",IF(OR(B282="",C282="",D282="",E282="",G282="",H282="",I282="",J282=""),"ناقص","OK"))</f>
        <v/>
      </c>
      <c r="P282" s="10" t="str">
        <f aca="false">IF(D282="","",B282&amp;" "&amp;C282&amp;" "&amp;D282&amp;" "&amp;E282&amp;" "&amp;F282&amp;" "&amp;G282)</f>
        <v/>
      </c>
    </row>
    <row r="283" customFormat="false" ht="15" hidden="false" customHeight="false" outlineLevel="0" collapsed="false">
      <c r="A283" s="10" t="s">
        <v>1099</v>
      </c>
      <c r="B283" s="11"/>
      <c r="C283" s="11"/>
      <c r="D283" s="11"/>
      <c r="E283" s="11"/>
      <c r="F283" s="11"/>
      <c r="G283" s="11"/>
      <c r="H283" s="11"/>
      <c r="I283" s="11"/>
      <c r="J283" s="11"/>
      <c r="K283" s="12"/>
      <c r="L283" s="12"/>
      <c r="M283" s="11"/>
      <c r="N283" s="11"/>
      <c r="O283" s="10" t="str">
        <f aca="false">IF(COUNTA(B283:N283)=0,"",IF(OR(B283="",C283="",D283="",E283="",G283="",H283="",I283="",J283=""),"ناقص","OK"))</f>
        <v/>
      </c>
      <c r="P283" s="10" t="str">
        <f aca="false">IF(D283="","",B283&amp;" "&amp;C283&amp;" "&amp;D283&amp;" "&amp;E283&amp;" "&amp;F283&amp;" "&amp;G283)</f>
        <v/>
      </c>
    </row>
    <row r="284" customFormat="false" ht="15" hidden="false" customHeight="false" outlineLevel="0" collapsed="false">
      <c r="A284" s="10" t="s">
        <v>1100</v>
      </c>
      <c r="B284" s="11"/>
      <c r="C284" s="11"/>
      <c r="D284" s="11"/>
      <c r="E284" s="11"/>
      <c r="F284" s="11"/>
      <c r="G284" s="11"/>
      <c r="H284" s="11"/>
      <c r="I284" s="11"/>
      <c r="J284" s="11"/>
      <c r="K284" s="12"/>
      <c r="L284" s="12"/>
      <c r="M284" s="11"/>
      <c r="N284" s="11"/>
      <c r="O284" s="10" t="str">
        <f aca="false">IF(COUNTA(B284:N284)=0,"",IF(OR(B284="",C284="",D284="",E284="",G284="",H284="",I284="",J284=""),"ناقص","OK"))</f>
        <v/>
      </c>
      <c r="P284" s="10" t="str">
        <f aca="false">IF(D284="","",B284&amp;" "&amp;C284&amp;" "&amp;D284&amp;" "&amp;E284&amp;" "&amp;F284&amp;" "&amp;G284)</f>
        <v/>
      </c>
    </row>
    <row r="285" customFormat="false" ht="15" hidden="false" customHeight="false" outlineLevel="0" collapsed="false">
      <c r="A285" s="10" t="s">
        <v>1101</v>
      </c>
      <c r="B285" s="11"/>
      <c r="C285" s="11"/>
      <c r="D285" s="11"/>
      <c r="E285" s="11"/>
      <c r="F285" s="11"/>
      <c r="G285" s="11"/>
      <c r="H285" s="11"/>
      <c r="I285" s="11"/>
      <c r="J285" s="11"/>
      <c r="K285" s="12"/>
      <c r="L285" s="12"/>
      <c r="M285" s="11"/>
      <c r="N285" s="11"/>
      <c r="O285" s="10" t="str">
        <f aca="false">IF(COUNTA(B285:N285)=0,"",IF(OR(B285="",C285="",D285="",E285="",G285="",H285="",I285="",J285=""),"ناقص","OK"))</f>
        <v/>
      </c>
      <c r="P285" s="10" t="str">
        <f aca="false">IF(D285="","",B285&amp;" "&amp;C285&amp;" "&amp;D285&amp;" "&amp;E285&amp;" "&amp;F285&amp;" "&amp;G285)</f>
        <v/>
      </c>
    </row>
    <row r="286" customFormat="false" ht="15" hidden="false" customHeight="false" outlineLevel="0" collapsed="false">
      <c r="A286" s="10" t="s">
        <v>1102</v>
      </c>
      <c r="B286" s="11"/>
      <c r="C286" s="11"/>
      <c r="D286" s="11"/>
      <c r="E286" s="11"/>
      <c r="F286" s="11"/>
      <c r="G286" s="11"/>
      <c r="H286" s="11"/>
      <c r="I286" s="11"/>
      <c r="J286" s="11"/>
      <c r="K286" s="12"/>
      <c r="L286" s="12"/>
      <c r="M286" s="11"/>
      <c r="N286" s="11"/>
      <c r="O286" s="10" t="str">
        <f aca="false">IF(COUNTA(B286:N286)=0,"",IF(OR(B286="",C286="",D286="",E286="",G286="",H286="",I286="",J286=""),"ناقص","OK"))</f>
        <v/>
      </c>
      <c r="P286" s="10" t="str">
        <f aca="false">IF(D286="","",B286&amp;" "&amp;C286&amp;" "&amp;D286&amp;" "&amp;E286&amp;" "&amp;F286&amp;" "&amp;G286)</f>
        <v/>
      </c>
    </row>
    <row r="287" customFormat="false" ht="15" hidden="false" customHeight="false" outlineLevel="0" collapsed="false">
      <c r="A287" s="10" t="s">
        <v>1103</v>
      </c>
      <c r="B287" s="11"/>
      <c r="C287" s="11"/>
      <c r="D287" s="11"/>
      <c r="E287" s="11"/>
      <c r="F287" s="11"/>
      <c r="G287" s="11"/>
      <c r="H287" s="11"/>
      <c r="I287" s="11"/>
      <c r="J287" s="11"/>
      <c r="K287" s="12"/>
      <c r="L287" s="12"/>
      <c r="M287" s="11"/>
      <c r="N287" s="11"/>
      <c r="O287" s="10" t="str">
        <f aca="false">IF(COUNTA(B287:N287)=0,"",IF(OR(B287="",C287="",D287="",E287="",G287="",H287="",I287="",J287=""),"ناقص","OK"))</f>
        <v/>
      </c>
      <c r="P287" s="10" t="str">
        <f aca="false">IF(D287="","",B287&amp;" "&amp;C287&amp;" "&amp;D287&amp;" "&amp;E287&amp;" "&amp;F287&amp;" "&amp;G287)</f>
        <v/>
      </c>
    </row>
    <row r="288" customFormat="false" ht="15" hidden="false" customHeight="false" outlineLevel="0" collapsed="false">
      <c r="A288" s="10" t="s">
        <v>1104</v>
      </c>
      <c r="B288" s="11"/>
      <c r="C288" s="11"/>
      <c r="D288" s="11"/>
      <c r="E288" s="11"/>
      <c r="F288" s="11"/>
      <c r="G288" s="11"/>
      <c r="H288" s="11"/>
      <c r="I288" s="11"/>
      <c r="J288" s="11"/>
      <c r="K288" s="12"/>
      <c r="L288" s="12"/>
      <c r="M288" s="11"/>
      <c r="N288" s="11"/>
      <c r="O288" s="10" t="str">
        <f aca="false">IF(COUNTA(B288:N288)=0,"",IF(OR(B288="",C288="",D288="",E288="",G288="",H288="",I288="",J288=""),"ناقص","OK"))</f>
        <v/>
      </c>
      <c r="P288" s="10" t="str">
        <f aca="false">IF(D288="","",B288&amp;" "&amp;C288&amp;" "&amp;D288&amp;" "&amp;E288&amp;" "&amp;F288&amp;" "&amp;G288)</f>
        <v/>
      </c>
    </row>
    <row r="289" customFormat="false" ht="15" hidden="false" customHeight="false" outlineLevel="0" collapsed="false">
      <c r="A289" s="10" t="s">
        <v>1105</v>
      </c>
      <c r="B289" s="11"/>
      <c r="C289" s="11"/>
      <c r="D289" s="11"/>
      <c r="E289" s="11"/>
      <c r="F289" s="11"/>
      <c r="G289" s="11"/>
      <c r="H289" s="11"/>
      <c r="I289" s="11"/>
      <c r="J289" s="11"/>
      <c r="K289" s="12"/>
      <c r="L289" s="12"/>
      <c r="M289" s="11"/>
      <c r="N289" s="11"/>
      <c r="O289" s="10" t="str">
        <f aca="false">IF(COUNTA(B289:N289)=0,"",IF(OR(B289="",C289="",D289="",E289="",G289="",H289="",I289="",J289=""),"ناقص","OK"))</f>
        <v/>
      </c>
      <c r="P289" s="10" t="str">
        <f aca="false">IF(D289="","",B289&amp;" "&amp;C289&amp;" "&amp;D289&amp;" "&amp;E289&amp;" "&amp;F289&amp;" "&amp;G289)</f>
        <v/>
      </c>
    </row>
    <row r="290" customFormat="false" ht="15" hidden="false" customHeight="false" outlineLevel="0" collapsed="false">
      <c r="A290" s="10" t="s">
        <v>1106</v>
      </c>
      <c r="B290" s="11"/>
      <c r="C290" s="11"/>
      <c r="D290" s="11"/>
      <c r="E290" s="11"/>
      <c r="F290" s="11"/>
      <c r="G290" s="11"/>
      <c r="H290" s="11"/>
      <c r="I290" s="11"/>
      <c r="J290" s="11"/>
      <c r="K290" s="12"/>
      <c r="L290" s="12"/>
      <c r="M290" s="11"/>
      <c r="N290" s="11"/>
      <c r="O290" s="10" t="str">
        <f aca="false">IF(COUNTA(B290:N290)=0,"",IF(OR(B290="",C290="",D290="",E290="",G290="",H290="",I290="",J290=""),"ناقص","OK"))</f>
        <v/>
      </c>
      <c r="P290" s="10" t="str">
        <f aca="false">IF(D290="","",B290&amp;" "&amp;C290&amp;" "&amp;D290&amp;" "&amp;E290&amp;" "&amp;F290&amp;" "&amp;G290)</f>
        <v/>
      </c>
    </row>
    <row r="291" customFormat="false" ht="15" hidden="false" customHeight="false" outlineLevel="0" collapsed="false">
      <c r="A291" s="10" t="s">
        <v>1107</v>
      </c>
      <c r="B291" s="11"/>
      <c r="C291" s="11"/>
      <c r="D291" s="11"/>
      <c r="E291" s="11"/>
      <c r="F291" s="11"/>
      <c r="G291" s="11"/>
      <c r="H291" s="11"/>
      <c r="I291" s="11"/>
      <c r="J291" s="11"/>
      <c r="K291" s="12"/>
      <c r="L291" s="12"/>
      <c r="M291" s="11"/>
      <c r="N291" s="11"/>
      <c r="O291" s="10" t="str">
        <f aca="false">IF(COUNTA(B291:N291)=0,"",IF(OR(B291="",C291="",D291="",E291="",G291="",H291="",I291="",J291=""),"ناقص","OK"))</f>
        <v/>
      </c>
      <c r="P291" s="10" t="str">
        <f aca="false">IF(D291="","",B291&amp;" "&amp;C291&amp;" "&amp;D291&amp;" "&amp;E291&amp;" "&amp;F291&amp;" "&amp;G291)</f>
        <v/>
      </c>
    </row>
    <row r="292" customFormat="false" ht="15" hidden="false" customHeight="false" outlineLevel="0" collapsed="false">
      <c r="A292" s="10" t="s">
        <v>1108</v>
      </c>
      <c r="B292" s="11"/>
      <c r="C292" s="11"/>
      <c r="D292" s="11"/>
      <c r="E292" s="11"/>
      <c r="F292" s="11"/>
      <c r="G292" s="11"/>
      <c r="H292" s="11"/>
      <c r="I292" s="11"/>
      <c r="J292" s="11"/>
      <c r="K292" s="12"/>
      <c r="L292" s="12"/>
      <c r="M292" s="11"/>
      <c r="N292" s="11"/>
      <c r="O292" s="10" t="str">
        <f aca="false">IF(COUNTA(B292:N292)=0,"",IF(OR(B292="",C292="",D292="",E292="",G292="",H292="",I292="",J292=""),"ناقص","OK"))</f>
        <v/>
      </c>
      <c r="P292" s="10" t="str">
        <f aca="false">IF(D292="","",B292&amp;" "&amp;C292&amp;" "&amp;D292&amp;" "&amp;E292&amp;" "&amp;F292&amp;" "&amp;G292)</f>
        <v/>
      </c>
    </row>
    <row r="293" customFormat="false" ht="15" hidden="false" customHeight="false" outlineLevel="0" collapsed="false">
      <c r="A293" s="10" t="s">
        <v>1109</v>
      </c>
      <c r="B293" s="11"/>
      <c r="C293" s="11"/>
      <c r="D293" s="11"/>
      <c r="E293" s="11"/>
      <c r="F293" s="11"/>
      <c r="G293" s="11"/>
      <c r="H293" s="11"/>
      <c r="I293" s="11"/>
      <c r="J293" s="11"/>
      <c r="K293" s="12"/>
      <c r="L293" s="12"/>
      <c r="M293" s="11"/>
      <c r="N293" s="11"/>
      <c r="O293" s="10" t="str">
        <f aca="false">IF(COUNTA(B293:N293)=0,"",IF(OR(B293="",C293="",D293="",E293="",G293="",H293="",I293="",J293=""),"ناقص","OK"))</f>
        <v/>
      </c>
      <c r="P293" s="10" t="str">
        <f aca="false">IF(D293="","",B293&amp;" "&amp;C293&amp;" "&amp;D293&amp;" "&amp;E293&amp;" "&amp;F293&amp;" "&amp;G293)</f>
        <v/>
      </c>
    </row>
    <row r="294" customFormat="false" ht="15" hidden="false" customHeight="false" outlineLevel="0" collapsed="false">
      <c r="A294" s="10" t="s">
        <v>1110</v>
      </c>
      <c r="B294" s="11"/>
      <c r="C294" s="11"/>
      <c r="D294" s="11"/>
      <c r="E294" s="11"/>
      <c r="F294" s="11"/>
      <c r="G294" s="11"/>
      <c r="H294" s="11"/>
      <c r="I294" s="11"/>
      <c r="J294" s="11"/>
      <c r="K294" s="12"/>
      <c r="L294" s="12"/>
      <c r="M294" s="11"/>
      <c r="N294" s="11"/>
      <c r="O294" s="10" t="str">
        <f aca="false">IF(COUNTA(B294:N294)=0,"",IF(OR(B294="",C294="",D294="",E294="",G294="",H294="",I294="",J294=""),"ناقص","OK"))</f>
        <v/>
      </c>
      <c r="P294" s="10" t="str">
        <f aca="false">IF(D294="","",B294&amp;" "&amp;C294&amp;" "&amp;D294&amp;" "&amp;E294&amp;" "&amp;F294&amp;" "&amp;G294)</f>
        <v/>
      </c>
    </row>
    <row r="295" customFormat="false" ht="15" hidden="false" customHeight="false" outlineLevel="0" collapsed="false">
      <c r="A295" s="10" t="s">
        <v>1111</v>
      </c>
      <c r="B295" s="11"/>
      <c r="C295" s="11"/>
      <c r="D295" s="11"/>
      <c r="E295" s="11"/>
      <c r="F295" s="11"/>
      <c r="G295" s="11"/>
      <c r="H295" s="11"/>
      <c r="I295" s="11"/>
      <c r="J295" s="11"/>
      <c r="K295" s="12"/>
      <c r="L295" s="12"/>
      <c r="M295" s="11"/>
      <c r="N295" s="11"/>
      <c r="O295" s="10" t="str">
        <f aca="false">IF(COUNTA(B295:N295)=0,"",IF(OR(B295="",C295="",D295="",E295="",G295="",H295="",I295="",J295=""),"ناقص","OK"))</f>
        <v/>
      </c>
      <c r="P295" s="10" t="str">
        <f aca="false">IF(D295="","",B295&amp;" "&amp;C295&amp;" "&amp;D295&amp;" "&amp;E295&amp;" "&amp;F295&amp;" "&amp;G295)</f>
        <v/>
      </c>
    </row>
    <row r="296" customFormat="false" ht="15" hidden="false" customHeight="false" outlineLevel="0" collapsed="false">
      <c r="A296" s="10" t="s">
        <v>1112</v>
      </c>
      <c r="B296" s="11"/>
      <c r="C296" s="11"/>
      <c r="D296" s="11"/>
      <c r="E296" s="11"/>
      <c r="F296" s="11"/>
      <c r="G296" s="11"/>
      <c r="H296" s="11"/>
      <c r="I296" s="11"/>
      <c r="J296" s="11"/>
      <c r="K296" s="12"/>
      <c r="L296" s="12"/>
      <c r="M296" s="11"/>
      <c r="N296" s="11"/>
      <c r="O296" s="10" t="str">
        <f aca="false">IF(COUNTA(B296:N296)=0,"",IF(OR(B296="",C296="",D296="",E296="",G296="",H296="",I296="",J296=""),"ناقص","OK"))</f>
        <v/>
      </c>
      <c r="P296" s="10" t="str">
        <f aca="false">IF(D296="","",B296&amp;" "&amp;C296&amp;" "&amp;D296&amp;" "&amp;E296&amp;" "&amp;F296&amp;" "&amp;G296)</f>
        <v/>
      </c>
    </row>
    <row r="297" customFormat="false" ht="15" hidden="false" customHeight="false" outlineLevel="0" collapsed="false">
      <c r="A297" s="10" t="s">
        <v>1113</v>
      </c>
      <c r="B297" s="11"/>
      <c r="C297" s="11"/>
      <c r="D297" s="11"/>
      <c r="E297" s="11"/>
      <c r="F297" s="11"/>
      <c r="G297" s="11"/>
      <c r="H297" s="11"/>
      <c r="I297" s="11"/>
      <c r="J297" s="11"/>
      <c r="K297" s="12"/>
      <c r="L297" s="12"/>
      <c r="M297" s="11"/>
      <c r="N297" s="11"/>
      <c r="O297" s="10" t="str">
        <f aca="false">IF(COUNTA(B297:N297)=0,"",IF(OR(B297="",C297="",D297="",E297="",G297="",H297="",I297="",J297=""),"ناقص","OK"))</f>
        <v/>
      </c>
      <c r="P297" s="10" t="str">
        <f aca="false">IF(D297="","",B297&amp;" "&amp;C297&amp;" "&amp;D297&amp;" "&amp;E297&amp;" "&amp;F297&amp;" "&amp;G297)</f>
        <v/>
      </c>
    </row>
    <row r="298" customFormat="false" ht="15" hidden="false" customHeight="false" outlineLevel="0" collapsed="false">
      <c r="A298" s="10" t="s">
        <v>1114</v>
      </c>
      <c r="B298" s="11"/>
      <c r="C298" s="11"/>
      <c r="D298" s="11"/>
      <c r="E298" s="11"/>
      <c r="F298" s="11"/>
      <c r="G298" s="11"/>
      <c r="H298" s="11"/>
      <c r="I298" s="11"/>
      <c r="J298" s="11"/>
      <c r="K298" s="12"/>
      <c r="L298" s="12"/>
      <c r="M298" s="11"/>
      <c r="N298" s="11"/>
      <c r="O298" s="10" t="str">
        <f aca="false">IF(COUNTA(B298:N298)=0,"",IF(OR(B298="",C298="",D298="",E298="",G298="",H298="",I298="",J298=""),"ناقص","OK"))</f>
        <v/>
      </c>
      <c r="P298" s="10" t="str">
        <f aca="false">IF(D298="","",B298&amp;" "&amp;C298&amp;" "&amp;D298&amp;" "&amp;E298&amp;" "&amp;F298&amp;" "&amp;G298)</f>
        <v/>
      </c>
    </row>
    <row r="299" customFormat="false" ht="15" hidden="false" customHeight="false" outlineLevel="0" collapsed="false">
      <c r="A299" s="10" t="s">
        <v>1115</v>
      </c>
      <c r="B299" s="11"/>
      <c r="C299" s="11"/>
      <c r="D299" s="11"/>
      <c r="E299" s="11"/>
      <c r="F299" s="11"/>
      <c r="G299" s="11"/>
      <c r="H299" s="11"/>
      <c r="I299" s="11"/>
      <c r="J299" s="11"/>
      <c r="K299" s="12"/>
      <c r="L299" s="12"/>
      <c r="M299" s="11"/>
      <c r="N299" s="11"/>
      <c r="O299" s="10" t="str">
        <f aca="false">IF(COUNTA(B299:N299)=0,"",IF(OR(B299="",C299="",D299="",E299="",G299="",H299="",I299="",J299=""),"ناقص","OK"))</f>
        <v/>
      </c>
      <c r="P299" s="10" t="str">
        <f aca="false">IF(D299="","",B299&amp;" "&amp;C299&amp;" "&amp;D299&amp;" "&amp;E299&amp;" "&amp;F299&amp;" "&amp;G299)</f>
        <v/>
      </c>
    </row>
    <row r="300" customFormat="false" ht="15" hidden="false" customHeight="false" outlineLevel="0" collapsed="false">
      <c r="A300" s="10" t="s">
        <v>1116</v>
      </c>
      <c r="B300" s="11"/>
      <c r="C300" s="11"/>
      <c r="D300" s="11"/>
      <c r="E300" s="11"/>
      <c r="F300" s="11"/>
      <c r="G300" s="11"/>
      <c r="H300" s="11"/>
      <c r="I300" s="11"/>
      <c r="J300" s="11"/>
      <c r="K300" s="12"/>
      <c r="L300" s="12"/>
      <c r="M300" s="11"/>
      <c r="N300" s="11"/>
      <c r="O300" s="10" t="str">
        <f aca="false">IF(COUNTA(B300:N300)=0,"",IF(OR(B300="",C300="",D300="",E300="",G300="",H300="",I300="",J300=""),"ناقص","OK"))</f>
        <v/>
      </c>
      <c r="P300" s="10" t="str">
        <f aca="false">IF(D300="","",B300&amp;" "&amp;C300&amp;" "&amp;D300&amp;" "&amp;E300&amp;" "&amp;F300&amp;" "&amp;G300)</f>
        <v/>
      </c>
    </row>
    <row r="301" customFormat="false" ht="15" hidden="false" customHeight="false" outlineLevel="0" collapsed="false">
      <c r="A301" s="10" t="s">
        <v>1117</v>
      </c>
      <c r="B301" s="11"/>
      <c r="C301" s="11"/>
      <c r="D301" s="11"/>
      <c r="E301" s="11"/>
      <c r="F301" s="11"/>
      <c r="G301" s="11"/>
      <c r="H301" s="11"/>
      <c r="I301" s="11"/>
      <c r="J301" s="11"/>
      <c r="K301" s="12"/>
      <c r="L301" s="12"/>
      <c r="M301" s="11"/>
      <c r="N301" s="11"/>
      <c r="O301" s="10" t="str">
        <f aca="false">IF(COUNTA(B301:N301)=0,"",IF(OR(B301="",C301="",D301="",E301="",G301="",H301="",I301="",J301=""),"ناقص","OK"))</f>
        <v/>
      </c>
      <c r="P301" s="10" t="str">
        <f aca="false">IF(D301="","",B301&amp;" "&amp;C301&amp;" "&amp;D301&amp;" "&amp;E301&amp;" "&amp;F301&amp;" "&amp;G301)</f>
        <v/>
      </c>
    </row>
  </sheetData>
  <autoFilter ref="A1:P301"/>
  <conditionalFormatting sqref="O2:O301">
    <cfRule type="expression" priority="2" aboveAverage="0" equalAverage="0" bottom="0" percent="0" rank="0" text="" dxfId="6">
      <formula>O2="OK"</formula>
    </cfRule>
    <cfRule type="expression" priority="3" aboveAverage="0" equalAverage="0" bottom="0" percent="0" rank="0" text="" dxfId="7">
      <formula>AND(O2&lt;&gt;"",O2&lt;&gt;"OK")</formula>
    </cfRule>
  </conditionalFormatting>
  <dataValidations count="4">
    <dataValidation allowBlank="true" error="اختار من القائمة المنسدلة." errorStyle="stop" errorTitle="قيمة غير مسموحة" operator="between" showDropDown="false" showErrorMessage="true" showInputMessage="false" sqref="B2:B301" type="list">
      <formula1>Lists!$F$2:$F$13</formula1>
      <formula2>0</formula2>
    </dataValidation>
    <dataValidation allowBlank="true" error="اختار من القائمة المنسدلة." errorStyle="stop" errorTitle="قيمة غير مسموحة" operator="between" showDropDown="false" showErrorMessage="true" showInputMessage="false" sqref="I2:I301" type="list">
      <formula1>Lists!$G$2:$G$4</formula1>
      <formula2>0</formula2>
    </dataValidation>
    <dataValidation allowBlank="true" error="اختار من القائمة المنسدلة." errorStyle="stop" errorTitle="قيمة غير مسموحة" operator="between" showDropDown="false" showErrorMessage="true" showInputMessage="false" sqref="J2:J301" type="list">
      <formula1>Lists!$H$2:$H$4</formula1>
      <formula2>0</formula2>
    </dataValidation>
    <dataValidation allowBlank="true" error="التكلفة رقم فقط بالجنيه" errorStyle="stop" operator="greaterThanOrEqual" showDropDown="false" showErrorMessage="true" showInputMessage="false" sqref="K2:L301"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1" min="1" style="0" width="18"/>
  </cols>
  <sheetData>
    <row r="1" customFormat="false" ht="15" hidden="false" customHeight="false" outlineLevel="0" collapsed="false">
      <c r="A1" s="13" t="s">
        <v>55</v>
      </c>
      <c r="B1" s="13" t="s">
        <v>29</v>
      </c>
      <c r="C1" s="13" t="s">
        <v>58</v>
      </c>
      <c r="D1" s="13" t="s">
        <v>59</v>
      </c>
      <c r="E1" s="13" t="s">
        <v>1118</v>
      </c>
      <c r="F1" s="13" t="s">
        <v>498</v>
      </c>
      <c r="G1" s="13" t="s">
        <v>502</v>
      </c>
      <c r="H1" s="13" t="s">
        <v>503</v>
      </c>
      <c r="J1" s="13" t="s">
        <v>51</v>
      </c>
      <c r="K1" s="13" t="s">
        <v>52</v>
      </c>
      <c r="M1" s="14" t="s">
        <v>1119</v>
      </c>
    </row>
    <row r="2" customFormat="false" ht="15" hidden="false" customHeight="false" outlineLevel="0" collapsed="false">
      <c r="A2" s="15" t="s">
        <v>74</v>
      </c>
      <c r="B2" s="15" t="s">
        <v>75</v>
      </c>
      <c r="C2" s="15" t="s">
        <v>76</v>
      </c>
      <c r="D2" s="15" t="s">
        <v>77</v>
      </c>
      <c r="E2" s="15" t="s">
        <v>83</v>
      </c>
      <c r="F2" s="15" t="s">
        <v>524</v>
      </c>
      <c r="G2" s="15" t="s">
        <v>568</v>
      </c>
      <c r="H2" s="15" t="s">
        <v>83</v>
      </c>
      <c r="I2" s="15"/>
      <c r="J2" s="15" t="s">
        <v>71</v>
      </c>
      <c r="K2" s="15" t="s">
        <v>1120</v>
      </c>
      <c r="L2" s="15"/>
      <c r="M2" s="15"/>
    </row>
    <row r="3" customFormat="false" ht="15" hidden="false" customHeight="false" outlineLevel="0" collapsed="false">
      <c r="A3" s="15" t="s">
        <v>1121</v>
      </c>
      <c r="B3" s="15" t="s">
        <v>1122</v>
      </c>
      <c r="C3" s="15" t="s">
        <v>771</v>
      </c>
      <c r="D3" s="15" t="s">
        <v>1123</v>
      </c>
      <c r="E3" s="15" t="s">
        <v>514</v>
      </c>
      <c r="F3" s="15" t="s">
        <v>622</v>
      </c>
      <c r="G3" s="15" t="s">
        <v>513</v>
      </c>
      <c r="H3" s="15" t="s">
        <v>514</v>
      </c>
      <c r="I3" s="15"/>
      <c r="J3" s="15" t="s">
        <v>91</v>
      </c>
      <c r="K3" s="15" t="s">
        <v>1124</v>
      </c>
      <c r="L3" s="15"/>
      <c r="M3" s="15"/>
    </row>
    <row r="4" customFormat="false" ht="15" hidden="false" customHeight="false" outlineLevel="0" collapsed="false">
      <c r="A4" s="15"/>
      <c r="B4" s="15" t="s">
        <v>110</v>
      </c>
      <c r="C4" s="15" t="s">
        <v>225</v>
      </c>
      <c r="D4" s="15" t="s">
        <v>88</v>
      </c>
      <c r="E4" s="15"/>
      <c r="F4" s="15" t="s">
        <v>181</v>
      </c>
      <c r="G4" s="15" t="s">
        <v>547</v>
      </c>
      <c r="H4" s="15" t="s">
        <v>531</v>
      </c>
      <c r="I4" s="15"/>
      <c r="J4" s="15" t="s">
        <v>107</v>
      </c>
      <c r="K4" s="15" t="s">
        <v>1125</v>
      </c>
      <c r="L4" s="15"/>
      <c r="M4" s="15"/>
    </row>
    <row r="5" customFormat="false" ht="15" hidden="false" customHeight="false" outlineLevel="0" collapsed="false">
      <c r="A5" s="15"/>
      <c r="B5" s="15" t="s">
        <v>102</v>
      </c>
      <c r="C5" s="15" t="s">
        <v>132</v>
      </c>
      <c r="D5" s="15" t="s">
        <v>181</v>
      </c>
      <c r="E5" s="15"/>
      <c r="F5" s="15" t="s">
        <v>690</v>
      </c>
      <c r="G5" s="15"/>
      <c r="H5" s="15"/>
      <c r="I5" s="15"/>
      <c r="J5" s="15" t="s">
        <v>120</v>
      </c>
      <c r="K5" s="15" t="s">
        <v>1126</v>
      </c>
      <c r="L5" s="15"/>
      <c r="M5" s="15"/>
    </row>
    <row r="6" customFormat="false" ht="15" hidden="false" customHeight="false" outlineLevel="0" collapsed="false">
      <c r="A6" s="15"/>
      <c r="B6" s="15" t="s">
        <v>154</v>
      </c>
      <c r="C6" s="15"/>
      <c r="D6" s="15" t="s">
        <v>1127</v>
      </c>
      <c r="E6" s="15"/>
      <c r="F6" s="15" t="s">
        <v>721</v>
      </c>
      <c r="G6" s="15"/>
      <c r="H6" s="15"/>
      <c r="I6" s="15"/>
      <c r="J6" s="15" t="s">
        <v>1128</v>
      </c>
      <c r="K6" s="15" t="s">
        <v>1129</v>
      </c>
      <c r="L6" s="15"/>
      <c r="M6" s="15"/>
    </row>
    <row r="7" customFormat="false" ht="15" hidden="false" customHeight="false" outlineLevel="0" collapsed="false">
      <c r="A7" s="15"/>
      <c r="B7" s="15" t="s">
        <v>1130</v>
      </c>
      <c r="C7" s="15"/>
      <c r="D7" s="15"/>
      <c r="E7" s="15"/>
      <c r="F7" s="15" t="s">
        <v>753</v>
      </c>
      <c r="G7" s="15"/>
      <c r="H7" s="15"/>
      <c r="I7" s="15"/>
      <c r="J7" s="15" t="s">
        <v>1131</v>
      </c>
      <c r="K7" s="15" t="s">
        <v>1132</v>
      </c>
      <c r="L7" s="15"/>
      <c r="M7" s="15"/>
    </row>
    <row r="8" customFormat="false" ht="15" hidden="false" customHeight="false" outlineLevel="0" collapsed="false">
      <c r="A8" s="15"/>
      <c r="B8" s="15" t="s">
        <v>1133</v>
      </c>
      <c r="C8" s="15"/>
      <c r="D8" s="15"/>
      <c r="E8" s="15"/>
      <c r="F8" s="15" t="s">
        <v>570</v>
      </c>
      <c r="G8" s="15"/>
      <c r="H8" s="15"/>
      <c r="I8" s="15"/>
      <c r="J8" s="15" t="s">
        <v>1134</v>
      </c>
      <c r="K8" s="15" t="s">
        <v>1135</v>
      </c>
      <c r="L8" s="15"/>
      <c r="M8" s="15"/>
    </row>
    <row r="9" customFormat="false" ht="15" hidden="false" customHeight="false" outlineLevel="0" collapsed="false">
      <c r="A9" s="15"/>
      <c r="B9" s="15" t="s">
        <v>1136</v>
      </c>
      <c r="C9" s="15"/>
      <c r="D9" s="15"/>
      <c r="E9" s="15"/>
      <c r="F9" s="15" t="s">
        <v>562</v>
      </c>
      <c r="G9" s="15"/>
      <c r="H9" s="15"/>
      <c r="I9" s="15"/>
      <c r="J9" s="15" t="s">
        <v>1137</v>
      </c>
      <c r="K9" s="15" t="s">
        <v>1138</v>
      </c>
      <c r="L9" s="15"/>
      <c r="M9" s="15"/>
    </row>
    <row r="10" customFormat="false" ht="15" hidden="false" customHeight="false" outlineLevel="0" collapsed="false">
      <c r="A10" s="15"/>
      <c r="B10" s="15"/>
      <c r="C10" s="15"/>
      <c r="D10" s="15"/>
      <c r="E10" s="15"/>
      <c r="F10" s="15" t="s">
        <v>728</v>
      </c>
      <c r="G10" s="15"/>
      <c r="H10" s="15"/>
      <c r="I10" s="15"/>
      <c r="J10" s="15" t="s">
        <v>116</v>
      </c>
      <c r="K10" s="15" t="s">
        <v>1139</v>
      </c>
      <c r="L10" s="15"/>
      <c r="M10" s="15"/>
    </row>
    <row r="11" customFormat="false" ht="15" hidden="false" customHeight="false" outlineLevel="0" collapsed="false">
      <c r="A11" s="15"/>
      <c r="B11" s="15"/>
      <c r="C11" s="15"/>
      <c r="D11" s="15"/>
      <c r="E11" s="15"/>
      <c r="F11" s="15" t="s">
        <v>517</v>
      </c>
      <c r="G11" s="15"/>
      <c r="H11" s="15"/>
      <c r="I11" s="15"/>
      <c r="J11" s="15" t="s">
        <v>1140</v>
      </c>
      <c r="K11" s="15" t="s">
        <v>1141</v>
      </c>
      <c r="L11" s="15"/>
      <c r="M11" s="15"/>
    </row>
    <row r="12" customFormat="false" ht="15" hidden="false" customHeight="false" outlineLevel="0" collapsed="false">
      <c r="A12" s="15"/>
      <c r="B12" s="15"/>
      <c r="C12" s="15"/>
      <c r="D12" s="15"/>
      <c r="E12" s="15"/>
      <c r="F12" s="15" t="s">
        <v>533</v>
      </c>
      <c r="G12" s="15"/>
      <c r="H12" s="15"/>
      <c r="I12" s="15"/>
      <c r="J12" s="15" t="s">
        <v>1142</v>
      </c>
      <c r="K12" s="15" t="s">
        <v>1143</v>
      </c>
      <c r="L12" s="15"/>
      <c r="M12" s="15"/>
    </row>
    <row r="13" customFormat="false" ht="15" hidden="false" customHeight="false" outlineLevel="0" collapsed="false">
      <c r="A13" s="15"/>
      <c r="B13" s="15"/>
      <c r="C13" s="15"/>
      <c r="D13" s="15"/>
      <c r="E13" s="15"/>
      <c r="F13" s="15" t="s">
        <v>861</v>
      </c>
      <c r="G13" s="15"/>
      <c r="H13" s="15"/>
      <c r="I13" s="15"/>
      <c r="J13" s="15" t="s">
        <v>1144</v>
      </c>
      <c r="K13" s="15" t="s">
        <v>1145</v>
      </c>
      <c r="L13" s="15"/>
      <c r="M13" s="15"/>
    </row>
    <row r="14" customFormat="false" ht="15" hidden="false" customHeight="false" outlineLevel="0" collapsed="false">
      <c r="A14" s="15"/>
      <c r="B14" s="15"/>
      <c r="C14" s="15"/>
      <c r="D14" s="15"/>
      <c r="E14" s="15"/>
      <c r="F14" s="15"/>
      <c r="G14" s="15"/>
      <c r="H14" s="15"/>
      <c r="I14" s="15"/>
      <c r="J14" s="15" t="s">
        <v>129</v>
      </c>
      <c r="K14" s="15" t="s">
        <v>1146</v>
      </c>
      <c r="L14" s="15"/>
      <c r="M14" s="15"/>
    </row>
    <row r="15" customFormat="false" ht="15" hidden="false" customHeight="false" outlineLevel="0" collapsed="false">
      <c r="A15" s="15"/>
      <c r="B15" s="15"/>
      <c r="C15" s="15"/>
      <c r="D15" s="15"/>
      <c r="E15" s="15"/>
      <c r="F15" s="15"/>
      <c r="G15" s="15"/>
      <c r="H15" s="15"/>
      <c r="I15" s="15"/>
      <c r="J15" s="15" t="s">
        <v>1147</v>
      </c>
      <c r="K15" s="15" t="s">
        <v>1148</v>
      </c>
      <c r="L15" s="15"/>
      <c r="M15" s="15"/>
    </row>
    <row r="16" customFormat="false" ht="15" hidden="false" customHeight="false" outlineLevel="0" collapsed="false">
      <c r="A16" s="15"/>
      <c r="B16" s="15"/>
      <c r="C16" s="15"/>
      <c r="D16" s="15"/>
      <c r="E16" s="15"/>
      <c r="F16" s="15"/>
      <c r="G16" s="15"/>
      <c r="H16" s="15"/>
      <c r="I16" s="15"/>
      <c r="J16" s="15" t="s">
        <v>1149</v>
      </c>
      <c r="K16" s="15" t="s">
        <v>1150</v>
      </c>
      <c r="L16" s="15"/>
      <c r="M16" s="15"/>
    </row>
    <row r="17" customFormat="false" ht="15" hidden="false" customHeight="false" outlineLevel="0" collapsed="false">
      <c r="A17" s="15"/>
      <c r="B17" s="15"/>
      <c r="C17" s="15"/>
      <c r="D17" s="15"/>
      <c r="E17" s="15"/>
      <c r="F17" s="15"/>
      <c r="G17" s="15"/>
      <c r="H17" s="15"/>
      <c r="I17" s="15"/>
      <c r="J17" s="15" t="s">
        <v>1151</v>
      </c>
      <c r="K17" s="15" t="s">
        <v>1152</v>
      </c>
      <c r="L17" s="15"/>
      <c r="M17" s="15"/>
    </row>
    <row r="18" customFormat="false" ht="15" hidden="false" customHeight="false" outlineLevel="0" collapsed="false">
      <c r="A18" s="15"/>
      <c r="B18" s="15"/>
      <c r="C18" s="15"/>
      <c r="D18" s="15"/>
      <c r="E18" s="15"/>
      <c r="F18" s="15"/>
      <c r="G18" s="15"/>
      <c r="H18" s="15"/>
      <c r="I18" s="15"/>
      <c r="J18" s="15" t="s">
        <v>1153</v>
      </c>
      <c r="K18" s="15" t="s">
        <v>1154</v>
      </c>
      <c r="L18" s="15"/>
      <c r="M18" s="15"/>
    </row>
    <row r="19" customFormat="false" ht="15" hidden="false" customHeight="false" outlineLevel="0" collapsed="false">
      <c r="A19" s="15"/>
      <c r="B19" s="15"/>
      <c r="C19" s="15"/>
      <c r="D19" s="15"/>
      <c r="E19" s="15"/>
      <c r="F19" s="15"/>
      <c r="G19" s="15"/>
      <c r="H19" s="15"/>
      <c r="I19" s="15"/>
      <c r="J19" s="15" t="s">
        <v>1155</v>
      </c>
      <c r="K19" s="15" t="s">
        <v>1156</v>
      </c>
      <c r="L19" s="15"/>
      <c r="M19" s="15"/>
    </row>
    <row r="20" customFormat="false" ht="15" hidden="false" customHeight="false" outlineLevel="0" collapsed="false">
      <c r="A20" s="15"/>
      <c r="B20" s="15"/>
      <c r="C20" s="15"/>
      <c r="D20" s="15"/>
      <c r="E20" s="15"/>
      <c r="F20" s="15"/>
      <c r="G20" s="15"/>
      <c r="H20" s="15"/>
      <c r="I20" s="15"/>
      <c r="J20" s="15" t="s">
        <v>1157</v>
      </c>
      <c r="K20" s="15" t="s">
        <v>1158</v>
      </c>
      <c r="L20" s="15"/>
      <c r="M20" s="15"/>
    </row>
    <row r="21" customFormat="false" ht="15" hidden="false" customHeight="false" outlineLevel="0" collapsed="false">
      <c r="A21" s="15"/>
      <c r="B21" s="15"/>
      <c r="C21" s="15"/>
      <c r="D21" s="15"/>
      <c r="E21" s="15"/>
      <c r="F21" s="15"/>
      <c r="G21" s="15"/>
      <c r="H21" s="15"/>
      <c r="I21" s="15"/>
      <c r="J21" s="15" t="s">
        <v>218</v>
      </c>
      <c r="K21" s="15" t="s">
        <v>1159</v>
      </c>
      <c r="L21" s="15"/>
      <c r="M21" s="15"/>
    </row>
    <row r="22" customFormat="false" ht="15" hidden="false" customHeight="false" outlineLevel="0" collapsed="false">
      <c r="A22" s="15"/>
      <c r="B22" s="15"/>
      <c r="C22" s="15"/>
      <c r="D22" s="15"/>
      <c r="E22" s="15"/>
      <c r="F22" s="15"/>
      <c r="G22" s="15"/>
      <c r="H22" s="15"/>
      <c r="I22" s="15"/>
      <c r="J22" s="15" t="s">
        <v>138</v>
      </c>
      <c r="K22" s="15" t="s">
        <v>1160</v>
      </c>
      <c r="L22" s="15"/>
      <c r="M22" s="15"/>
    </row>
    <row r="23" customFormat="false" ht="15" hidden="false" customHeight="false" outlineLevel="0" collapsed="false">
      <c r="A23" s="15"/>
      <c r="B23" s="15"/>
      <c r="C23" s="15"/>
      <c r="D23" s="15"/>
      <c r="E23" s="15"/>
      <c r="F23" s="15"/>
      <c r="G23" s="15"/>
      <c r="H23" s="15"/>
      <c r="I23" s="15"/>
      <c r="J23" s="15" t="s">
        <v>1161</v>
      </c>
      <c r="K23" s="15" t="s">
        <v>1162</v>
      </c>
      <c r="L23" s="15"/>
      <c r="M23" s="15"/>
    </row>
    <row r="24" customFormat="false" ht="15" hidden="false" customHeight="false" outlineLevel="0" collapsed="false">
      <c r="A24" s="15"/>
      <c r="B24" s="15"/>
      <c r="C24" s="15"/>
      <c r="D24" s="15"/>
      <c r="E24" s="15"/>
      <c r="F24" s="15"/>
      <c r="G24" s="15"/>
      <c r="H24" s="15"/>
      <c r="I24" s="15"/>
      <c r="J24" s="15" t="s">
        <v>1163</v>
      </c>
      <c r="K24" s="15" t="s">
        <v>1164</v>
      </c>
      <c r="L24" s="15"/>
      <c r="M24" s="15"/>
    </row>
    <row r="25" customFormat="false" ht="15" hidden="false" customHeight="false" outlineLevel="0" collapsed="false">
      <c r="A25" s="15"/>
      <c r="B25" s="15"/>
      <c r="C25" s="15"/>
      <c r="D25" s="15"/>
      <c r="E25" s="15"/>
      <c r="F25" s="15"/>
      <c r="G25" s="15"/>
      <c r="H25" s="15"/>
      <c r="I25" s="15"/>
      <c r="J25" s="15" t="s">
        <v>201</v>
      </c>
      <c r="K25" s="15" t="s">
        <v>1165</v>
      </c>
      <c r="L25" s="15"/>
      <c r="M25" s="15"/>
    </row>
    <row r="26" customFormat="false" ht="15" hidden="false" customHeight="false" outlineLevel="0" collapsed="false">
      <c r="A26" s="15"/>
      <c r="B26" s="15"/>
      <c r="C26" s="15"/>
      <c r="D26" s="15"/>
      <c r="E26" s="15"/>
      <c r="F26" s="15"/>
      <c r="G26" s="15"/>
      <c r="H26" s="15"/>
      <c r="I26" s="15"/>
      <c r="J26" s="15" t="s">
        <v>1166</v>
      </c>
      <c r="K26" s="15" t="s">
        <v>1167</v>
      </c>
      <c r="L26" s="15"/>
      <c r="M26" s="15"/>
    </row>
    <row r="27" customFormat="false" ht="15" hidden="false" customHeight="false" outlineLevel="0" collapsed="false">
      <c r="A27" s="15"/>
      <c r="B27" s="15"/>
      <c r="C27" s="15"/>
      <c r="D27" s="15"/>
      <c r="E27" s="15"/>
      <c r="F27" s="15"/>
      <c r="G27" s="15"/>
      <c r="H27" s="15"/>
      <c r="I27" s="15"/>
      <c r="J27" s="15" t="s">
        <v>184</v>
      </c>
      <c r="K27" s="15" t="s">
        <v>1168</v>
      </c>
      <c r="L27" s="15"/>
      <c r="M27" s="15"/>
    </row>
    <row r="28" customFormat="false" ht="15" hidden="false" customHeight="false" outlineLevel="0" collapsed="false">
      <c r="A28" s="15"/>
      <c r="B28" s="15"/>
      <c r="C28" s="15"/>
      <c r="D28" s="15"/>
      <c r="E28" s="15"/>
      <c r="F28" s="15"/>
      <c r="G28" s="15"/>
      <c r="H28" s="15"/>
      <c r="I28" s="15"/>
      <c r="J28" s="15" t="s">
        <v>1169</v>
      </c>
      <c r="K28" s="15" t="s">
        <v>1170</v>
      </c>
      <c r="L28" s="15"/>
      <c r="M28" s="15"/>
    </row>
    <row r="29" customFormat="false" ht="15" hidden="false" customHeight="false" outlineLevel="0" collapsed="false">
      <c r="A29" s="15"/>
      <c r="B29" s="15"/>
      <c r="C29" s="15"/>
      <c r="D29" s="15"/>
      <c r="E29" s="15"/>
      <c r="F29" s="15"/>
      <c r="G29" s="15"/>
      <c r="H29" s="15"/>
      <c r="I29" s="15"/>
      <c r="J29" s="15" t="s">
        <v>174</v>
      </c>
      <c r="K29" s="15" t="s">
        <v>1171</v>
      </c>
      <c r="L29" s="15"/>
      <c r="M29" s="15"/>
    </row>
    <row r="30" customFormat="false" ht="15" hidden="false" customHeight="false" outlineLevel="0" collapsed="false">
      <c r="A30" s="15"/>
      <c r="B30" s="15"/>
      <c r="C30" s="15"/>
      <c r="D30" s="15"/>
      <c r="E30" s="15"/>
      <c r="F30" s="15"/>
      <c r="G30" s="15"/>
      <c r="H30" s="15"/>
      <c r="I30" s="15"/>
      <c r="J30" s="15" t="s">
        <v>1172</v>
      </c>
      <c r="K30" s="15" t="s">
        <v>1173</v>
      </c>
      <c r="L30" s="15"/>
      <c r="M30" s="15"/>
    </row>
    <row r="31" customFormat="false" ht="15" hidden="false" customHeight="false" outlineLevel="0" collapsed="false">
      <c r="A31" s="15"/>
      <c r="B31" s="15"/>
      <c r="C31" s="15"/>
      <c r="D31" s="15"/>
      <c r="E31" s="15"/>
      <c r="F31" s="15"/>
      <c r="G31" s="15"/>
      <c r="H31" s="15"/>
      <c r="I31" s="15"/>
      <c r="J31" s="15" t="s">
        <v>1174</v>
      </c>
      <c r="K31" s="15" t="s">
        <v>1175</v>
      </c>
      <c r="L31" s="15"/>
      <c r="M31" s="15"/>
    </row>
    <row r="32" customFormat="false" ht="15" hidden="false" customHeight="false" outlineLevel="0" collapsed="false">
      <c r="A32" s="15"/>
      <c r="B32" s="15"/>
      <c r="C32" s="15"/>
      <c r="D32" s="15"/>
      <c r="E32" s="15"/>
      <c r="F32" s="15"/>
      <c r="G32" s="15"/>
      <c r="H32" s="15"/>
      <c r="I32" s="15"/>
      <c r="J32" s="15" t="s">
        <v>1176</v>
      </c>
      <c r="K32" s="15" t="s">
        <v>1177</v>
      </c>
      <c r="L32" s="15"/>
      <c r="M32" s="1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2026-10-18T11:05:47Z</dcterms:created>
  <dc:creator>openpyxl</dc:creator>
  <dc:description/>
  <dc:language>en-US</dc:language>
  <cp:lastModifiedBy/>
  <dcterms:modified xsi:type="dcterms:W3CDTF">2026-10-18T11:05:47Z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